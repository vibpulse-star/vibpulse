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Profit per Product" sheetId="6" state="visible" r:id="rId6"/>
    <sheet xmlns:r="http://schemas.openxmlformats.org/officeDocument/2006/relationships" name="Monthly Summary" sheetId="7" state="visible" r:id="rId7"/>
  </sheets>
  <definedNames>
    <definedName name="_xlnm._FilterDatabase" localSheetId="2" hidden="1">'Products'!$B$4:$F$204</definedName>
    <definedName name="_xlnm._FilterDatabase" localSheetId="3" hidden="1">'Sales'!$B$4:$N$2004</definedName>
    <definedName name="_xlnm._FilterDatabase" localSheetId="4" hidden="1">'Expenses'!$B$4:$G$2004</definedName>
    <definedName name="_xlnm._FilterDatabase" localSheetId="5" hidden="1">'Profit per Product'!$B$4:$J$204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0.0%"/>
    <numFmt numFmtId="167" formatCode="£0.00"/>
    <numFmt numFmtId="168" formatCode="£#,##0"/>
    <numFmt numFmtId="169" formatCode="£#,##0.00;[Red]-£#,##0.00"/>
    <numFmt numFmtId="170" formatCode="mmm yyyy"/>
  </numFmts>
  <fonts count="11">
    <font>
      <name val="Calibri"/>
      <family val="2"/>
      <color theme="1"/>
      <sz val="11"/>
      <scheme val="minor"/>
    </font>
    <font>
      <name val="Arial"/>
      <b val="1"/>
      <color rgb="001D5C63"/>
      <sz val="16"/>
    </font>
    <font>
      <name val="Arial"/>
      <color rgb="005B6675"/>
      <sz val="10"/>
    </font>
    <font>
      <name val="Arial"/>
      <b val="1"/>
      <color rgb="001D5C63"/>
      <sz val="10"/>
    </font>
    <font>
      <name val="Arial"/>
      <color rgb="001F2A37"/>
      <sz val="10"/>
    </font>
    <font>
      <name val="Arial"/>
      <color rgb="00B4532A"/>
      <sz val="10"/>
    </font>
    <font>
      <name val="Arial"/>
      <b val="1"/>
      <color rgb="001F2A37"/>
      <sz val="10"/>
    </font>
    <font>
      <name val="Arial"/>
      <i val="1"/>
      <color rgb="005B6675"/>
      <sz val="9"/>
    </font>
    <font>
      <name val="Arial"/>
      <b val="1"/>
      <color rgb="00FFFFFF"/>
      <sz val="10"/>
    </font>
    <font>
      <name val="Arial"/>
      <color rgb="005B6675"/>
      <sz val="9"/>
    </font>
    <font>
      <name val="Arial"/>
      <b val="1"/>
      <color rgb="005B6675"/>
      <sz val="10"/>
    </font>
  </fonts>
  <fills count="5">
    <fill>
      <patternFill/>
    </fill>
    <fill>
      <patternFill patternType="gray125"/>
    </fill>
    <fill>
      <patternFill patternType="solid">
        <fgColor rgb="00FFFDF2"/>
      </patternFill>
    </fill>
    <fill>
      <patternFill patternType="solid">
        <fgColor rgb="001D5C63"/>
      </patternFill>
    </fill>
    <fill>
      <patternFill patternType="solid">
        <fgColor rgb="00E3EFEF"/>
      </patternFill>
    </fill>
  </fills>
  <borders count="2">
    <border>
      <left/>
      <right/>
      <top/>
      <bottom/>
      <diagonal/>
    </border>
    <border>
      <left style="thin">
        <color rgb="00D5DCE0"/>
      </left>
      <right style="thin">
        <color rgb="00D5DCE0"/>
      </right>
      <top style="thin">
        <color rgb="00D5DCE0"/>
      </top>
      <bottom style="thin">
        <color rgb="00D5DC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0" fillId="0" borderId="0" pivotButton="0" quotePrefix="0" xfId="0"/>
    <xf numFmtId="0" fontId="6" fillId="0" borderId="0" pivotButton="0" quotePrefix="0" xfId="0"/>
    <xf numFmtId="0" fontId="0" fillId="2" borderId="1" applyProtection="1" pivotButton="0" quotePrefix="0" xfId="0">
      <protection locked="0" hidden="0"/>
    </xf>
    <xf numFmtId="0" fontId="7" fillId="0" borderId="0" pivotButton="0" quotePrefix="0" xfId="0"/>
    <xf numFmtId="0" fontId="9" fillId="0" borderId="0" pivotButton="0" quotePrefix="0" xfId="0"/>
    <xf numFmtId="165" fontId="0" fillId="2" borderId="1" applyProtection="1" pivotButton="0" quotePrefix="0" xfId="0">
      <protection locked="0" hidden="0"/>
    </xf>
    <xf numFmtId="165" fontId="0" fillId="0" borderId="0" pivotButton="0" quotePrefix="0" xfId="0"/>
    <xf numFmtId="0" fontId="8" fillId="3" borderId="1" applyAlignment="1" pivotButton="0" quotePrefix="0" xfId="0">
      <alignment vertical="center" wrapText="1"/>
    </xf>
    <xf numFmtId="0" fontId="0" fillId="0" borderId="1" pivotButton="0" quotePrefix="0" xfId="0"/>
    <xf numFmtId="166" fontId="0" fillId="2" borderId="1" applyProtection="1" pivotButton="0" quotePrefix="0" xfId="0">
      <protection locked="0" hidden="0"/>
    </xf>
    <xf numFmtId="167" fontId="0" fillId="2" borderId="1" applyProtection="1" pivotButton="0" quotePrefix="0" xfId="0">
      <protection locked="0" hidden="0"/>
    </xf>
    <xf numFmtId="10" fontId="0" fillId="2" borderId="1" applyProtection="1" pivotButton="0" quotePrefix="0" xfId="0">
      <protection locked="0" hidden="0"/>
    </xf>
    <xf numFmtId="9" fontId="0" fillId="2" borderId="1" applyProtection="1" pivotButton="0" quotePrefix="0" xfId="0">
      <protection locked="0" hidden="0"/>
    </xf>
    <xf numFmtId="168" fontId="0" fillId="2" borderId="1" applyProtection="1" pivotButton="0" quotePrefix="0" xfId="0">
      <protection locked="0" hidden="0"/>
    </xf>
    <xf numFmtId="169" fontId="0" fillId="2" borderId="1" applyProtection="1" pivotButton="0" quotePrefix="0" xfId="0">
      <protection locked="0" hidden="0"/>
    </xf>
    <xf numFmtId="169" fontId="2" fillId="0" borderId="1" pivotButton="0" quotePrefix="0" xfId="0"/>
    <xf numFmtId="169" fontId="0" fillId="0" borderId="0" pivotButton="0" quotePrefix="0" xfId="0"/>
    <xf numFmtId="166" fontId="0" fillId="0" borderId="0" pivotButton="0" quotePrefix="0" xfId="0"/>
    <xf numFmtId="170" fontId="0" fillId="0" borderId="1" pivotButton="0" quotePrefix="0" xfId="0"/>
    <xf numFmtId="169" fontId="0" fillId="0" borderId="1" pivotButton="0" quotePrefix="0" xfId="0"/>
    <xf numFmtId="0" fontId="6" fillId="4" borderId="1" pivotButton="0" quotePrefix="0" xfId="0"/>
    <xf numFmtId="169" fontId="6" fillId="4" borderId="1" pivotButton="0" quotePrefix="0" xfId="0"/>
    <xf numFmtId="165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B1" s="1" t="inlineStr">
        <is>
          <t>UK Etsy Seller Profit Tracker</t>
        </is>
      </c>
    </row>
    <row r="2">
      <c r="B2" s="2" t="inlineStr">
        <is>
          <t>Real profit per sale and per product after every Etsy fee, plus a VAT threshold check.</t>
        </is>
      </c>
    </row>
    <row r="4" ht="18" customHeight="1">
      <c r="B4" s="3" t="inlineStr">
        <is>
          <t>SET UP IN 3 STEPS</t>
        </is>
      </c>
    </row>
    <row r="5" ht="30" customHeight="1">
      <c r="B5" s="4" t="inlineStr">
        <is>
          <t>1.  Go to Settings. Type your shop name, say whether you have given Etsy a VAT number, and check the fee rates.</t>
        </is>
      </c>
    </row>
    <row r="6" ht="18" customHeight="1">
      <c r="B6" s="4" t="inlineStr">
        <is>
          <t>2.  Add your products on Products (SKU, name, cost per unit).</t>
        </is>
      </c>
    </row>
    <row r="7" ht="18" customHeight="1">
      <c r="B7" s="4" t="inlineStr">
        <is>
          <t>3.  Add each sale on Sales and other costs on Expenses. Type only in the cream cells.</t>
        </is>
      </c>
    </row>
    <row r="8" ht="18" customHeight="1">
      <c r="B8" s="4" t="inlineStr"/>
    </row>
    <row r="9" ht="18" customHeight="1">
      <c r="B9" s="3" t="inlineStr">
        <is>
          <t>WHAT YOU SEE</t>
        </is>
      </c>
    </row>
    <row r="10" ht="18" customHeight="1">
      <c r="B10" s="4" t="inlineStr">
        <is>
          <t>•  Sales works out Etsy's fees, VAT on fees, cost of goods and profit for every line.</t>
        </is>
      </c>
    </row>
    <row r="11" ht="30" customHeight="1">
      <c r="B11" s="4" t="inlineStr">
        <is>
          <t>•  Profit per Product shows which products make money. Monthly Summary shows your year, and checks the £90,000 VAT threshold.</t>
        </is>
      </c>
    </row>
    <row r="12" ht="30" customHeight="1">
      <c r="B12" s="4" t="inlineStr">
        <is>
          <t>•  An order with two products: one row each, the same order number, and postage on the first row. The 20p fee is counted once.</t>
        </is>
      </c>
    </row>
    <row r="13" ht="18" customHeight="1">
      <c r="B13" s="4" t="inlineStr">
        <is>
          <t>•  Grey cells hold formulas and are protected without a password (Review &gt; Unprotect Sheet to change them).</t>
        </is>
      </c>
    </row>
    <row r="14" ht="18" customHeight="1">
      <c r="B14" s="4" t="inlineStr">
        <is>
          <t>•  Works in Excel, Google Sheets (File &gt; Import), Apple Numbers and LibreOffice. No macros.</t>
        </is>
      </c>
    </row>
    <row r="15" ht="18" customHeight="1">
      <c r="B15" s="4" t="inlineStr"/>
    </row>
    <row r="16" ht="18" customHeight="1">
      <c r="B16" s="3" t="inlineStr">
        <is>
          <t>IMPORTANT</t>
        </is>
      </c>
    </row>
    <row r="17" ht="30" customHeight="1">
      <c r="B17" s="5" t="inlineStr">
        <is>
          <t>Fee rates are as Etsy published them in June 2026 and can change. Check them on Etsy's fee page and update Settings.</t>
        </is>
      </c>
    </row>
    <row r="18" ht="30" customHeight="1">
      <c r="B18" s="5" t="inlineStr">
        <is>
          <t>Fees are worked out from the rates, so they can differ slightly from your Etsy statement (for example, Offsite Ads are capped per order).</t>
        </is>
      </c>
    </row>
    <row r="19" ht="30" customHeight="1">
      <c r="B19" s="5" t="inlineStr">
        <is>
          <t>This is a record-keeping tool, not tax advice. For your tax return totals, use the Sole Trader Quarterly Tracker or your accountant.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44" customWidth="1" min="4" max="4"/>
    <col width="46" customWidth="1" min="7" max="7"/>
    <col width="8" customWidth="1" min="10" max="10"/>
  </cols>
  <sheetData>
    <row r="1">
      <c r="B1" s="1" t="inlineStr">
        <is>
          <t>Settings</t>
        </is>
      </c>
    </row>
    <row r="2">
      <c r="B2" s="2" t="inlineStr">
        <is>
          <t>Fill in the cream cells once. Check the fee rates against Etsy's fee page each year.</t>
        </is>
      </c>
    </row>
    <row r="3">
      <c r="G3" s="6" t="inlineStr">
        <is>
          <t>Dropdown lists</t>
        </is>
      </c>
    </row>
    <row r="4">
      <c r="B4" s="7" t="inlineStr">
        <is>
          <t>Shop name</t>
        </is>
      </c>
      <c r="C4" s="8" t="inlineStr">
        <is>
          <t>Your shop name</t>
        </is>
      </c>
      <c r="D4" s="9" t="inlineStr"/>
      <c r="G4" s="10" t="inlineStr">
        <is>
          <t>Cost of goods bought for resale or goods used</t>
        </is>
      </c>
      <c r="J4" s="10" t="inlineStr">
        <is>
          <t>Yes</t>
        </is>
      </c>
    </row>
    <row r="5">
      <c r="B5" s="7" t="inlineStr">
        <is>
          <t>Given Etsy a UK VAT number?</t>
        </is>
      </c>
      <c r="C5" s="8" t="inlineStr">
        <is>
          <t>No</t>
        </is>
      </c>
      <c r="D5" s="9" t="inlineStr">
        <is>
          <t>If Yes, Etsy doesn't charge VAT on your fees.</t>
        </is>
      </c>
      <c r="G5" s="10" t="inlineStr">
        <is>
          <t>Construction industry - payments to subcontractors</t>
        </is>
      </c>
      <c r="J5" s="10" t="inlineStr">
        <is>
          <t>No</t>
        </is>
      </c>
    </row>
    <row r="6">
      <c r="B6" s="7" t="inlineStr">
        <is>
          <t>First month of your year</t>
        </is>
      </c>
      <c r="C6" s="11" t="n">
        <v>46113</v>
      </c>
      <c r="D6" s="9" t="inlineStr">
        <is>
          <t>The Monthly Summary starts here.</t>
        </is>
      </c>
      <c r="G6" s="10" t="inlineStr">
        <is>
          <t>Wages, salaries and other staff costs</t>
        </is>
      </c>
    </row>
    <row r="7">
      <c r="B7" s="7" t="inlineStr">
        <is>
          <t>VAT check as at</t>
        </is>
      </c>
      <c r="C7" s="11" t="n"/>
      <c r="D7" s="9" t="inlineStr">
        <is>
          <t>Leave blank to use today's date.</t>
        </is>
      </c>
      <c r="G7" s="10" t="inlineStr">
        <is>
          <t>Car, van and travel expenses</t>
        </is>
      </c>
    </row>
    <row r="8">
      <c r="B8" t="inlineStr">
        <is>
          <t>VAT check date in use</t>
        </is>
      </c>
      <c r="C8" s="12">
        <f>IF(C7="",TODAY(),C7)</f>
        <v/>
      </c>
      <c r="G8" s="10" t="inlineStr">
        <is>
          <t>Rent, rates, power and insurance costs</t>
        </is>
      </c>
    </row>
    <row r="9">
      <c r="G9" s="10" t="inlineStr">
        <is>
          <t>Repairs and maintenance of property and equipment</t>
        </is>
      </c>
    </row>
    <row r="10" ht="30" customHeight="1">
      <c r="B10" s="13" t="inlineStr">
        <is>
          <t>Etsy fee</t>
        </is>
      </c>
      <c r="C10" s="13" t="inlineStr">
        <is>
          <t>Rate</t>
        </is>
      </c>
      <c r="D10" s="13" t="inlineStr">
        <is>
          <t>Etsy UK rates as published June 2026</t>
        </is>
      </c>
      <c r="G10" s="10" t="inlineStr">
        <is>
          <t>Phone, fax, stationery and other office costs</t>
        </is>
      </c>
    </row>
    <row r="11">
      <c r="B11" s="14" t="inlineStr">
        <is>
          <t>Transaction fee (% of item price + postage)</t>
        </is>
      </c>
      <c r="C11" s="15" t="n">
        <v>0.065</v>
      </c>
      <c r="G11" s="10" t="inlineStr">
        <is>
          <t>Advertising and business entertainment costs</t>
        </is>
      </c>
    </row>
    <row r="12">
      <c r="B12" s="14" t="inlineStr">
        <is>
          <t>Payment processing (% of order total)</t>
        </is>
      </c>
      <c r="C12" s="15" t="n">
        <v>0.04</v>
      </c>
      <c r="G12" s="10" t="inlineStr">
        <is>
          <t>Interest on bank and other loans</t>
        </is>
      </c>
    </row>
    <row r="13">
      <c r="B13" s="14" t="inlineStr">
        <is>
          <t>Payment processing (fixed, per order)</t>
        </is>
      </c>
      <c r="C13" s="16" t="n">
        <v>0.2</v>
      </c>
      <c r="G13" s="10" t="inlineStr">
        <is>
          <t>Bank, credit card and other financial charges</t>
        </is>
      </c>
    </row>
    <row r="14">
      <c r="B14" s="14" t="inlineStr">
        <is>
          <t>Regulatory operating fee (% of item price + postage)</t>
        </is>
      </c>
      <c r="C14" s="17" t="n">
        <v>0.0048</v>
      </c>
      <c r="G14" s="10" t="inlineStr">
        <is>
          <t>Irrecoverable debts written off</t>
        </is>
      </c>
    </row>
    <row r="15">
      <c r="B15" s="14" t="inlineStr">
        <is>
          <t>Listing renewal (per item sold, about $0.20)</t>
        </is>
      </c>
      <c r="C15" s="16" t="n">
        <v>0.16</v>
      </c>
      <c r="G15" s="10" t="inlineStr">
        <is>
          <t>Accountancy, legal and other professional fees</t>
        </is>
      </c>
    </row>
    <row r="16">
      <c r="B16" s="14" t="inlineStr">
        <is>
          <t>Offsite Ads (% of order, when a sale came from an ad)</t>
        </is>
      </c>
      <c r="C16" s="18" t="n">
        <v>0.15</v>
      </c>
      <c r="G16" s="10" t="inlineStr">
        <is>
          <t>Depreciation and loss or profit on sale of assets</t>
        </is>
      </c>
    </row>
    <row r="17">
      <c r="B17" s="14" t="inlineStr">
        <is>
          <t>VAT on Etsy fees (if you haven't given Etsy a VAT number)</t>
        </is>
      </c>
      <c r="C17" s="18" t="n">
        <v>0.2</v>
      </c>
      <c r="G17" s="10" t="inlineStr">
        <is>
          <t>Other business expenses</t>
        </is>
      </c>
    </row>
    <row r="19">
      <c r="B19" t="inlineStr">
        <is>
          <t>VAT registration threshold £</t>
        </is>
      </c>
      <c r="C19" s="19" t="n">
        <v>90000</v>
      </c>
    </row>
    <row r="20">
      <c r="B20" s="9" t="inlineStr">
        <is>
          <t>If Etsy changes a rate, update it at the start of a new year or start a fresh copy, so past sales keep their rates.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C5" showDropDown="0" showInputMessage="0" showErrorMessage="0" allowBlank="0" type="list">
      <formula1>=$J$4:$J$5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34" customWidth="1" min="3" max="3"/>
    <col width="16" customWidth="1" min="4" max="4"/>
    <col width="16" customWidth="1" min="5" max="5"/>
    <col width="14" customWidth="1" min="6" max="6"/>
  </cols>
  <sheetData>
    <row r="1">
      <c r="B1" s="1" t="inlineStr">
        <is>
          <t>Products</t>
        </is>
      </c>
    </row>
    <row r="2">
      <c r="B2" s="2" t="inlineStr">
        <is>
          <t>One row per product. Costs are per unit.</t>
        </is>
      </c>
    </row>
    <row r="4" ht="30" customHeight="1">
      <c r="B4" s="13" t="inlineStr">
        <is>
          <t>SKU</t>
        </is>
      </c>
      <c r="C4" s="13" t="inlineStr">
        <is>
          <t>Product name</t>
        </is>
      </c>
      <c r="D4" s="13" t="inlineStr">
        <is>
          <t>Materials £ per unit</t>
        </is>
      </c>
      <c r="E4" s="13" t="inlineStr">
        <is>
          <t>Packaging £ per unit</t>
        </is>
      </c>
      <c r="F4" s="13" t="inlineStr">
        <is>
          <t>Unit cost £</t>
        </is>
      </c>
    </row>
    <row r="5">
      <c r="B5" s="8" t="n"/>
      <c r="C5" s="8" t="n"/>
      <c r="D5" s="20" t="n"/>
      <c r="E5" s="20" t="n"/>
      <c r="F5" s="21">
        <f>IF(B5="","",D5+E5)</f>
        <v/>
      </c>
    </row>
    <row r="6">
      <c r="B6" s="8" t="n"/>
      <c r="C6" s="8" t="n"/>
      <c r="D6" s="20" t="n"/>
      <c r="E6" s="20" t="n"/>
      <c r="F6" s="21">
        <f>IF(B6="","",D6+E6)</f>
        <v/>
      </c>
    </row>
    <row r="7">
      <c r="B7" s="8" t="n"/>
      <c r="C7" s="8" t="n"/>
      <c r="D7" s="20" t="n"/>
      <c r="E7" s="20" t="n"/>
      <c r="F7" s="21">
        <f>IF(B7="","",D7+E7)</f>
        <v/>
      </c>
    </row>
    <row r="8">
      <c r="B8" s="8" t="n"/>
      <c r="C8" s="8" t="n"/>
      <c r="D8" s="20" t="n"/>
      <c r="E8" s="20" t="n"/>
      <c r="F8" s="21">
        <f>IF(B8="","",D8+E8)</f>
        <v/>
      </c>
    </row>
    <row r="9">
      <c r="B9" s="8" t="n"/>
      <c r="C9" s="8" t="n"/>
      <c r="D9" s="20" t="n"/>
      <c r="E9" s="20" t="n"/>
      <c r="F9" s="21">
        <f>IF(B9="","",D9+E9)</f>
        <v/>
      </c>
    </row>
    <row r="10">
      <c r="B10" s="8" t="n"/>
      <c r="C10" s="8" t="n"/>
      <c r="D10" s="20" t="n"/>
      <c r="E10" s="20" t="n"/>
      <c r="F10" s="21">
        <f>IF(B10="","",D10+E10)</f>
        <v/>
      </c>
    </row>
    <row r="11">
      <c r="B11" s="8" t="n"/>
      <c r="C11" s="8" t="n"/>
      <c r="D11" s="20" t="n"/>
      <c r="E11" s="20" t="n"/>
      <c r="F11" s="21">
        <f>IF(B11="","",D11+E11)</f>
        <v/>
      </c>
    </row>
    <row r="12">
      <c r="B12" s="8" t="n"/>
      <c r="C12" s="8" t="n"/>
      <c r="D12" s="20" t="n"/>
      <c r="E12" s="20" t="n"/>
      <c r="F12" s="21">
        <f>IF(B12="","",D12+E12)</f>
        <v/>
      </c>
    </row>
    <row r="13">
      <c r="B13" s="8" t="n"/>
      <c r="C13" s="8" t="n"/>
      <c r="D13" s="20" t="n"/>
      <c r="E13" s="20" t="n"/>
      <c r="F13" s="21">
        <f>IF(B13="","",D13+E13)</f>
        <v/>
      </c>
    </row>
    <row r="14">
      <c r="B14" s="8" t="n"/>
      <c r="C14" s="8" t="n"/>
      <c r="D14" s="20" t="n"/>
      <c r="E14" s="20" t="n"/>
      <c r="F14" s="21">
        <f>IF(B14="","",D14+E14)</f>
        <v/>
      </c>
    </row>
    <row r="15">
      <c r="B15" s="8" t="n"/>
      <c r="C15" s="8" t="n"/>
      <c r="D15" s="20" t="n"/>
      <c r="E15" s="20" t="n"/>
      <c r="F15" s="21">
        <f>IF(B15="","",D15+E15)</f>
        <v/>
      </c>
    </row>
    <row r="16">
      <c r="B16" s="8" t="n"/>
      <c r="C16" s="8" t="n"/>
      <c r="D16" s="20" t="n"/>
      <c r="E16" s="20" t="n"/>
      <c r="F16" s="21">
        <f>IF(B16="","",D16+E16)</f>
        <v/>
      </c>
    </row>
    <row r="17">
      <c r="B17" s="8" t="n"/>
      <c r="C17" s="8" t="n"/>
      <c r="D17" s="20" t="n"/>
      <c r="E17" s="20" t="n"/>
      <c r="F17" s="21">
        <f>IF(B17="","",D17+E17)</f>
        <v/>
      </c>
    </row>
    <row r="18">
      <c r="B18" s="8" t="n"/>
      <c r="C18" s="8" t="n"/>
      <c r="D18" s="20" t="n"/>
      <c r="E18" s="20" t="n"/>
      <c r="F18" s="21">
        <f>IF(B18="","",D18+E18)</f>
        <v/>
      </c>
    </row>
    <row r="19">
      <c r="B19" s="8" t="n"/>
      <c r="C19" s="8" t="n"/>
      <c r="D19" s="20" t="n"/>
      <c r="E19" s="20" t="n"/>
      <c r="F19" s="21">
        <f>IF(B19="","",D19+E19)</f>
        <v/>
      </c>
    </row>
    <row r="20">
      <c r="B20" s="8" t="n"/>
      <c r="C20" s="8" t="n"/>
      <c r="D20" s="20" t="n"/>
      <c r="E20" s="20" t="n"/>
      <c r="F20" s="21">
        <f>IF(B20="","",D20+E20)</f>
        <v/>
      </c>
    </row>
    <row r="21">
      <c r="B21" s="8" t="n"/>
      <c r="C21" s="8" t="n"/>
      <c r="D21" s="20" t="n"/>
      <c r="E21" s="20" t="n"/>
      <c r="F21" s="21">
        <f>IF(B21="","",D21+E21)</f>
        <v/>
      </c>
    </row>
    <row r="22">
      <c r="B22" s="8" t="n"/>
      <c r="C22" s="8" t="n"/>
      <c r="D22" s="20" t="n"/>
      <c r="E22" s="20" t="n"/>
      <c r="F22" s="21">
        <f>IF(B22="","",D22+E22)</f>
        <v/>
      </c>
    </row>
    <row r="23">
      <c r="B23" s="8" t="n"/>
      <c r="C23" s="8" t="n"/>
      <c r="D23" s="20" t="n"/>
      <c r="E23" s="20" t="n"/>
      <c r="F23" s="21">
        <f>IF(B23="","",D23+E23)</f>
        <v/>
      </c>
    </row>
    <row r="24">
      <c r="B24" s="8" t="n"/>
      <c r="C24" s="8" t="n"/>
      <c r="D24" s="20" t="n"/>
      <c r="E24" s="20" t="n"/>
      <c r="F24" s="21">
        <f>IF(B24="","",D24+E24)</f>
        <v/>
      </c>
    </row>
    <row r="25">
      <c r="B25" s="8" t="n"/>
      <c r="C25" s="8" t="n"/>
      <c r="D25" s="20" t="n"/>
      <c r="E25" s="20" t="n"/>
      <c r="F25" s="21">
        <f>IF(B25="","",D25+E25)</f>
        <v/>
      </c>
    </row>
    <row r="26">
      <c r="B26" s="8" t="n"/>
      <c r="C26" s="8" t="n"/>
      <c r="D26" s="20" t="n"/>
      <c r="E26" s="20" t="n"/>
      <c r="F26" s="21">
        <f>IF(B26="","",D26+E26)</f>
        <v/>
      </c>
    </row>
    <row r="27">
      <c r="B27" s="8" t="n"/>
      <c r="C27" s="8" t="n"/>
      <c r="D27" s="20" t="n"/>
      <c r="E27" s="20" t="n"/>
      <c r="F27" s="21">
        <f>IF(B27="","",D27+E27)</f>
        <v/>
      </c>
    </row>
    <row r="28">
      <c r="B28" s="8" t="n"/>
      <c r="C28" s="8" t="n"/>
      <c r="D28" s="20" t="n"/>
      <c r="E28" s="20" t="n"/>
      <c r="F28" s="21">
        <f>IF(B28="","",D28+E28)</f>
        <v/>
      </c>
    </row>
    <row r="29">
      <c r="B29" s="8" t="n"/>
      <c r="C29" s="8" t="n"/>
      <c r="D29" s="20" t="n"/>
      <c r="E29" s="20" t="n"/>
      <c r="F29" s="21">
        <f>IF(B29="","",D29+E29)</f>
        <v/>
      </c>
    </row>
    <row r="30">
      <c r="B30" s="8" t="n"/>
      <c r="C30" s="8" t="n"/>
      <c r="D30" s="20" t="n"/>
      <c r="E30" s="20" t="n"/>
      <c r="F30" s="21">
        <f>IF(B30="","",D30+E30)</f>
        <v/>
      </c>
    </row>
    <row r="31">
      <c r="B31" s="8" t="n"/>
      <c r="C31" s="8" t="n"/>
      <c r="D31" s="20" t="n"/>
      <c r="E31" s="20" t="n"/>
      <c r="F31" s="21">
        <f>IF(B31="","",D31+E31)</f>
        <v/>
      </c>
    </row>
    <row r="32">
      <c r="B32" s="8" t="n"/>
      <c r="C32" s="8" t="n"/>
      <c r="D32" s="20" t="n"/>
      <c r="E32" s="20" t="n"/>
      <c r="F32" s="21">
        <f>IF(B32="","",D32+E32)</f>
        <v/>
      </c>
    </row>
    <row r="33">
      <c r="B33" s="8" t="n"/>
      <c r="C33" s="8" t="n"/>
      <c r="D33" s="20" t="n"/>
      <c r="E33" s="20" t="n"/>
      <c r="F33" s="21">
        <f>IF(B33="","",D33+E33)</f>
        <v/>
      </c>
    </row>
    <row r="34">
      <c r="B34" s="8" t="n"/>
      <c r="C34" s="8" t="n"/>
      <c r="D34" s="20" t="n"/>
      <c r="E34" s="20" t="n"/>
      <c r="F34" s="21">
        <f>IF(B34="","",D34+E34)</f>
        <v/>
      </c>
    </row>
    <row r="35">
      <c r="B35" s="8" t="n"/>
      <c r="C35" s="8" t="n"/>
      <c r="D35" s="20" t="n"/>
      <c r="E35" s="20" t="n"/>
      <c r="F35" s="21">
        <f>IF(B35="","",D35+E35)</f>
        <v/>
      </c>
    </row>
    <row r="36">
      <c r="B36" s="8" t="n"/>
      <c r="C36" s="8" t="n"/>
      <c r="D36" s="20" t="n"/>
      <c r="E36" s="20" t="n"/>
      <c r="F36" s="21">
        <f>IF(B36="","",D36+E36)</f>
        <v/>
      </c>
    </row>
    <row r="37">
      <c r="B37" s="8" t="n"/>
      <c r="C37" s="8" t="n"/>
      <c r="D37" s="20" t="n"/>
      <c r="E37" s="20" t="n"/>
      <c r="F37" s="21">
        <f>IF(B37="","",D37+E37)</f>
        <v/>
      </c>
    </row>
    <row r="38">
      <c r="B38" s="8" t="n"/>
      <c r="C38" s="8" t="n"/>
      <c r="D38" s="20" t="n"/>
      <c r="E38" s="20" t="n"/>
      <c r="F38" s="21">
        <f>IF(B38="","",D38+E38)</f>
        <v/>
      </c>
    </row>
    <row r="39">
      <c r="B39" s="8" t="n"/>
      <c r="C39" s="8" t="n"/>
      <c r="D39" s="20" t="n"/>
      <c r="E39" s="20" t="n"/>
      <c r="F39" s="21">
        <f>IF(B39="","",D39+E39)</f>
        <v/>
      </c>
    </row>
    <row r="40">
      <c r="B40" s="8" t="n"/>
      <c r="C40" s="8" t="n"/>
      <c r="D40" s="20" t="n"/>
      <c r="E40" s="20" t="n"/>
      <c r="F40" s="21">
        <f>IF(B40="","",D40+E40)</f>
        <v/>
      </c>
    </row>
    <row r="41">
      <c r="B41" s="8" t="n"/>
      <c r="C41" s="8" t="n"/>
      <c r="D41" s="20" t="n"/>
      <c r="E41" s="20" t="n"/>
      <c r="F41" s="21">
        <f>IF(B41="","",D41+E41)</f>
        <v/>
      </c>
    </row>
    <row r="42">
      <c r="B42" s="8" t="n"/>
      <c r="C42" s="8" t="n"/>
      <c r="D42" s="20" t="n"/>
      <c r="E42" s="20" t="n"/>
      <c r="F42" s="21">
        <f>IF(B42="","",D42+E42)</f>
        <v/>
      </c>
    </row>
    <row r="43">
      <c r="B43" s="8" t="n"/>
      <c r="C43" s="8" t="n"/>
      <c r="D43" s="20" t="n"/>
      <c r="E43" s="20" t="n"/>
      <c r="F43" s="21">
        <f>IF(B43="","",D43+E43)</f>
        <v/>
      </c>
    </row>
    <row r="44">
      <c r="B44" s="8" t="n"/>
      <c r="C44" s="8" t="n"/>
      <c r="D44" s="20" t="n"/>
      <c r="E44" s="20" t="n"/>
      <c r="F44" s="21">
        <f>IF(B44="","",D44+E44)</f>
        <v/>
      </c>
    </row>
    <row r="45">
      <c r="B45" s="8" t="n"/>
      <c r="C45" s="8" t="n"/>
      <c r="D45" s="20" t="n"/>
      <c r="E45" s="20" t="n"/>
      <c r="F45" s="21">
        <f>IF(B45="","",D45+E45)</f>
        <v/>
      </c>
    </row>
    <row r="46">
      <c r="B46" s="8" t="n"/>
      <c r="C46" s="8" t="n"/>
      <c r="D46" s="20" t="n"/>
      <c r="E46" s="20" t="n"/>
      <c r="F46" s="21">
        <f>IF(B46="","",D46+E46)</f>
        <v/>
      </c>
    </row>
    <row r="47">
      <c r="B47" s="8" t="n"/>
      <c r="C47" s="8" t="n"/>
      <c r="D47" s="20" t="n"/>
      <c r="E47" s="20" t="n"/>
      <c r="F47" s="21">
        <f>IF(B47="","",D47+E47)</f>
        <v/>
      </c>
    </row>
    <row r="48">
      <c r="B48" s="8" t="n"/>
      <c r="C48" s="8" t="n"/>
      <c r="D48" s="20" t="n"/>
      <c r="E48" s="20" t="n"/>
      <c r="F48" s="21">
        <f>IF(B48="","",D48+E48)</f>
        <v/>
      </c>
    </row>
    <row r="49">
      <c r="B49" s="8" t="n"/>
      <c r="C49" s="8" t="n"/>
      <c r="D49" s="20" t="n"/>
      <c r="E49" s="20" t="n"/>
      <c r="F49" s="21">
        <f>IF(B49="","",D49+E49)</f>
        <v/>
      </c>
    </row>
    <row r="50">
      <c r="B50" s="8" t="n"/>
      <c r="C50" s="8" t="n"/>
      <c r="D50" s="20" t="n"/>
      <c r="E50" s="20" t="n"/>
      <c r="F50" s="21">
        <f>IF(B50="","",D50+E50)</f>
        <v/>
      </c>
    </row>
    <row r="51">
      <c r="B51" s="8" t="n"/>
      <c r="C51" s="8" t="n"/>
      <c r="D51" s="20" t="n"/>
      <c r="E51" s="20" t="n"/>
      <c r="F51" s="21">
        <f>IF(B51="","",D51+E51)</f>
        <v/>
      </c>
    </row>
    <row r="52">
      <c r="B52" s="8" t="n"/>
      <c r="C52" s="8" t="n"/>
      <c r="D52" s="20" t="n"/>
      <c r="E52" s="20" t="n"/>
      <c r="F52" s="21">
        <f>IF(B52="","",D52+E52)</f>
        <v/>
      </c>
    </row>
    <row r="53">
      <c r="B53" s="8" t="n"/>
      <c r="C53" s="8" t="n"/>
      <c r="D53" s="20" t="n"/>
      <c r="E53" s="20" t="n"/>
      <c r="F53" s="21">
        <f>IF(B53="","",D53+E53)</f>
        <v/>
      </c>
    </row>
    <row r="54">
      <c r="B54" s="8" t="n"/>
      <c r="C54" s="8" t="n"/>
      <c r="D54" s="20" t="n"/>
      <c r="E54" s="20" t="n"/>
      <c r="F54" s="21">
        <f>IF(B54="","",D54+E54)</f>
        <v/>
      </c>
    </row>
    <row r="55">
      <c r="B55" s="8" t="n"/>
      <c r="C55" s="8" t="n"/>
      <c r="D55" s="20" t="n"/>
      <c r="E55" s="20" t="n"/>
      <c r="F55" s="21">
        <f>IF(B55="","",D55+E55)</f>
        <v/>
      </c>
    </row>
    <row r="56">
      <c r="B56" s="8" t="n"/>
      <c r="C56" s="8" t="n"/>
      <c r="D56" s="20" t="n"/>
      <c r="E56" s="20" t="n"/>
      <c r="F56" s="21">
        <f>IF(B56="","",D56+E56)</f>
        <v/>
      </c>
    </row>
    <row r="57">
      <c r="B57" s="8" t="n"/>
      <c r="C57" s="8" t="n"/>
      <c r="D57" s="20" t="n"/>
      <c r="E57" s="20" t="n"/>
      <c r="F57" s="21">
        <f>IF(B57="","",D57+E57)</f>
        <v/>
      </c>
    </row>
    <row r="58">
      <c r="B58" s="8" t="n"/>
      <c r="C58" s="8" t="n"/>
      <c r="D58" s="20" t="n"/>
      <c r="E58" s="20" t="n"/>
      <c r="F58" s="21">
        <f>IF(B58="","",D58+E58)</f>
        <v/>
      </c>
    </row>
    <row r="59">
      <c r="B59" s="8" t="n"/>
      <c r="C59" s="8" t="n"/>
      <c r="D59" s="20" t="n"/>
      <c r="E59" s="20" t="n"/>
      <c r="F59" s="21">
        <f>IF(B59="","",D59+E59)</f>
        <v/>
      </c>
    </row>
    <row r="60">
      <c r="B60" s="8" t="n"/>
      <c r="C60" s="8" t="n"/>
      <c r="D60" s="20" t="n"/>
      <c r="E60" s="20" t="n"/>
      <c r="F60" s="21">
        <f>IF(B60="","",D60+E60)</f>
        <v/>
      </c>
    </row>
    <row r="61">
      <c r="B61" s="8" t="n"/>
      <c r="C61" s="8" t="n"/>
      <c r="D61" s="20" t="n"/>
      <c r="E61" s="20" t="n"/>
      <c r="F61" s="21">
        <f>IF(B61="","",D61+E61)</f>
        <v/>
      </c>
    </row>
    <row r="62">
      <c r="B62" s="8" t="n"/>
      <c r="C62" s="8" t="n"/>
      <c r="D62" s="20" t="n"/>
      <c r="E62" s="20" t="n"/>
      <c r="F62" s="21">
        <f>IF(B62="","",D62+E62)</f>
        <v/>
      </c>
    </row>
    <row r="63">
      <c r="B63" s="8" t="n"/>
      <c r="C63" s="8" t="n"/>
      <c r="D63" s="20" t="n"/>
      <c r="E63" s="20" t="n"/>
      <c r="F63" s="21">
        <f>IF(B63="","",D63+E63)</f>
        <v/>
      </c>
    </row>
    <row r="64">
      <c r="B64" s="8" t="n"/>
      <c r="C64" s="8" t="n"/>
      <c r="D64" s="20" t="n"/>
      <c r="E64" s="20" t="n"/>
      <c r="F64" s="21">
        <f>IF(B64="","",D64+E64)</f>
        <v/>
      </c>
    </row>
    <row r="65">
      <c r="B65" s="8" t="n"/>
      <c r="C65" s="8" t="n"/>
      <c r="D65" s="20" t="n"/>
      <c r="E65" s="20" t="n"/>
      <c r="F65" s="21">
        <f>IF(B65="","",D65+E65)</f>
        <v/>
      </c>
    </row>
    <row r="66">
      <c r="B66" s="8" t="n"/>
      <c r="C66" s="8" t="n"/>
      <c r="D66" s="20" t="n"/>
      <c r="E66" s="20" t="n"/>
      <c r="F66" s="21">
        <f>IF(B66="","",D66+E66)</f>
        <v/>
      </c>
    </row>
    <row r="67">
      <c r="B67" s="8" t="n"/>
      <c r="C67" s="8" t="n"/>
      <c r="D67" s="20" t="n"/>
      <c r="E67" s="20" t="n"/>
      <c r="F67" s="21">
        <f>IF(B67="","",D67+E67)</f>
        <v/>
      </c>
    </row>
    <row r="68">
      <c r="B68" s="8" t="n"/>
      <c r="C68" s="8" t="n"/>
      <c r="D68" s="20" t="n"/>
      <c r="E68" s="20" t="n"/>
      <c r="F68" s="21">
        <f>IF(B68="","",D68+E68)</f>
        <v/>
      </c>
    </row>
    <row r="69">
      <c r="B69" s="8" t="n"/>
      <c r="C69" s="8" t="n"/>
      <c r="D69" s="20" t="n"/>
      <c r="E69" s="20" t="n"/>
      <c r="F69" s="21">
        <f>IF(B69="","",D69+E69)</f>
        <v/>
      </c>
    </row>
    <row r="70">
      <c r="B70" s="8" t="n"/>
      <c r="C70" s="8" t="n"/>
      <c r="D70" s="20" t="n"/>
      <c r="E70" s="20" t="n"/>
      <c r="F70" s="21">
        <f>IF(B70="","",D70+E70)</f>
        <v/>
      </c>
    </row>
    <row r="71">
      <c r="B71" s="8" t="n"/>
      <c r="C71" s="8" t="n"/>
      <c r="D71" s="20" t="n"/>
      <c r="E71" s="20" t="n"/>
      <c r="F71" s="21">
        <f>IF(B71="","",D71+E71)</f>
        <v/>
      </c>
    </row>
    <row r="72">
      <c r="B72" s="8" t="n"/>
      <c r="C72" s="8" t="n"/>
      <c r="D72" s="20" t="n"/>
      <c r="E72" s="20" t="n"/>
      <c r="F72" s="21">
        <f>IF(B72="","",D72+E72)</f>
        <v/>
      </c>
    </row>
    <row r="73">
      <c r="B73" s="8" t="n"/>
      <c r="C73" s="8" t="n"/>
      <c r="D73" s="20" t="n"/>
      <c r="E73" s="20" t="n"/>
      <c r="F73" s="21">
        <f>IF(B73="","",D73+E73)</f>
        <v/>
      </c>
    </row>
    <row r="74">
      <c r="B74" s="8" t="n"/>
      <c r="C74" s="8" t="n"/>
      <c r="D74" s="20" t="n"/>
      <c r="E74" s="20" t="n"/>
      <c r="F74" s="21">
        <f>IF(B74="","",D74+E74)</f>
        <v/>
      </c>
    </row>
    <row r="75">
      <c r="B75" s="8" t="n"/>
      <c r="C75" s="8" t="n"/>
      <c r="D75" s="20" t="n"/>
      <c r="E75" s="20" t="n"/>
      <c r="F75" s="21">
        <f>IF(B75="","",D75+E75)</f>
        <v/>
      </c>
    </row>
    <row r="76">
      <c r="B76" s="8" t="n"/>
      <c r="C76" s="8" t="n"/>
      <c r="D76" s="20" t="n"/>
      <c r="E76" s="20" t="n"/>
      <c r="F76" s="21">
        <f>IF(B76="","",D76+E76)</f>
        <v/>
      </c>
    </row>
    <row r="77">
      <c r="B77" s="8" t="n"/>
      <c r="C77" s="8" t="n"/>
      <c r="D77" s="20" t="n"/>
      <c r="E77" s="20" t="n"/>
      <c r="F77" s="21">
        <f>IF(B77="","",D77+E77)</f>
        <v/>
      </c>
    </row>
    <row r="78">
      <c r="B78" s="8" t="n"/>
      <c r="C78" s="8" t="n"/>
      <c r="D78" s="20" t="n"/>
      <c r="E78" s="20" t="n"/>
      <c r="F78" s="21">
        <f>IF(B78="","",D78+E78)</f>
        <v/>
      </c>
    </row>
    <row r="79">
      <c r="B79" s="8" t="n"/>
      <c r="C79" s="8" t="n"/>
      <c r="D79" s="20" t="n"/>
      <c r="E79" s="20" t="n"/>
      <c r="F79" s="21">
        <f>IF(B79="","",D79+E79)</f>
        <v/>
      </c>
    </row>
    <row r="80">
      <c r="B80" s="8" t="n"/>
      <c r="C80" s="8" t="n"/>
      <c r="D80" s="20" t="n"/>
      <c r="E80" s="20" t="n"/>
      <c r="F80" s="21">
        <f>IF(B80="","",D80+E80)</f>
        <v/>
      </c>
    </row>
    <row r="81">
      <c r="B81" s="8" t="n"/>
      <c r="C81" s="8" t="n"/>
      <c r="D81" s="20" t="n"/>
      <c r="E81" s="20" t="n"/>
      <c r="F81" s="21">
        <f>IF(B81="","",D81+E81)</f>
        <v/>
      </c>
    </row>
    <row r="82">
      <c r="B82" s="8" t="n"/>
      <c r="C82" s="8" t="n"/>
      <c r="D82" s="20" t="n"/>
      <c r="E82" s="20" t="n"/>
      <c r="F82" s="21">
        <f>IF(B82="","",D82+E82)</f>
        <v/>
      </c>
    </row>
    <row r="83">
      <c r="B83" s="8" t="n"/>
      <c r="C83" s="8" t="n"/>
      <c r="D83" s="20" t="n"/>
      <c r="E83" s="20" t="n"/>
      <c r="F83" s="21">
        <f>IF(B83="","",D83+E83)</f>
        <v/>
      </c>
    </row>
    <row r="84">
      <c r="B84" s="8" t="n"/>
      <c r="C84" s="8" t="n"/>
      <c r="D84" s="20" t="n"/>
      <c r="E84" s="20" t="n"/>
      <c r="F84" s="21">
        <f>IF(B84="","",D84+E84)</f>
        <v/>
      </c>
    </row>
    <row r="85">
      <c r="B85" s="8" t="n"/>
      <c r="C85" s="8" t="n"/>
      <c r="D85" s="20" t="n"/>
      <c r="E85" s="20" t="n"/>
      <c r="F85" s="21">
        <f>IF(B85="","",D85+E85)</f>
        <v/>
      </c>
    </row>
    <row r="86">
      <c r="B86" s="8" t="n"/>
      <c r="C86" s="8" t="n"/>
      <c r="D86" s="20" t="n"/>
      <c r="E86" s="20" t="n"/>
      <c r="F86" s="21">
        <f>IF(B86="","",D86+E86)</f>
        <v/>
      </c>
    </row>
    <row r="87">
      <c r="B87" s="8" t="n"/>
      <c r="C87" s="8" t="n"/>
      <c r="D87" s="20" t="n"/>
      <c r="E87" s="20" t="n"/>
      <c r="F87" s="21">
        <f>IF(B87="","",D87+E87)</f>
        <v/>
      </c>
    </row>
    <row r="88">
      <c r="B88" s="8" t="n"/>
      <c r="C88" s="8" t="n"/>
      <c r="D88" s="20" t="n"/>
      <c r="E88" s="20" t="n"/>
      <c r="F88" s="21">
        <f>IF(B88="","",D88+E88)</f>
        <v/>
      </c>
    </row>
    <row r="89">
      <c r="B89" s="8" t="n"/>
      <c r="C89" s="8" t="n"/>
      <c r="D89" s="20" t="n"/>
      <c r="E89" s="20" t="n"/>
      <c r="F89" s="21">
        <f>IF(B89="","",D89+E89)</f>
        <v/>
      </c>
    </row>
    <row r="90">
      <c r="B90" s="8" t="n"/>
      <c r="C90" s="8" t="n"/>
      <c r="D90" s="20" t="n"/>
      <c r="E90" s="20" t="n"/>
      <c r="F90" s="21">
        <f>IF(B90="","",D90+E90)</f>
        <v/>
      </c>
    </row>
    <row r="91">
      <c r="B91" s="8" t="n"/>
      <c r="C91" s="8" t="n"/>
      <c r="D91" s="20" t="n"/>
      <c r="E91" s="20" t="n"/>
      <c r="F91" s="21">
        <f>IF(B91="","",D91+E91)</f>
        <v/>
      </c>
    </row>
    <row r="92">
      <c r="B92" s="8" t="n"/>
      <c r="C92" s="8" t="n"/>
      <c r="D92" s="20" t="n"/>
      <c r="E92" s="20" t="n"/>
      <c r="F92" s="21">
        <f>IF(B92="","",D92+E92)</f>
        <v/>
      </c>
    </row>
    <row r="93">
      <c r="B93" s="8" t="n"/>
      <c r="C93" s="8" t="n"/>
      <c r="D93" s="20" t="n"/>
      <c r="E93" s="20" t="n"/>
      <c r="F93" s="21">
        <f>IF(B93="","",D93+E93)</f>
        <v/>
      </c>
    </row>
    <row r="94">
      <c r="B94" s="8" t="n"/>
      <c r="C94" s="8" t="n"/>
      <c r="D94" s="20" t="n"/>
      <c r="E94" s="20" t="n"/>
      <c r="F94" s="21">
        <f>IF(B94="","",D94+E94)</f>
        <v/>
      </c>
    </row>
    <row r="95">
      <c r="B95" s="8" t="n"/>
      <c r="C95" s="8" t="n"/>
      <c r="D95" s="20" t="n"/>
      <c r="E95" s="20" t="n"/>
      <c r="F95" s="21">
        <f>IF(B95="","",D95+E95)</f>
        <v/>
      </c>
    </row>
    <row r="96">
      <c r="B96" s="8" t="n"/>
      <c r="C96" s="8" t="n"/>
      <c r="D96" s="20" t="n"/>
      <c r="E96" s="20" t="n"/>
      <c r="F96" s="21">
        <f>IF(B96="","",D96+E96)</f>
        <v/>
      </c>
    </row>
    <row r="97">
      <c r="B97" s="8" t="n"/>
      <c r="C97" s="8" t="n"/>
      <c r="D97" s="20" t="n"/>
      <c r="E97" s="20" t="n"/>
      <c r="F97" s="21">
        <f>IF(B97="","",D97+E97)</f>
        <v/>
      </c>
    </row>
    <row r="98">
      <c r="B98" s="8" t="n"/>
      <c r="C98" s="8" t="n"/>
      <c r="D98" s="20" t="n"/>
      <c r="E98" s="20" t="n"/>
      <c r="F98" s="21">
        <f>IF(B98="","",D98+E98)</f>
        <v/>
      </c>
    </row>
    <row r="99">
      <c r="B99" s="8" t="n"/>
      <c r="C99" s="8" t="n"/>
      <c r="D99" s="20" t="n"/>
      <c r="E99" s="20" t="n"/>
      <c r="F99" s="21">
        <f>IF(B99="","",D99+E99)</f>
        <v/>
      </c>
    </row>
    <row r="100">
      <c r="B100" s="8" t="n"/>
      <c r="C100" s="8" t="n"/>
      <c r="D100" s="20" t="n"/>
      <c r="E100" s="20" t="n"/>
      <c r="F100" s="21">
        <f>IF(B100="","",D100+E100)</f>
        <v/>
      </c>
    </row>
    <row r="101">
      <c r="B101" s="8" t="n"/>
      <c r="C101" s="8" t="n"/>
      <c r="D101" s="20" t="n"/>
      <c r="E101" s="20" t="n"/>
      <c r="F101" s="21">
        <f>IF(B101="","",D101+E101)</f>
        <v/>
      </c>
    </row>
    <row r="102">
      <c r="B102" s="8" t="n"/>
      <c r="C102" s="8" t="n"/>
      <c r="D102" s="20" t="n"/>
      <c r="E102" s="20" t="n"/>
      <c r="F102" s="21">
        <f>IF(B102="","",D102+E102)</f>
        <v/>
      </c>
    </row>
    <row r="103">
      <c r="B103" s="8" t="n"/>
      <c r="C103" s="8" t="n"/>
      <c r="D103" s="20" t="n"/>
      <c r="E103" s="20" t="n"/>
      <c r="F103" s="21">
        <f>IF(B103="","",D103+E103)</f>
        <v/>
      </c>
    </row>
    <row r="104">
      <c r="B104" s="8" t="n"/>
      <c r="C104" s="8" t="n"/>
      <c r="D104" s="20" t="n"/>
      <c r="E104" s="20" t="n"/>
      <c r="F104" s="21">
        <f>IF(B104="","",D104+E104)</f>
        <v/>
      </c>
    </row>
    <row r="105">
      <c r="B105" s="8" t="n"/>
      <c r="C105" s="8" t="n"/>
      <c r="D105" s="20" t="n"/>
      <c r="E105" s="20" t="n"/>
      <c r="F105" s="21">
        <f>IF(B105="","",D105+E105)</f>
        <v/>
      </c>
    </row>
    <row r="106">
      <c r="B106" s="8" t="n"/>
      <c r="C106" s="8" t="n"/>
      <c r="D106" s="20" t="n"/>
      <c r="E106" s="20" t="n"/>
      <c r="F106" s="21">
        <f>IF(B106="","",D106+E106)</f>
        <v/>
      </c>
    </row>
    <row r="107">
      <c r="B107" s="8" t="n"/>
      <c r="C107" s="8" t="n"/>
      <c r="D107" s="20" t="n"/>
      <c r="E107" s="20" t="n"/>
      <c r="F107" s="21">
        <f>IF(B107="","",D107+E107)</f>
        <v/>
      </c>
    </row>
    <row r="108">
      <c r="B108" s="8" t="n"/>
      <c r="C108" s="8" t="n"/>
      <c r="D108" s="20" t="n"/>
      <c r="E108" s="20" t="n"/>
      <c r="F108" s="21">
        <f>IF(B108="","",D108+E108)</f>
        <v/>
      </c>
    </row>
    <row r="109">
      <c r="B109" s="8" t="n"/>
      <c r="C109" s="8" t="n"/>
      <c r="D109" s="20" t="n"/>
      <c r="E109" s="20" t="n"/>
      <c r="F109" s="21">
        <f>IF(B109="","",D109+E109)</f>
        <v/>
      </c>
    </row>
    <row r="110">
      <c r="B110" s="8" t="n"/>
      <c r="C110" s="8" t="n"/>
      <c r="D110" s="20" t="n"/>
      <c r="E110" s="20" t="n"/>
      <c r="F110" s="21">
        <f>IF(B110="","",D110+E110)</f>
        <v/>
      </c>
    </row>
    <row r="111">
      <c r="B111" s="8" t="n"/>
      <c r="C111" s="8" t="n"/>
      <c r="D111" s="20" t="n"/>
      <c r="E111" s="20" t="n"/>
      <c r="F111" s="21">
        <f>IF(B111="","",D111+E111)</f>
        <v/>
      </c>
    </row>
    <row r="112">
      <c r="B112" s="8" t="n"/>
      <c r="C112" s="8" t="n"/>
      <c r="D112" s="20" t="n"/>
      <c r="E112" s="20" t="n"/>
      <c r="F112" s="21">
        <f>IF(B112="","",D112+E112)</f>
        <v/>
      </c>
    </row>
    <row r="113">
      <c r="B113" s="8" t="n"/>
      <c r="C113" s="8" t="n"/>
      <c r="D113" s="20" t="n"/>
      <c r="E113" s="20" t="n"/>
      <c r="F113" s="21">
        <f>IF(B113="","",D113+E113)</f>
        <v/>
      </c>
    </row>
    <row r="114">
      <c r="B114" s="8" t="n"/>
      <c r="C114" s="8" t="n"/>
      <c r="D114" s="20" t="n"/>
      <c r="E114" s="20" t="n"/>
      <c r="F114" s="21">
        <f>IF(B114="","",D114+E114)</f>
        <v/>
      </c>
    </row>
    <row r="115">
      <c r="B115" s="8" t="n"/>
      <c r="C115" s="8" t="n"/>
      <c r="D115" s="20" t="n"/>
      <c r="E115" s="20" t="n"/>
      <c r="F115" s="21">
        <f>IF(B115="","",D115+E115)</f>
        <v/>
      </c>
    </row>
    <row r="116">
      <c r="B116" s="8" t="n"/>
      <c r="C116" s="8" t="n"/>
      <c r="D116" s="20" t="n"/>
      <c r="E116" s="20" t="n"/>
      <c r="F116" s="21">
        <f>IF(B116="","",D116+E116)</f>
        <v/>
      </c>
    </row>
    <row r="117">
      <c r="B117" s="8" t="n"/>
      <c r="C117" s="8" t="n"/>
      <c r="D117" s="20" t="n"/>
      <c r="E117" s="20" t="n"/>
      <c r="F117" s="21">
        <f>IF(B117="","",D117+E117)</f>
        <v/>
      </c>
    </row>
    <row r="118">
      <c r="B118" s="8" t="n"/>
      <c r="C118" s="8" t="n"/>
      <c r="D118" s="20" t="n"/>
      <c r="E118" s="20" t="n"/>
      <c r="F118" s="21">
        <f>IF(B118="","",D118+E118)</f>
        <v/>
      </c>
    </row>
    <row r="119">
      <c r="B119" s="8" t="n"/>
      <c r="C119" s="8" t="n"/>
      <c r="D119" s="20" t="n"/>
      <c r="E119" s="20" t="n"/>
      <c r="F119" s="21">
        <f>IF(B119="","",D119+E119)</f>
        <v/>
      </c>
    </row>
    <row r="120">
      <c r="B120" s="8" t="n"/>
      <c r="C120" s="8" t="n"/>
      <c r="D120" s="20" t="n"/>
      <c r="E120" s="20" t="n"/>
      <c r="F120" s="21">
        <f>IF(B120="","",D120+E120)</f>
        <v/>
      </c>
    </row>
    <row r="121">
      <c r="B121" s="8" t="n"/>
      <c r="C121" s="8" t="n"/>
      <c r="D121" s="20" t="n"/>
      <c r="E121" s="20" t="n"/>
      <c r="F121" s="21">
        <f>IF(B121="","",D121+E121)</f>
        <v/>
      </c>
    </row>
    <row r="122">
      <c r="B122" s="8" t="n"/>
      <c r="C122" s="8" t="n"/>
      <c r="D122" s="20" t="n"/>
      <c r="E122" s="20" t="n"/>
      <c r="F122" s="21">
        <f>IF(B122="","",D122+E122)</f>
        <v/>
      </c>
    </row>
    <row r="123">
      <c r="B123" s="8" t="n"/>
      <c r="C123" s="8" t="n"/>
      <c r="D123" s="20" t="n"/>
      <c r="E123" s="20" t="n"/>
      <c r="F123" s="21">
        <f>IF(B123="","",D123+E123)</f>
        <v/>
      </c>
    </row>
    <row r="124">
      <c r="B124" s="8" t="n"/>
      <c r="C124" s="8" t="n"/>
      <c r="D124" s="20" t="n"/>
      <c r="E124" s="20" t="n"/>
      <c r="F124" s="21">
        <f>IF(B124="","",D124+E124)</f>
        <v/>
      </c>
    </row>
    <row r="125">
      <c r="B125" s="8" t="n"/>
      <c r="C125" s="8" t="n"/>
      <c r="D125" s="20" t="n"/>
      <c r="E125" s="20" t="n"/>
      <c r="F125" s="21">
        <f>IF(B125="","",D125+E125)</f>
        <v/>
      </c>
    </row>
    <row r="126">
      <c r="B126" s="8" t="n"/>
      <c r="C126" s="8" t="n"/>
      <c r="D126" s="20" t="n"/>
      <c r="E126" s="20" t="n"/>
      <c r="F126" s="21">
        <f>IF(B126="","",D126+E126)</f>
        <v/>
      </c>
    </row>
    <row r="127">
      <c r="B127" s="8" t="n"/>
      <c r="C127" s="8" t="n"/>
      <c r="D127" s="20" t="n"/>
      <c r="E127" s="20" t="n"/>
      <c r="F127" s="21">
        <f>IF(B127="","",D127+E127)</f>
        <v/>
      </c>
    </row>
    <row r="128">
      <c r="B128" s="8" t="n"/>
      <c r="C128" s="8" t="n"/>
      <c r="D128" s="20" t="n"/>
      <c r="E128" s="20" t="n"/>
      <c r="F128" s="21">
        <f>IF(B128="","",D128+E128)</f>
        <v/>
      </c>
    </row>
    <row r="129">
      <c r="B129" s="8" t="n"/>
      <c r="C129" s="8" t="n"/>
      <c r="D129" s="20" t="n"/>
      <c r="E129" s="20" t="n"/>
      <c r="F129" s="21">
        <f>IF(B129="","",D129+E129)</f>
        <v/>
      </c>
    </row>
    <row r="130">
      <c r="B130" s="8" t="n"/>
      <c r="C130" s="8" t="n"/>
      <c r="D130" s="20" t="n"/>
      <c r="E130" s="20" t="n"/>
      <c r="F130" s="21">
        <f>IF(B130="","",D130+E130)</f>
        <v/>
      </c>
    </row>
    <row r="131">
      <c r="B131" s="8" t="n"/>
      <c r="C131" s="8" t="n"/>
      <c r="D131" s="20" t="n"/>
      <c r="E131" s="20" t="n"/>
      <c r="F131" s="21">
        <f>IF(B131="","",D131+E131)</f>
        <v/>
      </c>
    </row>
    <row r="132">
      <c r="B132" s="8" t="n"/>
      <c r="C132" s="8" t="n"/>
      <c r="D132" s="20" t="n"/>
      <c r="E132" s="20" t="n"/>
      <c r="F132" s="21">
        <f>IF(B132="","",D132+E132)</f>
        <v/>
      </c>
    </row>
    <row r="133">
      <c r="B133" s="8" t="n"/>
      <c r="C133" s="8" t="n"/>
      <c r="D133" s="20" t="n"/>
      <c r="E133" s="20" t="n"/>
      <c r="F133" s="21">
        <f>IF(B133="","",D133+E133)</f>
        <v/>
      </c>
    </row>
    <row r="134">
      <c r="B134" s="8" t="n"/>
      <c r="C134" s="8" t="n"/>
      <c r="D134" s="20" t="n"/>
      <c r="E134" s="20" t="n"/>
      <c r="F134" s="21">
        <f>IF(B134="","",D134+E134)</f>
        <v/>
      </c>
    </row>
    <row r="135">
      <c r="B135" s="8" t="n"/>
      <c r="C135" s="8" t="n"/>
      <c r="D135" s="20" t="n"/>
      <c r="E135" s="20" t="n"/>
      <c r="F135" s="21">
        <f>IF(B135="","",D135+E135)</f>
        <v/>
      </c>
    </row>
    <row r="136">
      <c r="B136" s="8" t="n"/>
      <c r="C136" s="8" t="n"/>
      <c r="D136" s="20" t="n"/>
      <c r="E136" s="20" t="n"/>
      <c r="F136" s="21">
        <f>IF(B136="","",D136+E136)</f>
        <v/>
      </c>
    </row>
    <row r="137">
      <c r="B137" s="8" t="n"/>
      <c r="C137" s="8" t="n"/>
      <c r="D137" s="20" t="n"/>
      <c r="E137" s="20" t="n"/>
      <c r="F137" s="21">
        <f>IF(B137="","",D137+E137)</f>
        <v/>
      </c>
    </row>
    <row r="138">
      <c r="B138" s="8" t="n"/>
      <c r="C138" s="8" t="n"/>
      <c r="D138" s="20" t="n"/>
      <c r="E138" s="20" t="n"/>
      <c r="F138" s="21">
        <f>IF(B138="","",D138+E138)</f>
        <v/>
      </c>
    </row>
    <row r="139">
      <c r="B139" s="8" t="n"/>
      <c r="C139" s="8" t="n"/>
      <c r="D139" s="20" t="n"/>
      <c r="E139" s="20" t="n"/>
      <c r="F139" s="21">
        <f>IF(B139="","",D139+E139)</f>
        <v/>
      </c>
    </row>
    <row r="140">
      <c r="B140" s="8" t="n"/>
      <c r="C140" s="8" t="n"/>
      <c r="D140" s="20" t="n"/>
      <c r="E140" s="20" t="n"/>
      <c r="F140" s="21">
        <f>IF(B140="","",D140+E140)</f>
        <v/>
      </c>
    </row>
    <row r="141">
      <c r="B141" s="8" t="n"/>
      <c r="C141" s="8" t="n"/>
      <c r="D141" s="20" t="n"/>
      <c r="E141" s="20" t="n"/>
      <c r="F141" s="21">
        <f>IF(B141="","",D141+E141)</f>
        <v/>
      </c>
    </row>
    <row r="142">
      <c r="B142" s="8" t="n"/>
      <c r="C142" s="8" t="n"/>
      <c r="D142" s="20" t="n"/>
      <c r="E142" s="20" t="n"/>
      <c r="F142" s="21">
        <f>IF(B142="","",D142+E142)</f>
        <v/>
      </c>
    </row>
    <row r="143">
      <c r="B143" s="8" t="n"/>
      <c r="C143" s="8" t="n"/>
      <c r="D143" s="20" t="n"/>
      <c r="E143" s="20" t="n"/>
      <c r="F143" s="21">
        <f>IF(B143="","",D143+E143)</f>
        <v/>
      </c>
    </row>
    <row r="144">
      <c r="B144" s="8" t="n"/>
      <c r="C144" s="8" t="n"/>
      <c r="D144" s="20" t="n"/>
      <c r="E144" s="20" t="n"/>
      <c r="F144" s="21">
        <f>IF(B144="","",D144+E144)</f>
        <v/>
      </c>
    </row>
    <row r="145">
      <c r="B145" s="8" t="n"/>
      <c r="C145" s="8" t="n"/>
      <c r="D145" s="20" t="n"/>
      <c r="E145" s="20" t="n"/>
      <c r="F145" s="21">
        <f>IF(B145="","",D145+E145)</f>
        <v/>
      </c>
    </row>
    <row r="146">
      <c r="B146" s="8" t="n"/>
      <c r="C146" s="8" t="n"/>
      <c r="D146" s="20" t="n"/>
      <c r="E146" s="20" t="n"/>
      <c r="F146" s="21">
        <f>IF(B146="","",D146+E146)</f>
        <v/>
      </c>
    </row>
    <row r="147">
      <c r="B147" s="8" t="n"/>
      <c r="C147" s="8" t="n"/>
      <c r="D147" s="20" t="n"/>
      <c r="E147" s="20" t="n"/>
      <c r="F147" s="21">
        <f>IF(B147="","",D147+E147)</f>
        <v/>
      </c>
    </row>
    <row r="148">
      <c r="B148" s="8" t="n"/>
      <c r="C148" s="8" t="n"/>
      <c r="D148" s="20" t="n"/>
      <c r="E148" s="20" t="n"/>
      <c r="F148" s="21">
        <f>IF(B148="","",D148+E148)</f>
        <v/>
      </c>
    </row>
    <row r="149">
      <c r="B149" s="8" t="n"/>
      <c r="C149" s="8" t="n"/>
      <c r="D149" s="20" t="n"/>
      <c r="E149" s="20" t="n"/>
      <c r="F149" s="21">
        <f>IF(B149="","",D149+E149)</f>
        <v/>
      </c>
    </row>
    <row r="150">
      <c r="B150" s="8" t="n"/>
      <c r="C150" s="8" t="n"/>
      <c r="D150" s="20" t="n"/>
      <c r="E150" s="20" t="n"/>
      <c r="F150" s="21">
        <f>IF(B150="","",D150+E150)</f>
        <v/>
      </c>
    </row>
    <row r="151">
      <c r="B151" s="8" t="n"/>
      <c r="C151" s="8" t="n"/>
      <c r="D151" s="20" t="n"/>
      <c r="E151" s="20" t="n"/>
      <c r="F151" s="21">
        <f>IF(B151="","",D151+E151)</f>
        <v/>
      </c>
    </row>
    <row r="152">
      <c r="B152" s="8" t="n"/>
      <c r="C152" s="8" t="n"/>
      <c r="D152" s="20" t="n"/>
      <c r="E152" s="20" t="n"/>
      <c r="F152" s="21">
        <f>IF(B152="","",D152+E152)</f>
        <v/>
      </c>
    </row>
    <row r="153">
      <c r="B153" s="8" t="n"/>
      <c r="C153" s="8" t="n"/>
      <c r="D153" s="20" t="n"/>
      <c r="E153" s="20" t="n"/>
      <c r="F153" s="21">
        <f>IF(B153="","",D153+E153)</f>
        <v/>
      </c>
    </row>
    <row r="154">
      <c r="B154" s="8" t="n"/>
      <c r="C154" s="8" t="n"/>
      <c r="D154" s="20" t="n"/>
      <c r="E154" s="20" t="n"/>
      <c r="F154" s="21">
        <f>IF(B154="","",D154+E154)</f>
        <v/>
      </c>
    </row>
    <row r="155">
      <c r="B155" s="8" t="n"/>
      <c r="C155" s="8" t="n"/>
      <c r="D155" s="20" t="n"/>
      <c r="E155" s="20" t="n"/>
      <c r="F155" s="21">
        <f>IF(B155="","",D155+E155)</f>
        <v/>
      </c>
    </row>
    <row r="156">
      <c r="B156" s="8" t="n"/>
      <c r="C156" s="8" t="n"/>
      <c r="D156" s="20" t="n"/>
      <c r="E156" s="20" t="n"/>
      <c r="F156" s="21">
        <f>IF(B156="","",D156+E156)</f>
        <v/>
      </c>
    </row>
    <row r="157">
      <c r="B157" s="8" t="n"/>
      <c r="C157" s="8" t="n"/>
      <c r="D157" s="20" t="n"/>
      <c r="E157" s="20" t="n"/>
      <c r="F157" s="21">
        <f>IF(B157="","",D157+E157)</f>
        <v/>
      </c>
    </row>
    <row r="158">
      <c r="B158" s="8" t="n"/>
      <c r="C158" s="8" t="n"/>
      <c r="D158" s="20" t="n"/>
      <c r="E158" s="20" t="n"/>
      <c r="F158" s="21">
        <f>IF(B158="","",D158+E158)</f>
        <v/>
      </c>
    </row>
    <row r="159">
      <c r="B159" s="8" t="n"/>
      <c r="C159" s="8" t="n"/>
      <c r="D159" s="20" t="n"/>
      <c r="E159" s="20" t="n"/>
      <c r="F159" s="21">
        <f>IF(B159="","",D159+E159)</f>
        <v/>
      </c>
    </row>
    <row r="160">
      <c r="B160" s="8" t="n"/>
      <c r="C160" s="8" t="n"/>
      <c r="D160" s="20" t="n"/>
      <c r="E160" s="20" t="n"/>
      <c r="F160" s="21">
        <f>IF(B160="","",D160+E160)</f>
        <v/>
      </c>
    </row>
    <row r="161">
      <c r="B161" s="8" t="n"/>
      <c r="C161" s="8" t="n"/>
      <c r="D161" s="20" t="n"/>
      <c r="E161" s="20" t="n"/>
      <c r="F161" s="21">
        <f>IF(B161="","",D161+E161)</f>
        <v/>
      </c>
    </row>
    <row r="162">
      <c r="B162" s="8" t="n"/>
      <c r="C162" s="8" t="n"/>
      <c r="D162" s="20" t="n"/>
      <c r="E162" s="20" t="n"/>
      <c r="F162" s="21">
        <f>IF(B162="","",D162+E162)</f>
        <v/>
      </c>
    </row>
    <row r="163">
      <c r="B163" s="8" t="n"/>
      <c r="C163" s="8" t="n"/>
      <c r="D163" s="20" t="n"/>
      <c r="E163" s="20" t="n"/>
      <c r="F163" s="21">
        <f>IF(B163="","",D163+E163)</f>
        <v/>
      </c>
    </row>
    <row r="164">
      <c r="B164" s="8" t="n"/>
      <c r="C164" s="8" t="n"/>
      <c r="D164" s="20" t="n"/>
      <c r="E164" s="20" t="n"/>
      <c r="F164" s="21">
        <f>IF(B164="","",D164+E164)</f>
        <v/>
      </c>
    </row>
    <row r="165">
      <c r="B165" s="8" t="n"/>
      <c r="C165" s="8" t="n"/>
      <c r="D165" s="20" t="n"/>
      <c r="E165" s="20" t="n"/>
      <c r="F165" s="21">
        <f>IF(B165="","",D165+E165)</f>
        <v/>
      </c>
    </row>
    <row r="166">
      <c r="B166" s="8" t="n"/>
      <c r="C166" s="8" t="n"/>
      <c r="D166" s="20" t="n"/>
      <c r="E166" s="20" t="n"/>
      <c r="F166" s="21">
        <f>IF(B166="","",D166+E166)</f>
        <v/>
      </c>
    </row>
    <row r="167">
      <c r="B167" s="8" t="n"/>
      <c r="C167" s="8" t="n"/>
      <c r="D167" s="20" t="n"/>
      <c r="E167" s="20" t="n"/>
      <c r="F167" s="21">
        <f>IF(B167="","",D167+E167)</f>
        <v/>
      </c>
    </row>
    <row r="168">
      <c r="B168" s="8" t="n"/>
      <c r="C168" s="8" t="n"/>
      <c r="D168" s="20" t="n"/>
      <c r="E168" s="20" t="n"/>
      <c r="F168" s="21">
        <f>IF(B168="","",D168+E168)</f>
        <v/>
      </c>
    </row>
    <row r="169">
      <c r="B169" s="8" t="n"/>
      <c r="C169" s="8" t="n"/>
      <c r="D169" s="20" t="n"/>
      <c r="E169" s="20" t="n"/>
      <c r="F169" s="21">
        <f>IF(B169="","",D169+E169)</f>
        <v/>
      </c>
    </row>
    <row r="170">
      <c r="B170" s="8" t="n"/>
      <c r="C170" s="8" t="n"/>
      <c r="D170" s="20" t="n"/>
      <c r="E170" s="20" t="n"/>
      <c r="F170" s="21">
        <f>IF(B170="","",D170+E170)</f>
        <v/>
      </c>
    </row>
    <row r="171">
      <c r="B171" s="8" t="n"/>
      <c r="C171" s="8" t="n"/>
      <c r="D171" s="20" t="n"/>
      <c r="E171" s="20" t="n"/>
      <c r="F171" s="21">
        <f>IF(B171="","",D171+E171)</f>
        <v/>
      </c>
    </row>
    <row r="172">
      <c r="B172" s="8" t="n"/>
      <c r="C172" s="8" t="n"/>
      <c r="D172" s="20" t="n"/>
      <c r="E172" s="20" t="n"/>
      <c r="F172" s="21">
        <f>IF(B172="","",D172+E172)</f>
        <v/>
      </c>
    </row>
    <row r="173">
      <c r="B173" s="8" t="n"/>
      <c r="C173" s="8" t="n"/>
      <c r="D173" s="20" t="n"/>
      <c r="E173" s="20" t="n"/>
      <c r="F173" s="21">
        <f>IF(B173="","",D173+E173)</f>
        <v/>
      </c>
    </row>
    <row r="174">
      <c r="B174" s="8" t="n"/>
      <c r="C174" s="8" t="n"/>
      <c r="D174" s="20" t="n"/>
      <c r="E174" s="20" t="n"/>
      <c r="F174" s="21">
        <f>IF(B174="","",D174+E174)</f>
        <v/>
      </c>
    </row>
    <row r="175">
      <c r="B175" s="8" t="n"/>
      <c r="C175" s="8" t="n"/>
      <c r="D175" s="20" t="n"/>
      <c r="E175" s="20" t="n"/>
      <c r="F175" s="21">
        <f>IF(B175="","",D175+E175)</f>
        <v/>
      </c>
    </row>
    <row r="176">
      <c r="B176" s="8" t="n"/>
      <c r="C176" s="8" t="n"/>
      <c r="D176" s="20" t="n"/>
      <c r="E176" s="20" t="n"/>
      <c r="F176" s="21">
        <f>IF(B176="","",D176+E176)</f>
        <v/>
      </c>
    </row>
    <row r="177">
      <c r="B177" s="8" t="n"/>
      <c r="C177" s="8" t="n"/>
      <c r="D177" s="20" t="n"/>
      <c r="E177" s="20" t="n"/>
      <c r="F177" s="21">
        <f>IF(B177="","",D177+E177)</f>
        <v/>
      </c>
    </row>
    <row r="178">
      <c r="B178" s="8" t="n"/>
      <c r="C178" s="8" t="n"/>
      <c r="D178" s="20" t="n"/>
      <c r="E178" s="20" t="n"/>
      <c r="F178" s="21">
        <f>IF(B178="","",D178+E178)</f>
        <v/>
      </c>
    </row>
    <row r="179">
      <c r="B179" s="8" t="n"/>
      <c r="C179" s="8" t="n"/>
      <c r="D179" s="20" t="n"/>
      <c r="E179" s="20" t="n"/>
      <c r="F179" s="21">
        <f>IF(B179="","",D179+E179)</f>
        <v/>
      </c>
    </row>
    <row r="180">
      <c r="B180" s="8" t="n"/>
      <c r="C180" s="8" t="n"/>
      <c r="D180" s="20" t="n"/>
      <c r="E180" s="20" t="n"/>
      <c r="F180" s="21">
        <f>IF(B180="","",D180+E180)</f>
        <v/>
      </c>
    </row>
    <row r="181">
      <c r="B181" s="8" t="n"/>
      <c r="C181" s="8" t="n"/>
      <c r="D181" s="20" t="n"/>
      <c r="E181" s="20" t="n"/>
      <c r="F181" s="21">
        <f>IF(B181="","",D181+E181)</f>
        <v/>
      </c>
    </row>
    <row r="182">
      <c r="B182" s="8" t="n"/>
      <c r="C182" s="8" t="n"/>
      <c r="D182" s="20" t="n"/>
      <c r="E182" s="20" t="n"/>
      <c r="F182" s="21">
        <f>IF(B182="","",D182+E182)</f>
        <v/>
      </c>
    </row>
    <row r="183">
      <c r="B183" s="8" t="n"/>
      <c r="C183" s="8" t="n"/>
      <c r="D183" s="20" t="n"/>
      <c r="E183" s="20" t="n"/>
      <c r="F183" s="21">
        <f>IF(B183="","",D183+E183)</f>
        <v/>
      </c>
    </row>
    <row r="184">
      <c r="B184" s="8" t="n"/>
      <c r="C184" s="8" t="n"/>
      <c r="D184" s="20" t="n"/>
      <c r="E184" s="20" t="n"/>
      <c r="F184" s="21">
        <f>IF(B184="","",D184+E184)</f>
        <v/>
      </c>
    </row>
    <row r="185">
      <c r="B185" s="8" t="n"/>
      <c r="C185" s="8" t="n"/>
      <c r="D185" s="20" t="n"/>
      <c r="E185" s="20" t="n"/>
      <c r="F185" s="21">
        <f>IF(B185="","",D185+E185)</f>
        <v/>
      </c>
    </row>
    <row r="186">
      <c r="B186" s="8" t="n"/>
      <c r="C186" s="8" t="n"/>
      <c r="D186" s="20" t="n"/>
      <c r="E186" s="20" t="n"/>
      <c r="F186" s="21">
        <f>IF(B186="","",D186+E186)</f>
        <v/>
      </c>
    </row>
    <row r="187">
      <c r="B187" s="8" t="n"/>
      <c r="C187" s="8" t="n"/>
      <c r="D187" s="20" t="n"/>
      <c r="E187" s="20" t="n"/>
      <c r="F187" s="21">
        <f>IF(B187="","",D187+E187)</f>
        <v/>
      </c>
    </row>
    <row r="188">
      <c r="B188" s="8" t="n"/>
      <c r="C188" s="8" t="n"/>
      <c r="D188" s="20" t="n"/>
      <c r="E188" s="20" t="n"/>
      <c r="F188" s="21">
        <f>IF(B188="","",D188+E188)</f>
        <v/>
      </c>
    </row>
    <row r="189">
      <c r="B189" s="8" t="n"/>
      <c r="C189" s="8" t="n"/>
      <c r="D189" s="20" t="n"/>
      <c r="E189" s="20" t="n"/>
      <c r="F189" s="21">
        <f>IF(B189="","",D189+E189)</f>
        <v/>
      </c>
    </row>
    <row r="190">
      <c r="B190" s="8" t="n"/>
      <c r="C190" s="8" t="n"/>
      <c r="D190" s="20" t="n"/>
      <c r="E190" s="20" t="n"/>
      <c r="F190" s="21">
        <f>IF(B190="","",D190+E190)</f>
        <v/>
      </c>
    </row>
    <row r="191">
      <c r="B191" s="8" t="n"/>
      <c r="C191" s="8" t="n"/>
      <c r="D191" s="20" t="n"/>
      <c r="E191" s="20" t="n"/>
      <c r="F191" s="21">
        <f>IF(B191="","",D191+E191)</f>
        <v/>
      </c>
    </row>
    <row r="192">
      <c r="B192" s="8" t="n"/>
      <c r="C192" s="8" t="n"/>
      <c r="D192" s="20" t="n"/>
      <c r="E192" s="20" t="n"/>
      <c r="F192" s="21">
        <f>IF(B192="","",D192+E192)</f>
        <v/>
      </c>
    </row>
    <row r="193">
      <c r="B193" s="8" t="n"/>
      <c r="C193" s="8" t="n"/>
      <c r="D193" s="20" t="n"/>
      <c r="E193" s="20" t="n"/>
      <c r="F193" s="21">
        <f>IF(B193="","",D193+E193)</f>
        <v/>
      </c>
    </row>
    <row r="194">
      <c r="B194" s="8" t="n"/>
      <c r="C194" s="8" t="n"/>
      <c r="D194" s="20" t="n"/>
      <c r="E194" s="20" t="n"/>
      <c r="F194" s="21">
        <f>IF(B194="","",D194+E194)</f>
        <v/>
      </c>
    </row>
    <row r="195">
      <c r="B195" s="8" t="n"/>
      <c r="C195" s="8" t="n"/>
      <c r="D195" s="20" t="n"/>
      <c r="E195" s="20" t="n"/>
      <c r="F195" s="21">
        <f>IF(B195="","",D195+E195)</f>
        <v/>
      </c>
    </row>
    <row r="196">
      <c r="B196" s="8" t="n"/>
      <c r="C196" s="8" t="n"/>
      <c r="D196" s="20" t="n"/>
      <c r="E196" s="20" t="n"/>
      <c r="F196" s="21">
        <f>IF(B196="","",D196+E196)</f>
        <v/>
      </c>
    </row>
    <row r="197">
      <c r="B197" s="8" t="n"/>
      <c r="C197" s="8" t="n"/>
      <c r="D197" s="20" t="n"/>
      <c r="E197" s="20" t="n"/>
      <c r="F197" s="21">
        <f>IF(B197="","",D197+E197)</f>
        <v/>
      </c>
    </row>
    <row r="198">
      <c r="B198" s="8" t="n"/>
      <c r="C198" s="8" t="n"/>
      <c r="D198" s="20" t="n"/>
      <c r="E198" s="20" t="n"/>
      <c r="F198" s="21">
        <f>IF(B198="","",D198+E198)</f>
        <v/>
      </c>
    </row>
    <row r="199">
      <c r="B199" s="8" t="n"/>
      <c r="C199" s="8" t="n"/>
      <c r="D199" s="20" t="n"/>
      <c r="E199" s="20" t="n"/>
      <c r="F199" s="21">
        <f>IF(B199="","",D199+E199)</f>
        <v/>
      </c>
    </row>
    <row r="200">
      <c r="B200" s="8" t="n"/>
      <c r="C200" s="8" t="n"/>
      <c r="D200" s="20" t="n"/>
      <c r="E200" s="20" t="n"/>
      <c r="F200" s="21">
        <f>IF(B200="","",D200+E200)</f>
        <v/>
      </c>
    </row>
    <row r="201">
      <c r="B201" s="8" t="n"/>
      <c r="C201" s="8" t="n"/>
      <c r="D201" s="20" t="n"/>
      <c r="E201" s="20" t="n"/>
      <c r="F201" s="21">
        <f>IF(B201="","",D201+E201)</f>
        <v/>
      </c>
    </row>
    <row r="202">
      <c r="B202" s="8" t="n"/>
      <c r="C202" s="8" t="n"/>
      <c r="D202" s="20" t="n"/>
      <c r="E202" s="20" t="n"/>
      <c r="F202" s="21">
        <f>IF(B202="","",D202+E202)</f>
        <v/>
      </c>
    </row>
    <row r="203">
      <c r="B203" s="8" t="n"/>
      <c r="C203" s="8" t="n"/>
      <c r="D203" s="20" t="n"/>
      <c r="E203" s="20" t="n"/>
      <c r="F203" s="21">
        <f>IF(B203="","",D203+E203)</f>
        <v/>
      </c>
    </row>
    <row r="204">
      <c r="B204" s="8" t="n"/>
      <c r="C204" s="8" t="n"/>
      <c r="D204" s="20" t="n"/>
      <c r="E204" s="20" t="n"/>
      <c r="F204" s="21">
        <f>IF(B204="","",D204+E204)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B4:F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2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3" customWidth="1" min="4" max="4"/>
    <col width="7" customWidth="1" min="5" max="5"/>
    <col width="13" customWidth="1" min="6" max="6"/>
    <col width="13" customWidth="1" min="7" max="7"/>
    <col width="11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B1" s="1" t="inlineStr">
        <is>
          <t>Sales</t>
        </is>
      </c>
    </row>
    <row r="2">
      <c r="B2" s="2" t="inlineStr">
        <is>
          <t>One row per product in each order. Copy the figures from your Etsy order.</t>
        </is>
      </c>
    </row>
    <row r="4" ht="30" customHeight="1">
      <c r="B4" s="13" t="inlineStr">
        <is>
          <t>Date</t>
        </is>
      </c>
      <c r="C4" s="13" t="inlineStr">
        <is>
          <t>Order no.</t>
        </is>
      </c>
      <c r="D4" s="13" t="inlineStr">
        <is>
          <t>SKU</t>
        </is>
      </c>
      <c r="E4" s="13" t="inlineStr">
        <is>
          <t>Qty</t>
        </is>
      </c>
      <c r="F4" s="13" t="inlineStr">
        <is>
          <t>Item price £</t>
        </is>
      </c>
      <c r="G4" s="13" t="inlineStr">
        <is>
          <t>Postage charged £</t>
        </is>
      </c>
      <c r="H4" s="13" t="inlineStr">
        <is>
          <t>From Offsite Ad?</t>
        </is>
      </c>
      <c r="I4" s="13" t="inlineStr">
        <is>
          <t>Postage you paid £</t>
        </is>
      </c>
      <c r="J4" s="13" t="inlineStr">
        <is>
          <t>Revenue £</t>
        </is>
      </c>
      <c r="K4" s="13" t="inlineStr">
        <is>
          <t>Etsy fees £</t>
        </is>
      </c>
      <c r="L4" s="13" t="inlineStr">
        <is>
          <t>VAT on fees £</t>
        </is>
      </c>
      <c r="M4" s="13" t="inlineStr">
        <is>
          <t>Cost of goods £</t>
        </is>
      </c>
      <c r="N4" s="13" t="inlineStr">
        <is>
          <t>Profit £</t>
        </is>
      </c>
    </row>
    <row r="5">
      <c r="B5" s="11" t="n"/>
      <c r="C5" s="8" t="n"/>
      <c r="D5" s="8" t="n"/>
      <c r="E5" s="8" t="n"/>
      <c r="F5" s="20" t="n"/>
      <c r="G5" s="20" t="n"/>
      <c r="H5" s="8" t="n"/>
      <c r="I5" s="20" t="n"/>
      <c r="J5" s="21">
        <f>IF(B5="","",F5+G5)</f>
        <v/>
      </c>
      <c r="K5" s="21">
        <f>IF(B5="","",J5*(Settings!$C$11+Settings!$C$12+Settings!$C$14)+IF(C5="",Settings!$C$13,IF(COUNTIF($C$5:C5,C5)=1,Settings!$C$13,0))+E5*Settings!$C$15+IF(H5="Yes",J5*Settings!$C$16,0))</f>
        <v/>
      </c>
      <c r="L5" s="21">
        <f>IF(B5="","",IF(Settings!$C$5="Yes",0,K5*Settings!$C$17))</f>
        <v/>
      </c>
      <c r="M5" s="21">
        <f>IF(B5="","",E5*IFERROR(VLOOKUP(D5,Products!$B$5:$F$204,5,FALSE),0))</f>
        <v/>
      </c>
      <c r="N5" s="21">
        <f>IF(B5="","",J5-K5-L5-M5-I5)</f>
        <v/>
      </c>
    </row>
    <row r="6">
      <c r="B6" s="11" t="n"/>
      <c r="C6" s="8" t="n"/>
      <c r="D6" s="8" t="n"/>
      <c r="E6" s="8" t="n"/>
      <c r="F6" s="20" t="n"/>
      <c r="G6" s="20" t="n"/>
      <c r="H6" s="8" t="n"/>
      <c r="I6" s="20" t="n"/>
      <c r="J6" s="21">
        <f>IF(B6="","",F6+G6)</f>
        <v/>
      </c>
      <c r="K6" s="21">
        <f>IF(B6="","",J6*(Settings!$C$11+Settings!$C$12+Settings!$C$14)+IF(C6="",Settings!$C$13,IF(COUNTIF($C$5:C6,C6)=1,Settings!$C$13,0))+E6*Settings!$C$15+IF(H6="Yes",J6*Settings!$C$16,0))</f>
        <v/>
      </c>
      <c r="L6" s="21">
        <f>IF(B6="","",IF(Settings!$C$5="Yes",0,K6*Settings!$C$17))</f>
        <v/>
      </c>
      <c r="M6" s="21">
        <f>IF(B6="","",E6*IFERROR(VLOOKUP(D6,Products!$B$5:$F$204,5,FALSE),0))</f>
        <v/>
      </c>
      <c r="N6" s="21">
        <f>IF(B6="","",J6-K6-L6-M6-I6)</f>
        <v/>
      </c>
    </row>
    <row r="7">
      <c r="B7" s="11" t="n"/>
      <c r="C7" s="8" t="n"/>
      <c r="D7" s="8" t="n"/>
      <c r="E7" s="8" t="n"/>
      <c r="F7" s="20" t="n"/>
      <c r="G7" s="20" t="n"/>
      <c r="H7" s="8" t="n"/>
      <c r="I7" s="20" t="n"/>
      <c r="J7" s="21">
        <f>IF(B7="","",F7+G7)</f>
        <v/>
      </c>
      <c r="K7" s="21">
        <f>IF(B7="","",J7*(Settings!$C$11+Settings!$C$12+Settings!$C$14)+IF(C7="",Settings!$C$13,IF(COUNTIF($C$5:C7,C7)=1,Settings!$C$13,0))+E7*Settings!$C$15+IF(H7="Yes",J7*Settings!$C$16,0))</f>
        <v/>
      </c>
      <c r="L7" s="21">
        <f>IF(B7="","",IF(Settings!$C$5="Yes",0,K7*Settings!$C$17))</f>
        <v/>
      </c>
      <c r="M7" s="21">
        <f>IF(B7="","",E7*IFERROR(VLOOKUP(D7,Products!$B$5:$F$204,5,FALSE),0))</f>
        <v/>
      </c>
      <c r="N7" s="21">
        <f>IF(B7="","",J7-K7-L7-M7-I7)</f>
        <v/>
      </c>
    </row>
    <row r="8">
      <c r="B8" s="11" t="n"/>
      <c r="C8" s="8" t="n"/>
      <c r="D8" s="8" t="n"/>
      <c r="E8" s="8" t="n"/>
      <c r="F8" s="20" t="n"/>
      <c r="G8" s="20" t="n"/>
      <c r="H8" s="8" t="n"/>
      <c r="I8" s="20" t="n"/>
      <c r="J8" s="21">
        <f>IF(B8="","",F8+G8)</f>
        <v/>
      </c>
      <c r="K8" s="21">
        <f>IF(B8="","",J8*(Settings!$C$11+Settings!$C$12+Settings!$C$14)+IF(C8="",Settings!$C$13,IF(COUNTIF($C$5:C8,C8)=1,Settings!$C$13,0))+E8*Settings!$C$15+IF(H8="Yes",J8*Settings!$C$16,0))</f>
        <v/>
      </c>
      <c r="L8" s="21">
        <f>IF(B8="","",IF(Settings!$C$5="Yes",0,K8*Settings!$C$17))</f>
        <v/>
      </c>
      <c r="M8" s="21">
        <f>IF(B8="","",E8*IFERROR(VLOOKUP(D8,Products!$B$5:$F$204,5,FALSE),0))</f>
        <v/>
      </c>
      <c r="N8" s="21">
        <f>IF(B8="","",J8-K8-L8-M8-I8)</f>
        <v/>
      </c>
    </row>
    <row r="9">
      <c r="B9" s="11" t="n"/>
      <c r="C9" s="8" t="n"/>
      <c r="D9" s="8" t="n"/>
      <c r="E9" s="8" t="n"/>
      <c r="F9" s="20" t="n"/>
      <c r="G9" s="20" t="n"/>
      <c r="H9" s="8" t="n"/>
      <c r="I9" s="20" t="n"/>
      <c r="J9" s="21">
        <f>IF(B9="","",F9+G9)</f>
        <v/>
      </c>
      <c r="K9" s="21">
        <f>IF(B9="","",J9*(Settings!$C$11+Settings!$C$12+Settings!$C$14)+IF(C9="",Settings!$C$13,IF(COUNTIF($C$5:C9,C9)=1,Settings!$C$13,0))+E9*Settings!$C$15+IF(H9="Yes",J9*Settings!$C$16,0))</f>
        <v/>
      </c>
      <c r="L9" s="21">
        <f>IF(B9="","",IF(Settings!$C$5="Yes",0,K9*Settings!$C$17))</f>
        <v/>
      </c>
      <c r="M9" s="21">
        <f>IF(B9="","",E9*IFERROR(VLOOKUP(D9,Products!$B$5:$F$204,5,FALSE),0))</f>
        <v/>
      </c>
      <c r="N9" s="21">
        <f>IF(B9="","",J9-K9-L9-M9-I9)</f>
        <v/>
      </c>
    </row>
    <row r="10">
      <c r="B10" s="11" t="n"/>
      <c r="C10" s="8" t="n"/>
      <c r="D10" s="8" t="n"/>
      <c r="E10" s="8" t="n"/>
      <c r="F10" s="20" t="n"/>
      <c r="G10" s="20" t="n"/>
      <c r="H10" s="8" t="n"/>
      <c r="I10" s="20" t="n"/>
      <c r="J10" s="21">
        <f>IF(B10="","",F10+G10)</f>
        <v/>
      </c>
      <c r="K10" s="21">
        <f>IF(B10="","",J10*(Settings!$C$11+Settings!$C$12+Settings!$C$14)+IF(C10="",Settings!$C$13,IF(COUNTIF($C$5:C10,C10)=1,Settings!$C$13,0))+E10*Settings!$C$15+IF(H10="Yes",J10*Settings!$C$16,0))</f>
        <v/>
      </c>
      <c r="L10" s="21">
        <f>IF(B10="","",IF(Settings!$C$5="Yes",0,K10*Settings!$C$17))</f>
        <v/>
      </c>
      <c r="M10" s="21">
        <f>IF(B10="","",E10*IFERROR(VLOOKUP(D10,Products!$B$5:$F$204,5,FALSE),0))</f>
        <v/>
      </c>
      <c r="N10" s="21">
        <f>IF(B10="","",J10-K10-L10-M10-I10)</f>
        <v/>
      </c>
    </row>
    <row r="11">
      <c r="B11" s="11" t="n"/>
      <c r="C11" s="8" t="n"/>
      <c r="D11" s="8" t="n"/>
      <c r="E11" s="8" t="n"/>
      <c r="F11" s="20" t="n"/>
      <c r="G11" s="20" t="n"/>
      <c r="H11" s="8" t="n"/>
      <c r="I11" s="20" t="n"/>
      <c r="J11" s="21">
        <f>IF(B11="","",F11+G11)</f>
        <v/>
      </c>
      <c r="K11" s="21">
        <f>IF(B11="","",J11*(Settings!$C$11+Settings!$C$12+Settings!$C$14)+IF(C11="",Settings!$C$13,IF(COUNTIF($C$5:C11,C11)=1,Settings!$C$13,0))+E11*Settings!$C$15+IF(H11="Yes",J11*Settings!$C$16,0))</f>
        <v/>
      </c>
      <c r="L11" s="21">
        <f>IF(B11="","",IF(Settings!$C$5="Yes",0,K11*Settings!$C$17))</f>
        <v/>
      </c>
      <c r="M11" s="21">
        <f>IF(B11="","",E11*IFERROR(VLOOKUP(D11,Products!$B$5:$F$204,5,FALSE),0))</f>
        <v/>
      </c>
      <c r="N11" s="21">
        <f>IF(B11="","",J11-K11-L11-M11-I11)</f>
        <v/>
      </c>
    </row>
    <row r="12">
      <c r="B12" s="11" t="n"/>
      <c r="C12" s="8" t="n"/>
      <c r="D12" s="8" t="n"/>
      <c r="E12" s="8" t="n"/>
      <c r="F12" s="20" t="n"/>
      <c r="G12" s="20" t="n"/>
      <c r="H12" s="8" t="n"/>
      <c r="I12" s="20" t="n"/>
      <c r="J12" s="21">
        <f>IF(B12="","",F12+G12)</f>
        <v/>
      </c>
      <c r="K12" s="21">
        <f>IF(B12="","",J12*(Settings!$C$11+Settings!$C$12+Settings!$C$14)+IF(C12="",Settings!$C$13,IF(COUNTIF($C$5:C12,C12)=1,Settings!$C$13,0))+E12*Settings!$C$15+IF(H12="Yes",J12*Settings!$C$16,0))</f>
        <v/>
      </c>
      <c r="L12" s="21">
        <f>IF(B12="","",IF(Settings!$C$5="Yes",0,K12*Settings!$C$17))</f>
        <v/>
      </c>
      <c r="M12" s="21">
        <f>IF(B12="","",E12*IFERROR(VLOOKUP(D12,Products!$B$5:$F$204,5,FALSE),0))</f>
        <v/>
      </c>
      <c r="N12" s="21">
        <f>IF(B12="","",J12-K12-L12-M12-I12)</f>
        <v/>
      </c>
    </row>
    <row r="13">
      <c r="B13" s="11" t="n"/>
      <c r="C13" s="8" t="n"/>
      <c r="D13" s="8" t="n"/>
      <c r="E13" s="8" t="n"/>
      <c r="F13" s="20" t="n"/>
      <c r="G13" s="20" t="n"/>
      <c r="H13" s="8" t="n"/>
      <c r="I13" s="20" t="n"/>
      <c r="J13" s="21">
        <f>IF(B13="","",F13+G13)</f>
        <v/>
      </c>
      <c r="K13" s="21">
        <f>IF(B13="","",J13*(Settings!$C$11+Settings!$C$12+Settings!$C$14)+IF(C13="",Settings!$C$13,IF(COUNTIF($C$5:C13,C13)=1,Settings!$C$13,0))+E13*Settings!$C$15+IF(H13="Yes",J13*Settings!$C$16,0))</f>
        <v/>
      </c>
      <c r="L13" s="21">
        <f>IF(B13="","",IF(Settings!$C$5="Yes",0,K13*Settings!$C$17))</f>
        <v/>
      </c>
      <c r="M13" s="21">
        <f>IF(B13="","",E13*IFERROR(VLOOKUP(D13,Products!$B$5:$F$204,5,FALSE),0))</f>
        <v/>
      </c>
      <c r="N13" s="21">
        <f>IF(B13="","",J13-K13-L13-M13-I13)</f>
        <v/>
      </c>
    </row>
    <row r="14">
      <c r="B14" s="11" t="n"/>
      <c r="C14" s="8" t="n"/>
      <c r="D14" s="8" t="n"/>
      <c r="E14" s="8" t="n"/>
      <c r="F14" s="20" t="n"/>
      <c r="G14" s="20" t="n"/>
      <c r="H14" s="8" t="n"/>
      <c r="I14" s="20" t="n"/>
      <c r="J14" s="21">
        <f>IF(B14="","",F14+G14)</f>
        <v/>
      </c>
      <c r="K14" s="21">
        <f>IF(B14="","",J14*(Settings!$C$11+Settings!$C$12+Settings!$C$14)+IF(C14="",Settings!$C$13,IF(COUNTIF($C$5:C14,C14)=1,Settings!$C$13,0))+E14*Settings!$C$15+IF(H14="Yes",J14*Settings!$C$16,0))</f>
        <v/>
      </c>
      <c r="L14" s="21">
        <f>IF(B14="","",IF(Settings!$C$5="Yes",0,K14*Settings!$C$17))</f>
        <v/>
      </c>
      <c r="M14" s="21">
        <f>IF(B14="","",E14*IFERROR(VLOOKUP(D14,Products!$B$5:$F$204,5,FALSE),0))</f>
        <v/>
      </c>
      <c r="N14" s="21">
        <f>IF(B14="","",J14-K14-L14-M14-I14)</f>
        <v/>
      </c>
    </row>
    <row r="15">
      <c r="B15" s="11" t="n"/>
      <c r="C15" s="8" t="n"/>
      <c r="D15" s="8" t="n"/>
      <c r="E15" s="8" t="n"/>
      <c r="F15" s="20" t="n"/>
      <c r="G15" s="20" t="n"/>
      <c r="H15" s="8" t="n"/>
      <c r="I15" s="20" t="n"/>
      <c r="J15" s="21">
        <f>IF(B15="","",F15+G15)</f>
        <v/>
      </c>
      <c r="K15" s="21">
        <f>IF(B15="","",J15*(Settings!$C$11+Settings!$C$12+Settings!$C$14)+IF(C15="",Settings!$C$13,IF(COUNTIF($C$5:C15,C15)=1,Settings!$C$13,0))+E15*Settings!$C$15+IF(H15="Yes",J15*Settings!$C$16,0))</f>
        <v/>
      </c>
      <c r="L15" s="21">
        <f>IF(B15="","",IF(Settings!$C$5="Yes",0,K15*Settings!$C$17))</f>
        <v/>
      </c>
      <c r="M15" s="21">
        <f>IF(B15="","",E15*IFERROR(VLOOKUP(D15,Products!$B$5:$F$204,5,FALSE),0))</f>
        <v/>
      </c>
      <c r="N15" s="21">
        <f>IF(B15="","",J15-K15-L15-M15-I15)</f>
        <v/>
      </c>
    </row>
    <row r="16">
      <c r="B16" s="11" t="n"/>
      <c r="C16" s="8" t="n"/>
      <c r="D16" s="8" t="n"/>
      <c r="E16" s="8" t="n"/>
      <c r="F16" s="20" t="n"/>
      <c r="G16" s="20" t="n"/>
      <c r="H16" s="8" t="n"/>
      <c r="I16" s="20" t="n"/>
      <c r="J16" s="21">
        <f>IF(B16="","",F16+G16)</f>
        <v/>
      </c>
      <c r="K16" s="21">
        <f>IF(B16="","",J16*(Settings!$C$11+Settings!$C$12+Settings!$C$14)+IF(C16="",Settings!$C$13,IF(COUNTIF($C$5:C16,C16)=1,Settings!$C$13,0))+E16*Settings!$C$15+IF(H16="Yes",J16*Settings!$C$16,0))</f>
        <v/>
      </c>
      <c r="L16" s="21">
        <f>IF(B16="","",IF(Settings!$C$5="Yes",0,K16*Settings!$C$17))</f>
        <v/>
      </c>
      <c r="M16" s="21">
        <f>IF(B16="","",E16*IFERROR(VLOOKUP(D16,Products!$B$5:$F$204,5,FALSE),0))</f>
        <v/>
      </c>
      <c r="N16" s="21">
        <f>IF(B16="","",J16-K16-L16-M16-I16)</f>
        <v/>
      </c>
    </row>
    <row r="17">
      <c r="B17" s="11" t="n"/>
      <c r="C17" s="8" t="n"/>
      <c r="D17" s="8" t="n"/>
      <c r="E17" s="8" t="n"/>
      <c r="F17" s="20" t="n"/>
      <c r="G17" s="20" t="n"/>
      <c r="H17" s="8" t="n"/>
      <c r="I17" s="20" t="n"/>
      <c r="J17" s="21">
        <f>IF(B17="","",F17+G17)</f>
        <v/>
      </c>
      <c r="K17" s="21">
        <f>IF(B17="","",J17*(Settings!$C$11+Settings!$C$12+Settings!$C$14)+IF(C17="",Settings!$C$13,IF(COUNTIF($C$5:C17,C17)=1,Settings!$C$13,0))+E17*Settings!$C$15+IF(H17="Yes",J17*Settings!$C$16,0))</f>
        <v/>
      </c>
      <c r="L17" s="21">
        <f>IF(B17="","",IF(Settings!$C$5="Yes",0,K17*Settings!$C$17))</f>
        <v/>
      </c>
      <c r="M17" s="21">
        <f>IF(B17="","",E17*IFERROR(VLOOKUP(D17,Products!$B$5:$F$204,5,FALSE),0))</f>
        <v/>
      </c>
      <c r="N17" s="21">
        <f>IF(B17="","",J17-K17-L17-M17-I17)</f>
        <v/>
      </c>
    </row>
    <row r="18">
      <c r="B18" s="11" t="n"/>
      <c r="C18" s="8" t="n"/>
      <c r="D18" s="8" t="n"/>
      <c r="E18" s="8" t="n"/>
      <c r="F18" s="20" t="n"/>
      <c r="G18" s="20" t="n"/>
      <c r="H18" s="8" t="n"/>
      <c r="I18" s="20" t="n"/>
      <c r="J18" s="21">
        <f>IF(B18="","",F18+G18)</f>
        <v/>
      </c>
      <c r="K18" s="21">
        <f>IF(B18="","",J18*(Settings!$C$11+Settings!$C$12+Settings!$C$14)+IF(C18="",Settings!$C$13,IF(COUNTIF($C$5:C18,C18)=1,Settings!$C$13,0))+E18*Settings!$C$15+IF(H18="Yes",J18*Settings!$C$16,0))</f>
        <v/>
      </c>
      <c r="L18" s="21">
        <f>IF(B18="","",IF(Settings!$C$5="Yes",0,K18*Settings!$C$17))</f>
        <v/>
      </c>
      <c r="M18" s="21">
        <f>IF(B18="","",E18*IFERROR(VLOOKUP(D18,Products!$B$5:$F$204,5,FALSE),0))</f>
        <v/>
      </c>
      <c r="N18" s="21">
        <f>IF(B18="","",J18-K18-L18-M18-I18)</f>
        <v/>
      </c>
    </row>
    <row r="19">
      <c r="B19" s="11" t="n"/>
      <c r="C19" s="8" t="n"/>
      <c r="D19" s="8" t="n"/>
      <c r="E19" s="8" t="n"/>
      <c r="F19" s="20" t="n"/>
      <c r="G19" s="20" t="n"/>
      <c r="H19" s="8" t="n"/>
      <c r="I19" s="20" t="n"/>
      <c r="J19" s="21">
        <f>IF(B19="","",F19+G19)</f>
        <v/>
      </c>
      <c r="K19" s="21">
        <f>IF(B19="","",J19*(Settings!$C$11+Settings!$C$12+Settings!$C$14)+IF(C19="",Settings!$C$13,IF(COUNTIF($C$5:C19,C19)=1,Settings!$C$13,0))+E19*Settings!$C$15+IF(H19="Yes",J19*Settings!$C$16,0))</f>
        <v/>
      </c>
      <c r="L19" s="21">
        <f>IF(B19="","",IF(Settings!$C$5="Yes",0,K19*Settings!$C$17))</f>
        <v/>
      </c>
      <c r="M19" s="21">
        <f>IF(B19="","",E19*IFERROR(VLOOKUP(D19,Products!$B$5:$F$204,5,FALSE),0))</f>
        <v/>
      </c>
      <c r="N19" s="21">
        <f>IF(B19="","",J19-K19-L19-M19-I19)</f>
        <v/>
      </c>
    </row>
    <row r="20">
      <c r="B20" s="11" t="n"/>
      <c r="C20" s="8" t="n"/>
      <c r="D20" s="8" t="n"/>
      <c r="E20" s="8" t="n"/>
      <c r="F20" s="20" t="n"/>
      <c r="G20" s="20" t="n"/>
      <c r="H20" s="8" t="n"/>
      <c r="I20" s="20" t="n"/>
      <c r="J20" s="21">
        <f>IF(B20="","",F20+G20)</f>
        <v/>
      </c>
      <c r="K20" s="21">
        <f>IF(B20="","",J20*(Settings!$C$11+Settings!$C$12+Settings!$C$14)+IF(C20="",Settings!$C$13,IF(COUNTIF($C$5:C20,C20)=1,Settings!$C$13,0))+E20*Settings!$C$15+IF(H20="Yes",J20*Settings!$C$16,0))</f>
        <v/>
      </c>
      <c r="L20" s="21">
        <f>IF(B20="","",IF(Settings!$C$5="Yes",0,K20*Settings!$C$17))</f>
        <v/>
      </c>
      <c r="M20" s="21">
        <f>IF(B20="","",E20*IFERROR(VLOOKUP(D20,Products!$B$5:$F$204,5,FALSE),0))</f>
        <v/>
      </c>
      <c r="N20" s="21">
        <f>IF(B20="","",J20-K20-L20-M20-I20)</f>
        <v/>
      </c>
    </row>
    <row r="21">
      <c r="B21" s="11" t="n"/>
      <c r="C21" s="8" t="n"/>
      <c r="D21" s="8" t="n"/>
      <c r="E21" s="8" t="n"/>
      <c r="F21" s="20" t="n"/>
      <c r="G21" s="20" t="n"/>
      <c r="H21" s="8" t="n"/>
      <c r="I21" s="20" t="n"/>
      <c r="J21" s="21">
        <f>IF(B21="","",F21+G21)</f>
        <v/>
      </c>
      <c r="K21" s="21">
        <f>IF(B21="","",J21*(Settings!$C$11+Settings!$C$12+Settings!$C$14)+IF(C21="",Settings!$C$13,IF(COUNTIF($C$5:C21,C21)=1,Settings!$C$13,0))+E21*Settings!$C$15+IF(H21="Yes",J21*Settings!$C$16,0))</f>
        <v/>
      </c>
      <c r="L21" s="21">
        <f>IF(B21="","",IF(Settings!$C$5="Yes",0,K21*Settings!$C$17))</f>
        <v/>
      </c>
      <c r="M21" s="21">
        <f>IF(B21="","",E21*IFERROR(VLOOKUP(D21,Products!$B$5:$F$204,5,FALSE),0))</f>
        <v/>
      </c>
      <c r="N21" s="21">
        <f>IF(B21="","",J21-K21-L21-M21-I21)</f>
        <v/>
      </c>
    </row>
    <row r="22">
      <c r="B22" s="11" t="n"/>
      <c r="C22" s="8" t="n"/>
      <c r="D22" s="8" t="n"/>
      <c r="E22" s="8" t="n"/>
      <c r="F22" s="20" t="n"/>
      <c r="G22" s="20" t="n"/>
      <c r="H22" s="8" t="n"/>
      <c r="I22" s="20" t="n"/>
      <c r="J22" s="21">
        <f>IF(B22="","",F22+G22)</f>
        <v/>
      </c>
      <c r="K22" s="21">
        <f>IF(B22="","",J22*(Settings!$C$11+Settings!$C$12+Settings!$C$14)+IF(C22="",Settings!$C$13,IF(COUNTIF($C$5:C22,C22)=1,Settings!$C$13,0))+E22*Settings!$C$15+IF(H22="Yes",J22*Settings!$C$16,0))</f>
        <v/>
      </c>
      <c r="L22" s="21">
        <f>IF(B22="","",IF(Settings!$C$5="Yes",0,K22*Settings!$C$17))</f>
        <v/>
      </c>
      <c r="M22" s="21">
        <f>IF(B22="","",E22*IFERROR(VLOOKUP(D22,Products!$B$5:$F$204,5,FALSE),0))</f>
        <v/>
      </c>
      <c r="N22" s="21">
        <f>IF(B22="","",J22-K22-L22-M22-I22)</f>
        <v/>
      </c>
    </row>
    <row r="23">
      <c r="B23" s="11" t="n"/>
      <c r="C23" s="8" t="n"/>
      <c r="D23" s="8" t="n"/>
      <c r="E23" s="8" t="n"/>
      <c r="F23" s="20" t="n"/>
      <c r="G23" s="20" t="n"/>
      <c r="H23" s="8" t="n"/>
      <c r="I23" s="20" t="n"/>
      <c r="J23" s="21">
        <f>IF(B23="","",F23+G23)</f>
        <v/>
      </c>
      <c r="K23" s="21">
        <f>IF(B23="","",J23*(Settings!$C$11+Settings!$C$12+Settings!$C$14)+IF(C23="",Settings!$C$13,IF(COUNTIF($C$5:C23,C23)=1,Settings!$C$13,0))+E23*Settings!$C$15+IF(H23="Yes",J23*Settings!$C$16,0))</f>
        <v/>
      </c>
      <c r="L23" s="21">
        <f>IF(B23="","",IF(Settings!$C$5="Yes",0,K23*Settings!$C$17))</f>
        <v/>
      </c>
      <c r="M23" s="21">
        <f>IF(B23="","",E23*IFERROR(VLOOKUP(D23,Products!$B$5:$F$204,5,FALSE),0))</f>
        <v/>
      </c>
      <c r="N23" s="21">
        <f>IF(B23="","",J23-K23-L23-M23-I23)</f>
        <v/>
      </c>
    </row>
    <row r="24">
      <c r="B24" s="11" t="n"/>
      <c r="C24" s="8" t="n"/>
      <c r="D24" s="8" t="n"/>
      <c r="E24" s="8" t="n"/>
      <c r="F24" s="20" t="n"/>
      <c r="G24" s="20" t="n"/>
      <c r="H24" s="8" t="n"/>
      <c r="I24" s="20" t="n"/>
      <c r="J24" s="21">
        <f>IF(B24="","",F24+G24)</f>
        <v/>
      </c>
      <c r="K24" s="21">
        <f>IF(B24="","",J24*(Settings!$C$11+Settings!$C$12+Settings!$C$14)+IF(C24="",Settings!$C$13,IF(COUNTIF($C$5:C24,C24)=1,Settings!$C$13,0))+E24*Settings!$C$15+IF(H24="Yes",J24*Settings!$C$16,0))</f>
        <v/>
      </c>
      <c r="L24" s="21">
        <f>IF(B24="","",IF(Settings!$C$5="Yes",0,K24*Settings!$C$17))</f>
        <v/>
      </c>
      <c r="M24" s="21">
        <f>IF(B24="","",E24*IFERROR(VLOOKUP(D24,Products!$B$5:$F$204,5,FALSE),0))</f>
        <v/>
      </c>
      <c r="N24" s="21">
        <f>IF(B24="","",J24-K24-L24-M24-I24)</f>
        <v/>
      </c>
    </row>
    <row r="25">
      <c r="B25" s="11" t="n"/>
      <c r="C25" s="8" t="n"/>
      <c r="D25" s="8" t="n"/>
      <c r="E25" s="8" t="n"/>
      <c r="F25" s="20" t="n"/>
      <c r="G25" s="20" t="n"/>
      <c r="H25" s="8" t="n"/>
      <c r="I25" s="20" t="n"/>
      <c r="J25" s="21">
        <f>IF(B25="","",F25+G25)</f>
        <v/>
      </c>
      <c r="K25" s="21">
        <f>IF(B25="","",J25*(Settings!$C$11+Settings!$C$12+Settings!$C$14)+IF(C25="",Settings!$C$13,IF(COUNTIF($C$5:C25,C25)=1,Settings!$C$13,0))+E25*Settings!$C$15+IF(H25="Yes",J25*Settings!$C$16,0))</f>
        <v/>
      </c>
      <c r="L25" s="21">
        <f>IF(B25="","",IF(Settings!$C$5="Yes",0,K25*Settings!$C$17))</f>
        <v/>
      </c>
      <c r="M25" s="21">
        <f>IF(B25="","",E25*IFERROR(VLOOKUP(D25,Products!$B$5:$F$204,5,FALSE),0))</f>
        <v/>
      </c>
      <c r="N25" s="21">
        <f>IF(B25="","",J25-K25-L25-M25-I25)</f>
        <v/>
      </c>
    </row>
    <row r="26">
      <c r="B26" s="11" t="n"/>
      <c r="C26" s="8" t="n"/>
      <c r="D26" s="8" t="n"/>
      <c r="E26" s="8" t="n"/>
      <c r="F26" s="20" t="n"/>
      <c r="G26" s="20" t="n"/>
      <c r="H26" s="8" t="n"/>
      <c r="I26" s="20" t="n"/>
      <c r="J26" s="21">
        <f>IF(B26="","",F26+G26)</f>
        <v/>
      </c>
      <c r="K26" s="21">
        <f>IF(B26="","",J26*(Settings!$C$11+Settings!$C$12+Settings!$C$14)+IF(C26="",Settings!$C$13,IF(COUNTIF($C$5:C26,C26)=1,Settings!$C$13,0))+E26*Settings!$C$15+IF(H26="Yes",J26*Settings!$C$16,0))</f>
        <v/>
      </c>
      <c r="L26" s="21">
        <f>IF(B26="","",IF(Settings!$C$5="Yes",0,K26*Settings!$C$17))</f>
        <v/>
      </c>
      <c r="M26" s="21">
        <f>IF(B26="","",E26*IFERROR(VLOOKUP(D26,Products!$B$5:$F$204,5,FALSE),0))</f>
        <v/>
      </c>
      <c r="N26" s="21">
        <f>IF(B26="","",J26-K26-L26-M26-I26)</f>
        <v/>
      </c>
    </row>
    <row r="27">
      <c r="B27" s="11" t="n"/>
      <c r="C27" s="8" t="n"/>
      <c r="D27" s="8" t="n"/>
      <c r="E27" s="8" t="n"/>
      <c r="F27" s="20" t="n"/>
      <c r="G27" s="20" t="n"/>
      <c r="H27" s="8" t="n"/>
      <c r="I27" s="20" t="n"/>
      <c r="J27" s="21">
        <f>IF(B27="","",F27+G27)</f>
        <v/>
      </c>
      <c r="K27" s="21">
        <f>IF(B27="","",J27*(Settings!$C$11+Settings!$C$12+Settings!$C$14)+IF(C27="",Settings!$C$13,IF(COUNTIF($C$5:C27,C27)=1,Settings!$C$13,0))+E27*Settings!$C$15+IF(H27="Yes",J27*Settings!$C$16,0))</f>
        <v/>
      </c>
      <c r="L27" s="21">
        <f>IF(B27="","",IF(Settings!$C$5="Yes",0,K27*Settings!$C$17))</f>
        <v/>
      </c>
      <c r="M27" s="21">
        <f>IF(B27="","",E27*IFERROR(VLOOKUP(D27,Products!$B$5:$F$204,5,FALSE),0))</f>
        <v/>
      </c>
      <c r="N27" s="21">
        <f>IF(B27="","",J27-K27-L27-M27-I27)</f>
        <v/>
      </c>
    </row>
    <row r="28">
      <c r="B28" s="11" t="n"/>
      <c r="C28" s="8" t="n"/>
      <c r="D28" s="8" t="n"/>
      <c r="E28" s="8" t="n"/>
      <c r="F28" s="20" t="n"/>
      <c r="G28" s="20" t="n"/>
      <c r="H28" s="8" t="n"/>
      <c r="I28" s="20" t="n"/>
      <c r="J28" s="21">
        <f>IF(B28="","",F28+G28)</f>
        <v/>
      </c>
      <c r="K28" s="21">
        <f>IF(B28="","",J28*(Settings!$C$11+Settings!$C$12+Settings!$C$14)+IF(C28="",Settings!$C$13,IF(COUNTIF($C$5:C28,C28)=1,Settings!$C$13,0))+E28*Settings!$C$15+IF(H28="Yes",J28*Settings!$C$16,0))</f>
        <v/>
      </c>
      <c r="L28" s="21">
        <f>IF(B28="","",IF(Settings!$C$5="Yes",0,K28*Settings!$C$17))</f>
        <v/>
      </c>
      <c r="M28" s="21">
        <f>IF(B28="","",E28*IFERROR(VLOOKUP(D28,Products!$B$5:$F$204,5,FALSE),0))</f>
        <v/>
      </c>
      <c r="N28" s="21">
        <f>IF(B28="","",J28-K28-L28-M28-I28)</f>
        <v/>
      </c>
    </row>
    <row r="29">
      <c r="B29" s="11" t="n"/>
      <c r="C29" s="8" t="n"/>
      <c r="D29" s="8" t="n"/>
      <c r="E29" s="8" t="n"/>
      <c r="F29" s="20" t="n"/>
      <c r="G29" s="20" t="n"/>
      <c r="H29" s="8" t="n"/>
      <c r="I29" s="20" t="n"/>
      <c r="J29" s="21">
        <f>IF(B29="","",F29+G29)</f>
        <v/>
      </c>
      <c r="K29" s="21">
        <f>IF(B29="","",J29*(Settings!$C$11+Settings!$C$12+Settings!$C$14)+IF(C29="",Settings!$C$13,IF(COUNTIF($C$5:C29,C29)=1,Settings!$C$13,0))+E29*Settings!$C$15+IF(H29="Yes",J29*Settings!$C$16,0))</f>
        <v/>
      </c>
      <c r="L29" s="21">
        <f>IF(B29="","",IF(Settings!$C$5="Yes",0,K29*Settings!$C$17))</f>
        <v/>
      </c>
      <c r="M29" s="21">
        <f>IF(B29="","",E29*IFERROR(VLOOKUP(D29,Products!$B$5:$F$204,5,FALSE),0))</f>
        <v/>
      </c>
      <c r="N29" s="21">
        <f>IF(B29="","",J29-K29-L29-M29-I29)</f>
        <v/>
      </c>
    </row>
    <row r="30">
      <c r="B30" s="11" t="n"/>
      <c r="C30" s="8" t="n"/>
      <c r="D30" s="8" t="n"/>
      <c r="E30" s="8" t="n"/>
      <c r="F30" s="20" t="n"/>
      <c r="G30" s="20" t="n"/>
      <c r="H30" s="8" t="n"/>
      <c r="I30" s="20" t="n"/>
      <c r="J30" s="21">
        <f>IF(B30="","",F30+G30)</f>
        <v/>
      </c>
      <c r="K30" s="21">
        <f>IF(B30="","",J30*(Settings!$C$11+Settings!$C$12+Settings!$C$14)+IF(C30="",Settings!$C$13,IF(COUNTIF($C$5:C30,C30)=1,Settings!$C$13,0))+E30*Settings!$C$15+IF(H30="Yes",J30*Settings!$C$16,0))</f>
        <v/>
      </c>
      <c r="L30" s="21">
        <f>IF(B30="","",IF(Settings!$C$5="Yes",0,K30*Settings!$C$17))</f>
        <v/>
      </c>
      <c r="M30" s="21">
        <f>IF(B30="","",E30*IFERROR(VLOOKUP(D30,Products!$B$5:$F$204,5,FALSE),0))</f>
        <v/>
      </c>
      <c r="N30" s="21">
        <f>IF(B30="","",J30-K30-L30-M30-I30)</f>
        <v/>
      </c>
    </row>
    <row r="31">
      <c r="B31" s="11" t="n"/>
      <c r="C31" s="8" t="n"/>
      <c r="D31" s="8" t="n"/>
      <c r="E31" s="8" t="n"/>
      <c r="F31" s="20" t="n"/>
      <c r="G31" s="20" t="n"/>
      <c r="H31" s="8" t="n"/>
      <c r="I31" s="20" t="n"/>
      <c r="J31" s="21">
        <f>IF(B31="","",F31+G31)</f>
        <v/>
      </c>
      <c r="K31" s="21">
        <f>IF(B31="","",J31*(Settings!$C$11+Settings!$C$12+Settings!$C$14)+IF(C31="",Settings!$C$13,IF(COUNTIF($C$5:C31,C31)=1,Settings!$C$13,0))+E31*Settings!$C$15+IF(H31="Yes",J31*Settings!$C$16,0))</f>
        <v/>
      </c>
      <c r="L31" s="21">
        <f>IF(B31="","",IF(Settings!$C$5="Yes",0,K31*Settings!$C$17))</f>
        <v/>
      </c>
      <c r="M31" s="21">
        <f>IF(B31="","",E31*IFERROR(VLOOKUP(D31,Products!$B$5:$F$204,5,FALSE),0))</f>
        <v/>
      </c>
      <c r="N31" s="21">
        <f>IF(B31="","",J31-K31-L31-M31-I31)</f>
        <v/>
      </c>
    </row>
    <row r="32">
      <c r="B32" s="11" t="n"/>
      <c r="C32" s="8" t="n"/>
      <c r="D32" s="8" t="n"/>
      <c r="E32" s="8" t="n"/>
      <c r="F32" s="20" t="n"/>
      <c r="G32" s="20" t="n"/>
      <c r="H32" s="8" t="n"/>
      <c r="I32" s="20" t="n"/>
      <c r="J32" s="21">
        <f>IF(B32="","",F32+G32)</f>
        <v/>
      </c>
      <c r="K32" s="21">
        <f>IF(B32="","",J32*(Settings!$C$11+Settings!$C$12+Settings!$C$14)+IF(C32="",Settings!$C$13,IF(COUNTIF($C$5:C32,C32)=1,Settings!$C$13,0))+E32*Settings!$C$15+IF(H32="Yes",J32*Settings!$C$16,0))</f>
        <v/>
      </c>
      <c r="L32" s="21">
        <f>IF(B32="","",IF(Settings!$C$5="Yes",0,K32*Settings!$C$17))</f>
        <v/>
      </c>
      <c r="M32" s="21">
        <f>IF(B32="","",E32*IFERROR(VLOOKUP(D32,Products!$B$5:$F$204,5,FALSE),0))</f>
        <v/>
      </c>
      <c r="N32" s="21">
        <f>IF(B32="","",J32-K32-L32-M32-I32)</f>
        <v/>
      </c>
    </row>
    <row r="33">
      <c r="B33" s="11" t="n"/>
      <c r="C33" s="8" t="n"/>
      <c r="D33" s="8" t="n"/>
      <c r="E33" s="8" t="n"/>
      <c r="F33" s="20" t="n"/>
      <c r="G33" s="20" t="n"/>
      <c r="H33" s="8" t="n"/>
      <c r="I33" s="20" t="n"/>
      <c r="J33" s="21">
        <f>IF(B33="","",F33+G33)</f>
        <v/>
      </c>
      <c r="K33" s="21">
        <f>IF(B33="","",J33*(Settings!$C$11+Settings!$C$12+Settings!$C$14)+IF(C33="",Settings!$C$13,IF(COUNTIF($C$5:C33,C33)=1,Settings!$C$13,0))+E33*Settings!$C$15+IF(H33="Yes",J33*Settings!$C$16,0))</f>
        <v/>
      </c>
      <c r="L33" s="21">
        <f>IF(B33="","",IF(Settings!$C$5="Yes",0,K33*Settings!$C$17))</f>
        <v/>
      </c>
      <c r="M33" s="21">
        <f>IF(B33="","",E33*IFERROR(VLOOKUP(D33,Products!$B$5:$F$204,5,FALSE),0))</f>
        <v/>
      </c>
      <c r="N33" s="21">
        <f>IF(B33="","",J33-K33-L33-M33-I33)</f>
        <v/>
      </c>
    </row>
    <row r="34">
      <c r="B34" s="11" t="n"/>
      <c r="C34" s="8" t="n"/>
      <c r="D34" s="8" t="n"/>
      <c r="E34" s="8" t="n"/>
      <c r="F34" s="20" t="n"/>
      <c r="G34" s="20" t="n"/>
      <c r="H34" s="8" t="n"/>
      <c r="I34" s="20" t="n"/>
      <c r="J34" s="21">
        <f>IF(B34="","",F34+G34)</f>
        <v/>
      </c>
      <c r="K34" s="21">
        <f>IF(B34="","",J34*(Settings!$C$11+Settings!$C$12+Settings!$C$14)+IF(C34="",Settings!$C$13,IF(COUNTIF($C$5:C34,C34)=1,Settings!$C$13,0))+E34*Settings!$C$15+IF(H34="Yes",J34*Settings!$C$16,0))</f>
        <v/>
      </c>
      <c r="L34" s="21">
        <f>IF(B34="","",IF(Settings!$C$5="Yes",0,K34*Settings!$C$17))</f>
        <v/>
      </c>
      <c r="M34" s="21">
        <f>IF(B34="","",E34*IFERROR(VLOOKUP(D34,Products!$B$5:$F$204,5,FALSE),0))</f>
        <v/>
      </c>
      <c r="N34" s="21">
        <f>IF(B34="","",J34-K34-L34-M34-I34)</f>
        <v/>
      </c>
    </row>
    <row r="35">
      <c r="B35" s="11" t="n"/>
      <c r="C35" s="8" t="n"/>
      <c r="D35" s="8" t="n"/>
      <c r="E35" s="8" t="n"/>
      <c r="F35" s="20" t="n"/>
      <c r="G35" s="20" t="n"/>
      <c r="H35" s="8" t="n"/>
      <c r="I35" s="20" t="n"/>
      <c r="J35" s="21">
        <f>IF(B35="","",F35+G35)</f>
        <v/>
      </c>
      <c r="K35" s="21">
        <f>IF(B35="","",J35*(Settings!$C$11+Settings!$C$12+Settings!$C$14)+IF(C35="",Settings!$C$13,IF(COUNTIF($C$5:C35,C35)=1,Settings!$C$13,0))+E35*Settings!$C$15+IF(H35="Yes",J35*Settings!$C$16,0))</f>
        <v/>
      </c>
      <c r="L35" s="21">
        <f>IF(B35="","",IF(Settings!$C$5="Yes",0,K35*Settings!$C$17))</f>
        <v/>
      </c>
      <c r="M35" s="21">
        <f>IF(B35="","",E35*IFERROR(VLOOKUP(D35,Products!$B$5:$F$204,5,FALSE),0))</f>
        <v/>
      </c>
      <c r="N35" s="21">
        <f>IF(B35="","",J35-K35-L35-M35-I35)</f>
        <v/>
      </c>
    </row>
    <row r="36">
      <c r="B36" s="11" t="n"/>
      <c r="C36" s="8" t="n"/>
      <c r="D36" s="8" t="n"/>
      <c r="E36" s="8" t="n"/>
      <c r="F36" s="20" t="n"/>
      <c r="G36" s="20" t="n"/>
      <c r="H36" s="8" t="n"/>
      <c r="I36" s="20" t="n"/>
      <c r="J36" s="21">
        <f>IF(B36="","",F36+G36)</f>
        <v/>
      </c>
      <c r="K36" s="21">
        <f>IF(B36="","",J36*(Settings!$C$11+Settings!$C$12+Settings!$C$14)+IF(C36="",Settings!$C$13,IF(COUNTIF($C$5:C36,C36)=1,Settings!$C$13,0))+E36*Settings!$C$15+IF(H36="Yes",J36*Settings!$C$16,0))</f>
        <v/>
      </c>
      <c r="L36" s="21">
        <f>IF(B36="","",IF(Settings!$C$5="Yes",0,K36*Settings!$C$17))</f>
        <v/>
      </c>
      <c r="M36" s="21">
        <f>IF(B36="","",E36*IFERROR(VLOOKUP(D36,Products!$B$5:$F$204,5,FALSE),0))</f>
        <v/>
      </c>
      <c r="N36" s="21">
        <f>IF(B36="","",J36-K36-L36-M36-I36)</f>
        <v/>
      </c>
    </row>
    <row r="37">
      <c r="B37" s="11" t="n"/>
      <c r="C37" s="8" t="n"/>
      <c r="D37" s="8" t="n"/>
      <c r="E37" s="8" t="n"/>
      <c r="F37" s="20" t="n"/>
      <c r="G37" s="20" t="n"/>
      <c r="H37" s="8" t="n"/>
      <c r="I37" s="20" t="n"/>
      <c r="J37" s="21">
        <f>IF(B37="","",F37+G37)</f>
        <v/>
      </c>
      <c r="K37" s="21">
        <f>IF(B37="","",J37*(Settings!$C$11+Settings!$C$12+Settings!$C$14)+IF(C37="",Settings!$C$13,IF(COUNTIF($C$5:C37,C37)=1,Settings!$C$13,0))+E37*Settings!$C$15+IF(H37="Yes",J37*Settings!$C$16,0))</f>
        <v/>
      </c>
      <c r="L37" s="21">
        <f>IF(B37="","",IF(Settings!$C$5="Yes",0,K37*Settings!$C$17))</f>
        <v/>
      </c>
      <c r="M37" s="21">
        <f>IF(B37="","",E37*IFERROR(VLOOKUP(D37,Products!$B$5:$F$204,5,FALSE),0))</f>
        <v/>
      </c>
      <c r="N37" s="21">
        <f>IF(B37="","",J37-K37-L37-M37-I37)</f>
        <v/>
      </c>
    </row>
    <row r="38">
      <c r="B38" s="11" t="n"/>
      <c r="C38" s="8" t="n"/>
      <c r="D38" s="8" t="n"/>
      <c r="E38" s="8" t="n"/>
      <c r="F38" s="20" t="n"/>
      <c r="G38" s="20" t="n"/>
      <c r="H38" s="8" t="n"/>
      <c r="I38" s="20" t="n"/>
      <c r="J38" s="21">
        <f>IF(B38="","",F38+G38)</f>
        <v/>
      </c>
      <c r="K38" s="21">
        <f>IF(B38="","",J38*(Settings!$C$11+Settings!$C$12+Settings!$C$14)+IF(C38="",Settings!$C$13,IF(COUNTIF($C$5:C38,C38)=1,Settings!$C$13,0))+E38*Settings!$C$15+IF(H38="Yes",J38*Settings!$C$16,0))</f>
        <v/>
      </c>
      <c r="L38" s="21">
        <f>IF(B38="","",IF(Settings!$C$5="Yes",0,K38*Settings!$C$17))</f>
        <v/>
      </c>
      <c r="M38" s="21">
        <f>IF(B38="","",E38*IFERROR(VLOOKUP(D38,Products!$B$5:$F$204,5,FALSE),0))</f>
        <v/>
      </c>
      <c r="N38" s="21">
        <f>IF(B38="","",J38-K38-L38-M38-I38)</f>
        <v/>
      </c>
    </row>
    <row r="39">
      <c r="B39" s="11" t="n"/>
      <c r="C39" s="8" t="n"/>
      <c r="D39" s="8" t="n"/>
      <c r="E39" s="8" t="n"/>
      <c r="F39" s="20" t="n"/>
      <c r="G39" s="20" t="n"/>
      <c r="H39" s="8" t="n"/>
      <c r="I39" s="20" t="n"/>
      <c r="J39" s="21">
        <f>IF(B39="","",F39+G39)</f>
        <v/>
      </c>
      <c r="K39" s="21">
        <f>IF(B39="","",J39*(Settings!$C$11+Settings!$C$12+Settings!$C$14)+IF(C39="",Settings!$C$13,IF(COUNTIF($C$5:C39,C39)=1,Settings!$C$13,0))+E39*Settings!$C$15+IF(H39="Yes",J39*Settings!$C$16,0))</f>
        <v/>
      </c>
      <c r="L39" s="21">
        <f>IF(B39="","",IF(Settings!$C$5="Yes",0,K39*Settings!$C$17))</f>
        <v/>
      </c>
      <c r="M39" s="21">
        <f>IF(B39="","",E39*IFERROR(VLOOKUP(D39,Products!$B$5:$F$204,5,FALSE),0))</f>
        <v/>
      </c>
      <c r="N39" s="21">
        <f>IF(B39="","",J39-K39-L39-M39-I39)</f>
        <v/>
      </c>
    </row>
    <row r="40">
      <c r="B40" s="11" t="n"/>
      <c r="C40" s="8" t="n"/>
      <c r="D40" s="8" t="n"/>
      <c r="E40" s="8" t="n"/>
      <c r="F40" s="20" t="n"/>
      <c r="G40" s="20" t="n"/>
      <c r="H40" s="8" t="n"/>
      <c r="I40" s="20" t="n"/>
      <c r="J40" s="21">
        <f>IF(B40="","",F40+G40)</f>
        <v/>
      </c>
      <c r="K40" s="21">
        <f>IF(B40="","",J40*(Settings!$C$11+Settings!$C$12+Settings!$C$14)+IF(C40="",Settings!$C$13,IF(COUNTIF($C$5:C40,C40)=1,Settings!$C$13,0))+E40*Settings!$C$15+IF(H40="Yes",J40*Settings!$C$16,0))</f>
        <v/>
      </c>
      <c r="L40" s="21">
        <f>IF(B40="","",IF(Settings!$C$5="Yes",0,K40*Settings!$C$17))</f>
        <v/>
      </c>
      <c r="M40" s="21">
        <f>IF(B40="","",E40*IFERROR(VLOOKUP(D40,Products!$B$5:$F$204,5,FALSE),0))</f>
        <v/>
      </c>
      <c r="N40" s="21">
        <f>IF(B40="","",J40-K40-L40-M40-I40)</f>
        <v/>
      </c>
    </row>
    <row r="41">
      <c r="B41" s="11" t="n"/>
      <c r="C41" s="8" t="n"/>
      <c r="D41" s="8" t="n"/>
      <c r="E41" s="8" t="n"/>
      <c r="F41" s="20" t="n"/>
      <c r="G41" s="20" t="n"/>
      <c r="H41" s="8" t="n"/>
      <c r="I41" s="20" t="n"/>
      <c r="J41" s="21">
        <f>IF(B41="","",F41+G41)</f>
        <v/>
      </c>
      <c r="K41" s="21">
        <f>IF(B41="","",J41*(Settings!$C$11+Settings!$C$12+Settings!$C$14)+IF(C41="",Settings!$C$13,IF(COUNTIF($C$5:C41,C41)=1,Settings!$C$13,0))+E41*Settings!$C$15+IF(H41="Yes",J41*Settings!$C$16,0))</f>
        <v/>
      </c>
      <c r="L41" s="21">
        <f>IF(B41="","",IF(Settings!$C$5="Yes",0,K41*Settings!$C$17))</f>
        <v/>
      </c>
      <c r="M41" s="21">
        <f>IF(B41="","",E41*IFERROR(VLOOKUP(D41,Products!$B$5:$F$204,5,FALSE),0))</f>
        <v/>
      </c>
      <c r="N41" s="21">
        <f>IF(B41="","",J41-K41-L41-M41-I41)</f>
        <v/>
      </c>
    </row>
    <row r="42">
      <c r="B42" s="11" t="n"/>
      <c r="C42" s="8" t="n"/>
      <c r="D42" s="8" t="n"/>
      <c r="E42" s="8" t="n"/>
      <c r="F42" s="20" t="n"/>
      <c r="G42" s="20" t="n"/>
      <c r="H42" s="8" t="n"/>
      <c r="I42" s="20" t="n"/>
      <c r="J42" s="21">
        <f>IF(B42="","",F42+G42)</f>
        <v/>
      </c>
      <c r="K42" s="21">
        <f>IF(B42="","",J42*(Settings!$C$11+Settings!$C$12+Settings!$C$14)+IF(C42="",Settings!$C$13,IF(COUNTIF($C$5:C42,C42)=1,Settings!$C$13,0))+E42*Settings!$C$15+IF(H42="Yes",J42*Settings!$C$16,0))</f>
        <v/>
      </c>
      <c r="L42" s="21">
        <f>IF(B42="","",IF(Settings!$C$5="Yes",0,K42*Settings!$C$17))</f>
        <v/>
      </c>
      <c r="M42" s="21">
        <f>IF(B42="","",E42*IFERROR(VLOOKUP(D42,Products!$B$5:$F$204,5,FALSE),0))</f>
        <v/>
      </c>
      <c r="N42" s="21">
        <f>IF(B42="","",J42-K42-L42-M42-I42)</f>
        <v/>
      </c>
    </row>
    <row r="43">
      <c r="B43" s="11" t="n"/>
      <c r="C43" s="8" t="n"/>
      <c r="D43" s="8" t="n"/>
      <c r="E43" s="8" t="n"/>
      <c r="F43" s="20" t="n"/>
      <c r="G43" s="20" t="n"/>
      <c r="H43" s="8" t="n"/>
      <c r="I43" s="20" t="n"/>
      <c r="J43" s="21">
        <f>IF(B43="","",F43+G43)</f>
        <v/>
      </c>
      <c r="K43" s="21">
        <f>IF(B43="","",J43*(Settings!$C$11+Settings!$C$12+Settings!$C$14)+IF(C43="",Settings!$C$13,IF(COUNTIF($C$5:C43,C43)=1,Settings!$C$13,0))+E43*Settings!$C$15+IF(H43="Yes",J43*Settings!$C$16,0))</f>
        <v/>
      </c>
      <c r="L43" s="21">
        <f>IF(B43="","",IF(Settings!$C$5="Yes",0,K43*Settings!$C$17))</f>
        <v/>
      </c>
      <c r="M43" s="21">
        <f>IF(B43="","",E43*IFERROR(VLOOKUP(D43,Products!$B$5:$F$204,5,FALSE),0))</f>
        <v/>
      </c>
      <c r="N43" s="21">
        <f>IF(B43="","",J43-K43-L43-M43-I43)</f>
        <v/>
      </c>
    </row>
    <row r="44">
      <c r="B44" s="11" t="n"/>
      <c r="C44" s="8" t="n"/>
      <c r="D44" s="8" t="n"/>
      <c r="E44" s="8" t="n"/>
      <c r="F44" s="20" t="n"/>
      <c r="G44" s="20" t="n"/>
      <c r="H44" s="8" t="n"/>
      <c r="I44" s="20" t="n"/>
      <c r="J44" s="21">
        <f>IF(B44="","",F44+G44)</f>
        <v/>
      </c>
      <c r="K44" s="21">
        <f>IF(B44="","",J44*(Settings!$C$11+Settings!$C$12+Settings!$C$14)+IF(C44="",Settings!$C$13,IF(COUNTIF($C$5:C44,C44)=1,Settings!$C$13,0))+E44*Settings!$C$15+IF(H44="Yes",J44*Settings!$C$16,0))</f>
        <v/>
      </c>
      <c r="L44" s="21">
        <f>IF(B44="","",IF(Settings!$C$5="Yes",0,K44*Settings!$C$17))</f>
        <v/>
      </c>
      <c r="M44" s="21">
        <f>IF(B44="","",E44*IFERROR(VLOOKUP(D44,Products!$B$5:$F$204,5,FALSE),0))</f>
        <v/>
      </c>
      <c r="N44" s="21">
        <f>IF(B44="","",J44-K44-L44-M44-I44)</f>
        <v/>
      </c>
    </row>
    <row r="45">
      <c r="B45" s="11" t="n"/>
      <c r="C45" s="8" t="n"/>
      <c r="D45" s="8" t="n"/>
      <c r="E45" s="8" t="n"/>
      <c r="F45" s="20" t="n"/>
      <c r="G45" s="20" t="n"/>
      <c r="H45" s="8" t="n"/>
      <c r="I45" s="20" t="n"/>
      <c r="J45" s="21">
        <f>IF(B45="","",F45+G45)</f>
        <v/>
      </c>
      <c r="K45" s="21">
        <f>IF(B45="","",J45*(Settings!$C$11+Settings!$C$12+Settings!$C$14)+IF(C45="",Settings!$C$13,IF(COUNTIF($C$5:C45,C45)=1,Settings!$C$13,0))+E45*Settings!$C$15+IF(H45="Yes",J45*Settings!$C$16,0))</f>
        <v/>
      </c>
      <c r="L45" s="21">
        <f>IF(B45="","",IF(Settings!$C$5="Yes",0,K45*Settings!$C$17))</f>
        <v/>
      </c>
      <c r="M45" s="21">
        <f>IF(B45="","",E45*IFERROR(VLOOKUP(D45,Products!$B$5:$F$204,5,FALSE),0))</f>
        <v/>
      </c>
      <c r="N45" s="21">
        <f>IF(B45="","",J45-K45-L45-M45-I45)</f>
        <v/>
      </c>
    </row>
    <row r="46">
      <c r="B46" s="11" t="n"/>
      <c r="C46" s="8" t="n"/>
      <c r="D46" s="8" t="n"/>
      <c r="E46" s="8" t="n"/>
      <c r="F46" s="20" t="n"/>
      <c r="G46" s="20" t="n"/>
      <c r="H46" s="8" t="n"/>
      <c r="I46" s="20" t="n"/>
      <c r="J46" s="21">
        <f>IF(B46="","",F46+G46)</f>
        <v/>
      </c>
      <c r="K46" s="21">
        <f>IF(B46="","",J46*(Settings!$C$11+Settings!$C$12+Settings!$C$14)+IF(C46="",Settings!$C$13,IF(COUNTIF($C$5:C46,C46)=1,Settings!$C$13,0))+E46*Settings!$C$15+IF(H46="Yes",J46*Settings!$C$16,0))</f>
        <v/>
      </c>
      <c r="L46" s="21">
        <f>IF(B46="","",IF(Settings!$C$5="Yes",0,K46*Settings!$C$17))</f>
        <v/>
      </c>
      <c r="M46" s="21">
        <f>IF(B46="","",E46*IFERROR(VLOOKUP(D46,Products!$B$5:$F$204,5,FALSE),0))</f>
        <v/>
      </c>
      <c r="N46" s="21">
        <f>IF(B46="","",J46-K46-L46-M46-I46)</f>
        <v/>
      </c>
    </row>
    <row r="47">
      <c r="B47" s="11" t="n"/>
      <c r="C47" s="8" t="n"/>
      <c r="D47" s="8" t="n"/>
      <c r="E47" s="8" t="n"/>
      <c r="F47" s="20" t="n"/>
      <c r="G47" s="20" t="n"/>
      <c r="H47" s="8" t="n"/>
      <c r="I47" s="20" t="n"/>
      <c r="J47" s="21">
        <f>IF(B47="","",F47+G47)</f>
        <v/>
      </c>
      <c r="K47" s="21">
        <f>IF(B47="","",J47*(Settings!$C$11+Settings!$C$12+Settings!$C$14)+IF(C47="",Settings!$C$13,IF(COUNTIF($C$5:C47,C47)=1,Settings!$C$13,0))+E47*Settings!$C$15+IF(H47="Yes",J47*Settings!$C$16,0))</f>
        <v/>
      </c>
      <c r="L47" s="21">
        <f>IF(B47="","",IF(Settings!$C$5="Yes",0,K47*Settings!$C$17))</f>
        <v/>
      </c>
      <c r="M47" s="21">
        <f>IF(B47="","",E47*IFERROR(VLOOKUP(D47,Products!$B$5:$F$204,5,FALSE),0))</f>
        <v/>
      </c>
      <c r="N47" s="21">
        <f>IF(B47="","",J47-K47-L47-M47-I47)</f>
        <v/>
      </c>
    </row>
    <row r="48">
      <c r="B48" s="11" t="n"/>
      <c r="C48" s="8" t="n"/>
      <c r="D48" s="8" t="n"/>
      <c r="E48" s="8" t="n"/>
      <c r="F48" s="20" t="n"/>
      <c r="G48" s="20" t="n"/>
      <c r="H48" s="8" t="n"/>
      <c r="I48" s="20" t="n"/>
      <c r="J48" s="21">
        <f>IF(B48="","",F48+G48)</f>
        <v/>
      </c>
      <c r="K48" s="21">
        <f>IF(B48="","",J48*(Settings!$C$11+Settings!$C$12+Settings!$C$14)+IF(C48="",Settings!$C$13,IF(COUNTIF($C$5:C48,C48)=1,Settings!$C$13,0))+E48*Settings!$C$15+IF(H48="Yes",J48*Settings!$C$16,0))</f>
        <v/>
      </c>
      <c r="L48" s="21">
        <f>IF(B48="","",IF(Settings!$C$5="Yes",0,K48*Settings!$C$17))</f>
        <v/>
      </c>
      <c r="M48" s="21">
        <f>IF(B48="","",E48*IFERROR(VLOOKUP(D48,Products!$B$5:$F$204,5,FALSE),0))</f>
        <v/>
      </c>
      <c r="N48" s="21">
        <f>IF(B48="","",J48-K48-L48-M48-I48)</f>
        <v/>
      </c>
    </row>
    <row r="49">
      <c r="B49" s="11" t="n"/>
      <c r="C49" s="8" t="n"/>
      <c r="D49" s="8" t="n"/>
      <c r="E49" s="8" t="n"/>
      <c r="F49" s="20" t="n"/>
      <c r="G49" s="20" t="n"/>
      <c r="H49" s="8" t="n"/>
      <c r="I49" s="20" t="n"/>
      <c r="J49" s="21">
        <f>IF(B49="","",F49+G49)</f>
        <v/>
      </c>
      <c r="K49" s="21">
        <f>IF(B49="","",J49*(Settings!$C$11+Settings!$C$12+Settings!$C$14)+IF(C49="",Settings!$C$13,IF(COUNTIF($C$5:C49,C49)=1,Settings!$C$13,0))+E49*Settings!$C$15+IF(H49="Yes",J49*Settings!$C$16,0))</f>
        <v/>
      </c>
      <c r="L49" s="21">
        <f>IF(B49="","",IF(Settings!$C$5="Yes",0,K49*Settings!$C$17))</f>
        <v/>
      </c>
      <c r="M49" s="21">
        <f>IF(B49="","",E49*IFERROR(VLOOKUP(D49,Products!$B$5:$F$204,5,FALSE),0))</f>
        <v/>
      </c>
      <c r="N49" s="21">
        <f>IF(B49="","",J49-K49-L49-M49-I49)</f>
        <v/>
      </c>
    </row>
    <row r="50">
      <c r="B50" s="11" t="n"/>
      <c r="C50" s="8" t="n"/>
      <c r="D50" s="8" t="n"/>
      <c r="E50" s="8" t="n"/>
      <c r="F50" s="20" t="n"/>
      <c r="G50" s="20" t="n"/>
      <c r="H50" s="8" t="n"/>
      <c r="I50" s="20" t="n"/>
      <c r="J50" s="21">
        <f>IF(B50="","",F50+G50)</f>
        <v/>
      </c>
      <c r="K50" s="21">
        <f>IF(B50="","",J50*(Settings!$C$11+Settings!$C$12+Settings!$C$14)+IF(C50="",Settings!$C$13,IF(COUNTIF($C$5:C50,C50)=1,Settings!$C$13,0))+E50*Settings!$C$15+IF(H50="Yes",J50*Settings!$C$16,0))</f>
        <v/>
      </c>
      <c r="L50" s="21">
        <f>IF(B50="","",IF(Settings!$C$5="Yes",0,K50*Settings!$C$17))</f>
        <v/>
      </c>
      <c r="M50" s="21">
        <f>IF(B50="","",E50*IFERROR(VLOOKUP(D50,Products!$B$5:$F$204,5,FALSE),0))</f>
        <v/>
      </c>
      <c r="N50" s="21">
        <f>IF(B50="","",J50-K50-L50-M50-I50)</f>
        <v/>
      </c>
    </row>
    <row r="51">
      <c r="B51" s="11" t="n"/>
      <c r="C51" s="8" t="n"/>
      <c r="D51" s="8" t="n"/>
      <c r="E51" s="8" t="n"/>
      <c r="F51" s="20" t="n"/>
      <c r="G51" s="20" t="n"/>
      <c r="H51" s="8" t="n"/>
      <c r="I51" s="20" t="n"/>
      <c r="J51" s="21">
        <f>IF(B51="","",F51+G51)</f>
        <v/>
      </c>
      <c r="K51" s="21">
        <f>IF(B51="","",J51*(Settings!$C$11+Settings!$C$12+Settings!$C$14)+IF(C51="",Settings!$C$13,IF(COUNTIF($C$5:C51,C51)=1,Settings!$C$13,0))+E51*Settings!$C$15+IF(H51="Yes",J51*Settings!$C$16,0))</f>
        <v/>
      </c>
      <c r="L51" s="21">
        <f>IF(B51="","",IF(Settings!$C$5="Yes",0,K51*Settings!$C$17))</f>
        <v/>
      </c>
      <c r="M51" s="21">
        <f>IF(B51="","",E51*IFERROR(VLOOKUP(D51,Products!$B$5:$F$204,5,FALSE),0))</f>
        <v/>
      </c>
      <c r="N51" s="21">
        <f>IF(B51="","",J51-K51-L51-M51-I51)</f>
        <v/>
      </c>
    </row>
    <row r="52">
      <c r="B52" s="11" t="n"/>
      <c r="C52" s="8" t="n"/>
      <c r="D52" s="8" t="n"/>
      <c r="E52" s="8" t="n"/>
      <c r="F52" s="20" t="n"/>
      <c r="G52" s="20" t="n"/>
      <c r="H52" s="8" t="n"/>
      <c r="I52" s="20" t="n"/>
      <c r="J52" s="21">
        <f>IF(B52="","",F52+G52)</f>
        <v/>
      </c>
      <c r="K52" s="21">
        <f>IF(B52="","",J52*(Settings!$C$11+Settings!$C$12+Settings!$C$14)+IF(C52="",Settings!$C$13,IF(COUNTIF($C$5:C52,C52)=1,Settings!$C$13,0))+E52*Settings!$C$15+IF(H52="Yes",J52*Settings!$C$16,0))</f>
        <v/>
      </c>
      <c r="L52" s="21">
        <f>IF(B52="","",IF(Settings!$C$5="Yes",0,K52*Settings!$C$17))</f>
        <v/>
      </c>
      <c r="M52" s="21">
        <f>IF(B52="","",E52*IFERROR(VLOOKUP(D52,Products!$B$5:$F$204,5,FALSE),0))</f>
        <v/>
      </c>
      <c r="N52" s="21">
        <f>IF(B52="","",J52-K52-L52-M52-I52)</f>
        <v/>
      </c>
    </row>
    <row r="53">
      <c r="B53" s="11" t="n"/>
      <c r="C53" s="8" t="n"/>
      <c r="D53" s="8" t="n"/>
      <c r="E53" s="8" t="n"/>
      <c r="F53" s="20" t="n"/>
      <c r="G53" s="20" t="n"/>
      <c r="H53" s="8" t="n"/>
      <c r="I53" s="20" t="n"/>
      <c r="J53" s="21">
        <f>IF(B53="","",F53+G53)</f>
        <v/>
      </c>
      <c r="K53" s="21">
        <f>IF(B53="","",J53*(Settings!$C$11+Settings!$C$12+Settings!$C$14)+IF(C53="",Settings!$C$13,IF(COUNTIF($C$5:C53,C53)=1,Settings!$C$13,0))+E53*Settings!$C$15+IF(H53="Yes",J53*Settings!$C$16,0))</f>
        <v/>
      </c>
      <c r="L53" s="21">
        <f>IF(B53="","",IF(Settings!$C$5="Yes",0,K53*Settings!$C$17))</f>
        <v/>
      </c>
      <c r="M53" s="21">
        <f>IF(B53="","",E53*IFERROR(VLOOKUP(D53,Products!$B$5:$F$204,5,FALSE),0))</f>
        <v/>
      </c>
      <c r="N53" s="21">
        <f>IF(B53="","",J53-K53-L53-M53-I53)</f>
        <v/>
      </c>
    </row>
    <row r="54">
      <c r="B54" s="11" t="n"/>
      <c r="C54" s="8" t="n"/>
      <c r="D54" s="8" t="n"/>
      <c r="E54" s="8" t="n"/>
      <c r="F54" s="20" t="n"/>
      <c r="G54" s="20" t="n"/>
      <c r="H54" s="8" t="n"/>
      <c r="I54" s="20" t="n"/>
      <c r="J54" s="21">
        <f>IF(B54="","",F54+G54)</f>
        <v/>
      </c>
      <c r="K54" s="21">
        <f>IF(B54="","",J54*(Settings!$C$11+Settings!$C$12+Settings!$C$14)+IF(C54="",Settings!$C$13,IF(COUNTIF($C$5:C54,C54)=1,Settings!$C$13,0))+E54*Settings!$C$15+IF(H54="Yes",J54*Settings!$C$16,0))</f>
        <v/>
      </c>
      <c r="L54" s="21">
        <f>IF(B54="","",IF(Settings!$C$5="Yes",0,K54*Settings!$C$17))</f>
        <v/>
      </c>
      <c r="M54" s="21">
        <f>IF(B54="","",E54*IFERROR(VLOOKUP(D54,Products!$B$5:$F$204,5,FALSE),0))</f>
        <v/>
      </c>
      <c r="N54" s="21">
        <f>IF(B54="","",J54-K54-L54-M54-I54)</f>
        <v/>
      </c>
    </row>
    <row r="55">
      <c r="B55" s="11" t="n"/>
      <c r="C55" s="8" t="n"/>
      <c r="D55" s="8" t="n"/>
      <c r="E55" s="8" t="n"/>
      <c r="F55" s="20" t="n"/>
      <c r="G55" s="20" t="n"/>
      <c r="H55" s="8" t="n"/>
      <c r="I55" s="20" t="n"/>
      <c r="J55" s="21">
        <f>IF(B55="","",F55+G55)</f>
        <v/>
      </c>
      <c r="K55" s="21">
        <f>IF(B55="","",J55*(Settings!$C$11+Settings!$C$12+Settings!$C$14)+IF(C55="",Settings!$C$13,IF(COUNTIF($C$5:C55,C55)=1,Settings!$C$13,0))+E55*Settings!$C$15+IF(H55="Yes",J55*Settings!$C$16,0))</f>
        <v/>
      </c>
      <c r="L55" s="21">
        <f>IF(B55="","",IF(Settings!$C$5="Yes",0,K55*Settings!$C$17))</f>
        <v/>
      </c>
      <c r="M55" s="21">
        <f>IF(B55="","",E55*IFERROR(VLOOKUP(D55,Products!$B$5:$F$204,5,FALSE),0))</f>
        <v/>
      </c>
      <c r="N55" s="21">
        <f>IF(B55="","",J55-K55-L55-M55-I55)</f>
        <v/>
      </c>
    </row>
    <row r="56">
      <c r="B56" s="11" t="n"/>
      <c r="C56" s="8" t="n"/>
      <c r="D56" s="8" t="n"/>
      <c r="E56" s="8" t="n"/>
      <c r="F56" s="20" t="n"/>
      <c r="G56" s="20" t="n"/>
      <c r="H56" s="8" t="n"/>
      <c r="I56" s="20" t="n"/>
      <c r="J56" s="21">
        <f>IF(B56="","",F56+G56)</f>
        <v/>
      </c>
      <c r="K56" s="21">
        <f>IF(B56="","",J56*(Settings!$C$11+Settings!$C$12+Settings!$C$14)+IF(C56="",Settings!$C$13,IF(COUNTIF($C$5:C56,C56)=1,Settings!$C$13,0))+E56*Settings!$C$15+IF(H56="Yes",J56*Settings!$C$16,0))</f>
        <v/>
      </c>
      <c r="L56" s="21">
        <f>IF(B56="","",IF(Settings!$C$5="Yes",0,K56*Settings!$C$17))</f>
        <v/>
      </c>
      <c r="M56" s="21">
        <f>IF(B56="","",E56*IFERROR(VLOOKUP(D56,Products!$B$5:$F$204,5,FALSE),0))</f>
        <v/>
      </c>
      <c r="N56" s="21">
        <f>IF(B56="","",J56-K56-L56-M56-I56)</f>
        <v/>
      </c>
    </row>
    <row r="57">
      <c r="B57" s="11" t="n"/>
      <c r="C57" s="8" t="n"/>
      <c r="D57" s="8" t="n"/>
      <c r="E57" s="8" t="n"/>
      <c r="F57" s="20" t="n"/>
      <c r="G57" s="20" t="n"/>
      <c r="H57" s="8" t="n"/>
      <c r="I57" s="20" t="n"/>
      <c r="J57" s="21">
        <f>IF(B57="","",F57+G57)</f>
        <v/>
      </c>
      <c r="K57" s="21">
        <f>IF(B57="","",J57*(Settings!$C$11+Settings!$C$12+Settings!$C$14)+IF(C57="",Settings!$C$13,IF(COUNTIF($C$5:C57,C57)=1,Settings!$C$13,0))+E57*Settings!$C$15+IF(H57="Yes",J57*Settings!$C$16,0))</f>
        <v/>
      </c>
      <c r="L57" s="21">
        <f>IF(B57="","",IF(Settings!$C$5="Yes",0,K57*Settings!$C$17))</f>
        <v/>
      </c>
      <c r="M57" s="21">
        <f>IF(B57="","",E57*IFERROR(VLOOKUP(D57,Products!$B$5:$F$204,5,FALSE),0))</f>
        <v/>
      </c>
      <c r="N57" s="21">
        <f>IF(B57="","",J57-K57-L57-M57-I57)</f>
        <v/>
      </c>
    </row>
    <row r="58">
      <c r="B58" s="11" t="n"/>
      <c r="C58" s="8" t="n"/>
      <c r="D58" s="8" t="n"/>
      <c r="E58" s="8" t="n"/>
      <c r="F58" s="20" t="n"/>
      <c r="G58" s="20" t="n"/>
      <c r="H58" s="8" t="n"/>
      <c r="I58" s="20" t="n"/>
      <c r="J58" s="21">
        <f>IF(B58="","",F58+G58)</f>
        <v/>
      </c>
      <c r="K58" s="21">
        <f>IF(B58="","",J58*(Settings!$C$11+Settings!$C$12+Settings!$C$14)+IF(C58="",Settings!$C$13,IF(COUNTIF($C$5:C58,C58)=1,Settings!$C$13,0))+E58*Settings!$C$15+IF(H58="Yes",J58*Settings!$C$16,0))</f>
        <v/>
      </c>
      <c r="L58" s="21">
        <f>IF(B58="","",IF(Settings!$C$5="Yes",0,K58*Settings!$C$17))</f>
        <v/>
      </c>
      <c r="M58" s="21">
        <f>IF(B58="","",E58*IFERROR(VLOOKUP(D58,Products!$B$5:$F$204,5,FALSE),0))</f>
        <v/>
      </c>
      <c r="N58" s="21">
        <f>IF(B58="","",J58-K58-L58-M58-I58)</f>
        <v/>
      </c>
    </row>
    <row r="59">
      <c r="B59" s="11" t="n"/>
      <c r="C59" s="8" t="n"/>
      <c r="D59" s="8" t="n"/>
      <c r="E59" s="8" t="n"/>
      <c r="F59" s="20" t="n"/>
      <c r="G59" s="20" t="n"/>
      <c r="H59" s="8" t="n"/>
      <c r="I59" s="20" t="n"/>
      <c r="J59" s="21">
        <f>IF(B59="","",F59+G59)</f>
        <v/>
      </c>
      <c r="K59" s="21">
        <f>IF(B59="","",J59*(Settings!$C$11+Settings!$C$12+Settings!$C$14)+IF(C59="",Settings!$C$13,IF(COUNTIF($C$5:C59,C59)=1,Settings!$C$13,0))+E59*Settings!$C$15+IF(H59="Yes",J59*Settings!$C$16,0))</f>
        <v/>
      </c>
      <c r="L59" s="21">
        <f>IF(B59="","",IF(Settings!$C$5="Yes",0,K59*Settings!$C$17))</f>
        <v/>
      </c>
      <c r="M59" s="21">
        <f>IF(B59="","",E59*IFERROR(VLOOKUP(D59,Products!$B$5:$F$204,5,FALSE),0))</f>
        <v/>
      </c>
      <c r="N59" s="21">
        <f>IF(B59="","",J59-K59-L59-M59-I59)</f>
        <v/>
      </c>
    </row>
    <row r="60">
      <c r="B60" s="11" t="n"/>
      <c r="C60" s="8" t="n"/>
      <c r="D60" s="8" t="n"/>
      <c r="E60" s="8" t="n"/>
      <c r="F60" s="20" t="n"/>
      <c r="G60" s="20" t="n"/>
      <c r="H60" s="8" t="n"/>
      <c r="I60" s="20" t="n"/>
      <c r="J60" s="21">
        <f>IF(B60="","",F60+G60)</f>
        <v/>
      </c>
      <c r="K60" s="21">
        <f>IF(B60="","",J60*(Settings!$C$11+Settings!$C$12+Settings!$C$14)+IF(C60="",Settings!$C$13,IF(COUNTIF($C$5:C60,C60)=1,Settings!$C$13,0))+E60*Settings!$C$15+IF(H60="Yes",J60*Settings!$C$16,0))</f>
        <v/>
      </c>
      <c r="L60" s="21">
        <f>IF(B60="","",IF(Settings!$C$5="Yes",0,K60*Settings!$C$17))</f>
        <v/>
      </c>
      <c r="M60" s="21">
        <f>IF(B60="","",E60*IFERROR(VLOOKUP(D60,Products!$B$5:$F$204,5,FALSE),0))</f>
        <v/>
      </c>
      <c r="N60" s="21">
        <f>IF(B60="","",J60-K60-L60-M60-I60)</f>
        <v/>
      </c>
    </row>
    <row r="61">
      <c r="B61" s="11" t="n"/>
      <c r="C61" s="8" t="n"/>
      <c r="D61" s="8" t="n"/>
      <c r="E61" s="8" t="n"/>
      <c r="F61" s="20" t="n"/>
      <c r="G61" s="20" t="n"/>
      <c r="H61" s="8" t="n"/>
      <c r="I61" s="20" t="n"/>
      <c r="J61" s="21">
        <f>IF(B61="","",F61+G61)</f>
        <v/>
      </c>
      <c r="K61" s="21">
        <f>IF(B61="","",J61*(Settings!$C$11+Settings!$C$12+Settings!$C$14)+IF(C61="",Settings!$C$13,IF(COUNTIF($C$5:C61,C61)=1,Settings!$C$13,0))+E61*Settings!$C$15+IF(H61="Yes",J61*Settings!$C$16,0))</f>
        <v/>
      </c>
      <c r="L61" s="21">
        <f>IF(B61="","",IF(Settings!$C$5="Yes",0,K61*Settings!$C$17))</f>
        <v/>
      </c>
      <c r="M61" s="21">
        <f>IF(B61="","",E61*IFERROR(VLOOKUP(D61,Products!$B$5:$F$204,5,FALSE),0))</f>
        <v/>
      </c>
      <c r="N61" s="21">
        <f>IF(B61="","",J61-K61-L61-M61-I61)</f>
        <v/>
      </c>
    </row>
    <row r="62">
      <c r="B62" s="11" t="n"/>
      <c r="C62" s="8" t="n"/>
      <c r="D62" s="8" t="n"/>
      <c r="E62" s="8" t="n"/>
      <c r="F62" s="20" t="n"/>
      <c r="G62" s="20" t="n"/>
      <c r="H62" s="8" t="n"/>
      <c r="I62" s="20" t="n"/>
      <c r="J62" s="21">
        <f>IF(B62="","",F62+G62)</f>
        <v/>
      </c>
      <c r="K62" s="21">
        <f>IF(B62="","",J62*(Settings!$C$11+Settings!$C$12+Settings!$C$14)+IF(C62="",Settings!$C$13,IF(COUNTIF($C$5:C62,C62)=1,Settings!$C$13,0))+E62*Settings!$C$15+IF(H62="Yes",J62*Settings!$C$16,0))</f>
        <v/>
      </c>
      <c r="L62" s="21">
        <f>IF(B62="","",IF(Settings!$C$5="Yes",0,K62*Settings!$C$17))</f>
        <v/>
      </c>
      <c r="M62" s="21">
        <f>IF(B62="","",E62*IFERROR(VLOOKUP(D62,Products!$B$5:$F$204,5,FALSE),0))</f>
        <v/>
      </c>
      <c r="N62" s="21">
        <f>IF(B62="","",J62-K62-L62-M62-I62)</f>
        <v/>
      </c>
    </row>
    <row r="63">
      <c r="B63" s="11" t="n"/>
      <c r="C63" s="8" t="n"/>
      <c r="D63" s="8" t="n"/>
      <c r="E63" s="8" t="n"/>
      <c r="F63" s="20" t="n"/>
      <c r="G63" s="20" t="n"/>
      <c r="H63" s="8" t="n"/>
      <c r="I63" s="20" t="n"/>
      <c r="J63" s="21">
        <f>IF(B63="","",F63+G63)</f>
        <v/>
      </c>
      <c r="K63" s="21">
        <f>IF(B63="","",J63*(Settings!$C$11+Settings!$C$12+Settings!$C$14)+IF(C63="",Settings!$C$13,IF(COUNTIF($C$5:C63,C63)=1,Settings!$C$13,0))+E63*Settings!$C$15+IF(H63="Yes",J63*Settings!$C$16,0))</f>
        <v/>
      </c>
      <c r="L63" s="21">
        <f>IF(B63="","",IF(Settings!$C$5="Yes",0,K63*Settings!$C$17))</f>
        <v/>
      </c>
      <c r="M63" s="21">
        <f>IF(B63="","",E63*IFERROR(VLOOKUP(D63,Products!$B$5:$F$204,5,FALSE),0))</f>
        <v/>
      </c>
      <c r="N63" s="21">
        <f>IF(B63="","",J63-K63-L63-M63-I63)</f>
        <v/>
      </c>
    </row>
    <row r="64">
      <c r="B64" s="11" t="n"/>
      <c r="C64" s="8" t="n"/>
      <c r="D64" s="8" t="n"/>
      <c r="E64" s="8" t="n"/>
      <c r="F64" s="20" t="n"/>
      <c r="G64" s="20" t="n"/>
      <c r="H64" s="8" t="n"/>
      <c r="I64" s="20" t="n"/>
      <c r="J64" s="21">
        <f>IF(B64="","",F64+G64)</f>
        <v/>
      </c>
      <c r="K64" s="21">
        <f>IF(B64="","",J64*(Settings!$C$11+Settings!$C$12+Settings!$C$14)+IF(C64="",Settings!$C$13,IF(COUNTIF($C$5:C64,C64)=1,Settings!$C$13,0))+E64*Settings!$C$15+IF(H64="Yes",J64*Settings!$C$16,0))</f>
        <v/>
      </c>
      <c r="L64" s="21">
        <f>IF(B64="","",IF(Settings!$C$5="Yes",0,K64*Settings!$C$17))</f>
        <v/>
      </c>
      <c r="M64" s="21">
        <f>IF(B64="","",E64*IFERROR(VLOOKUP(D64,Products!$B$5:$F$204,5,FALSE),0))</f>
        <v/>
      </c>
      <c r="N64" s="21">
        <f>IF(B64="","",J64-K64-L64-M64-I64)</f>
        <v/>
      </c>
    </row>
    <row r="65">
      <c r="B65" s="11" t="n"/>
      <c r="C65" s="8" t="n"/>
      <c r="D65" s="8" t="n"/>
      <c r="E65" s="8" t="n"/>
      <c r="F65" s="20" t="n"/>
      <c r="G65" s="20" t="n"/>
      <c r="H65" s="8" t="n"/>
      <c r="I65" s="20" t="n"/>
      <c r="J65" s="21">
        <f>IF(B65="","",F65+G65)</f>
        <v/>
      </c>
      <c r="K65" s="21">
        <f>IF(B65="","",J65*(Settings!$C$11+Settings!$C$12+Settings!$C$14)+IF(C65="",Settings!$C$13,IF(COUNTIF($C$5:C65,C65)=1,Settings!$C$13,0))+E65*Settings!$C$15+IF(H65="Yes",J65*Settings!$C$16,0))</f>
        <v/>
      </c>
      <c r="L65" s="21">
        <f>IF(B65="","",IF(Settings!$C$5="Yes",0,K65*Settings!$C$17))</f>
        <v/>
      </c>
      <c r="M65" s="21">
        <f>IF(B65="","",E65*IFERROR(VLOOKUP(D65,Products!$B$5:$F$204,5,FALSE),0))</f>
        <v/>
      </c>
      <c r="N65" s="21">
        <f>IF(B65="","",J65-K65-L65-M65-I65)</f>
        <v/>
      </c>
    </row>
    <row r="66">
      <c r="B66" s="11" t="n"/>
      <c r="C66" s="8" t="n"/>
      <c r="D66" s="8" t="n"/>
      <c r="E66" s="8" t="n"/>
      <c r="F66" s="20" t="n"/>
      <c r="G66" s="20" t="n"/>
      <c r="H66" s="8" t="n"/>
      <c r="I66" s="20" t="n"/>
      <c r="J66" s="21">
        <f>IF(B66="","",F66+G66)</f>
        <v/>
      </c>
      <c r="K66" s="21">
        <f>IF(B66="","",J66*(Settings!$C$11+Settings!$C$12+Settings!$C$14)+IF(C66="",Settings!$C$13,IF(COUNTIF($C$5:C66,C66)=1,Settings!$C$13,0))+E66*Settings!$C$15+IF(H66="Yes",J66*Settings!$C$16,0))</f>
        <v/>
      </c>
      <c r="L66" s="21">
        <f>IF(B66="","",IF(Settings!$C$5="Yes",0,K66*Settings!$C$17))</f>
        <v/>
      </c>
      <c r="M66" s="21">
        <f>IF(B66="","",E66*IFERROR(VLOOKUP(D66,Products!$B$5:$F$204,5,FALSE),0))</f>
        <v/>
      </c>
      <c r="N66" s="21">
        <f>IF(B66="","",J66-K66-L66-M66-I66)</f>
        <v/>
      </c>
    </row>
    <row r="67">
      <c r="B67" s="11" t="n"/>
      <c r="C67" s="8" t="n"/>
      <c r="D67" s="8" t="n"/>
      <c r="E67" s="8" t="n"/>
      <c r="F67" s="20" t="n"/>
      <c r="G67" s="20" t="n"/>
      <c r="H67" s="8" t="n"/>
      <c r="I67" s="20" t="n"/>
      <c r="J67" s="21">
        <f>IF(B67="","",F67+G67)</f>
        <v/>
      </c>
      <c r="K67" s="21">
        <f>IF(B67="","",J67*(Settings!$C$11+Settings!$C$12+Settings!$C$14)+IF(C67="",Settings!$C$13,IF(COUNTIF($C$5:C67,C67)=1,Settings!$C$13,0))+E67*Settings!$C$15+IF(H67="Yes",J67*Settings!$C$16,0))</f>
        <v/>
      </c>
      <c r="L67" s="21">
        <f>IF(B67="","",IF(Settings!$C$5="Yes",0,K67*Settings!$C$17))</f>
        <v/>
      </c>
      <c r="M67" s="21">
        <f>IF(B67="","",E67*IFERROR(VLOOKUP(D67,Products!$B$5:$F$204,5,FALSE),0))</f>
        <v/>
      </c>
      <c r="N67" s="21">
        <f>IF(B67="","",J67-K67-L67-M67-I67)</f>
        <v/>
      </c>
    </row>
    <row r="68">
      <c r="B68" s="11" t="n"/>
      <c r="C68" s="8" t="n"/>
      <c r="D68" s="8" t="n"/>
      <c r="E68" s="8" t="n"/>
      <c r="F68" s="20" t="n"/>
      <c r="G68" s="20" t="n"/>
      <c r="H68" s="8" t="n"/>
      <c r="I68" s="20" t="n"/>
      <c r="J68" s="21">
        <f>IF(B68="","",F68+G68)</f>
        <v/>
      </c>
      <c r="K68" s="21">
        <f>IF(B68="","",J68*(Settings!$C$11+Settings!$C$12+Settings!$C$14)+IF(C68="",Settings!$C$13,IF(COUNTIF($C$5:C68,C68)=1,Settings!$C$13,0))+E68*Settings!$C$15+IF(H68="Yes",J68*Settings!$C$16,0))</f>
        <v/>
      </c>
      <c r="L68" s="21">
        <f>IF(B68="","",IF(Settings!$C$5="Yes",0,K68*Settings!$C$17))</f>
        <v/>
      </c>
      <c r="M68" s="21">
        <f>IF(B68="","",E68*IFERROR(VLOOKUP(D68,Products!$B$5:$F$204,5,FALSE),0))</f>
        <v/>
      </c>
      <c r="N68" s="21">
        <f>IF(B68="","",J68-K68-L68-M68-I68)</f>
        <v/>
      </c>
    </row>
    <row r="69">
      <c r="B69" s="11" t="n"/>
      <c r="C69" s="8" t="n"/>
      <c r="D69" s="8" t="n"/>
      <c r="E69" s="8" t="n"/>
      <c r="F69" s="20" t="n"/>
      <c r="G69" s="20" t="n"/>
      <c r="H69" s="8" t="n"/>
      <c r="I69" s="20" t="n"/>
      <c r="J69" s="21">
        <f>IF(B69="","",F69+G69)</f>
        <v/>
      </c>
      <c r="K69" s="21">
        <f>IF(B69="","",J69*(Settings!$C$11+Settings!$C$12+Settings!$C$14)+IF(C69="",Settings!$C$13,IF(COUNTIF($C$5:C69,C69)=1,Settings!$C$13,0))+E69*Settings!$C$15+IF(H69="Yes",J69*Settings!$C$16,0))</f>
        <v/>
      </c>
      <c r="L69" s="21">
        <f>IF(B69="","",IF(Settings!$C$5="Yes",0,K69*Settings!$C$17))</f>
        <v/>
      </c>
      <c r="M69" s="21">
        <f>IF(B69="","",E69*IFERROR(VLOOKUP(D69,Products!$B$5:$F$204,5,FALSE),0))</f>
        <v/>
      </c>
      <c r="N69" s="21">
        <f>IF(B69="","",J69-K69-L69-M69-I69)</f>
        <v/>
      </c>
    </row>
    <row r="70">
      <c r="B70" s="11" t="n"/>
      <c r="C70" s="8" t="n"/>
      <c r="D70" s="8" t="n"/>
      <c r="E70" s="8" t="n"/>
      <c r="F70" s="20" t="n"/>
      <c r="G70" s="20" t="n"/>
      <c r="H70" s="8" t="n"/>
      <c r="I70" s="20" t="n"/>
      <c r="J70" s="21">
        <f>IF(B70="","",F70+G70)</f>
        <v/>
      </c>
      <c r="K70" s="21">
        <f>IF(B70="","",J70*(Settings!$C$11+Settings!$C$12+Settings!$C$14)+IF(C70="",Settings!$C$13,IF(COUNTIF($C$5:C70,C70)=1,Settings!$C$13,0))+E70*Settings!$C$15+IF(H70="Yes",J70*Settings!$C$16,0))</f>
        <v/>
      </c>
      <c r="L70" s="21">
        <f>IF(B70="","",IF(Settings!$C$5="Yes",0,K70*Settings!$C$17))</f>
        <v/>
      </c>
      <c r="M70" s="21">
        <f>IF(B70="","",E70*IFERROR(VLOOKUP(D70,Products!$B$5:$F$204,5,FALSE),0))</f>
        <v/>
      </c>
      <c r="N70" s="21">
        <f>IF(B70="","",J70-K70-L70-M70-I70)</f>
        <v/>
      </c>
    </row>
    <row r="71">
      <c r="B71" s="11" t="n"/>
      <c r="C71" s="8" t="n"/>
      <c r="D71" s="8" t="n"/>
      <c r="E71" s="8" t="n"/>
      <c r="F71" s="20" t="n"/>
      <c r="G71" s="20" t="n"/>
      <c r="H71" s="8" t="n"/>
      <c r="I71" s="20" t="n"/>
      <c r="J71" s="21">
        <f>IF(B71="","",F71+G71)</f>
        <v/>
      </c>
      <c r="K71" s="21">
        <f>IF(B71="","",J71*(Settings!$C$11+Settings!$C$12+Settings!$C$14)+IF(C71="",Settings!$C$13,IF(COUNTIF($C$5:C71,C71)=1,Settings!$C$13,0))+E71*Settings!$C$15+IF(H71="Yes",J71*Settings!$C$16,0))</f>
        <v/>
      </c>
      <c r="L71" s="21">
        <f>IF(B71="","",IF(Settings!$C$5="Yes",0,K71*Settings!$C$17))</f>
        <v/>
      </c>
      <c r="M71" s="21">
        <f>IF(B71="","",E71*IFERROR(VLOOKUP(D71,Products!$B$5:$F$204,5,FALSE),0))</f>
        <v/>
      </c>
      <c r="N71" s="21">
        <f>IF(B71="","",J71-K71-L71-M71-I71)</f>
        <v/>
      </c>
    </row>
    <row r="72">
      <c r="B72" s="11" t="n"/>
      <c r="C72" s="8" t="n"/>
      <c r="D72" s="8" t="n"/>
      <c r="E72" s="8" t="n"/>
      <c r="F72" s="20" t="n"/>
      <c r="G72" s="20" t="n"/>
      <c r="H72" s="8" t="n"/>
      <c r="I72" s="20" t="n"/>
      <c r="J72" s="21">
        <f>IF(B72="","",F72+G72)</f>
        <v/>
      </c>
      <c r="K72" s="21">
        <f>IF(B72="","",J72*(Settings!$C$11+Settings!$C$12+Settings!$C$14)+IF(C72="",Settings!$C$13,IF(COUNTIF($C$5:C72,C72)=1,Settings!$C$13,0))+E72*Settings!$C$15+IF(H72="Yes",J72*Settings!$C$16,0))</f>
        <v/>
      </c>
      <c r="L72" s="21">
        <f>IF(B72="","",IF(Settings!$C$5="Yes",0,K72*Settings!$C$17))</f>
        <v/>
      </c>
      <c r="M72" s="21">
        <f>IF(B72="","",E72*IFERROR(VLOOKUP(D72,Products!$B$5:$F$204,5,FALSE),0))</f>
        <v/>
      </c>
      <c r="N72" s="21">
        <f>IF(B72="","",J72-K72-L72-M72-I72)</f>
        <v/>
      </c>
    </row>
    <row r="73">
      <c r="B73" s="11" t="n"/>
      <c r="C73" s="8" t="n"/>
      <c r="D73" s="8" t="n"/>
      <c r="E73" s="8" t="n"/>
      <c r="F73" s="20" t="n"/>
      <c r="G73" s="20" t="n"/>
      <c r="H73" s="8" t="n"/>
      <c r="I73" s="20" t="n"/>
      <c r="J73" s="21">
        <f>IF(B73="","",F73+G73)</f>
        <v/>
      </c>
      <c r="K73" s="21">
        <f>IF(B73="","",J73*(Settings!$C$11+Settings!$C$12+Settings!$C$14)+IF(C73="",Settings!$C$13,IF(COUNTIF($C$5:C73,C73)=1,Settings!$C$13,0))+E73*Settings!$C$15+IF(H73="Yes",J73*Settings!$C$16,0))</f>
        <v/>
      </c>
      <c r="L73" s="21">
        <f>IF(B73="","",IF(Settings!$C$5="Yes",0,K73*Settings!$C$17))</f>
        <v/>
      </c>
      <c r="M73" s="21">
        <f>IF(B73="","",E73*IFERROR(VLOOKUP(D73,Products!$B$5:$F$204,5,FALSE),0))</f>
        <v/>
      </c>
      <c r="N73" s="21">
        <f>IF(B73="","",J73-K73-L73-M73-I73)</f>
        <v/>
      </c>
    </row>
    <row r="74">
      <c r="B74" s="11" t="n"/>
      <c r="C74" s="8" t="n"/>
      <c r="D74" s="8" t="n"/>
      <c r="E74" s="8" t="n"/>
      <c r="F74" s="20" t="n"/>
      <c r="G74" s="20" t="n"/>
      <c r="H74" s="8" t="n"/>
      <c r="I74" s="20" t="n"/>
      <c r="J74" s="21">
        <f>IF(B74="","",F74+G74)</f>
        <v/>
      </c>
      <c r="K74" s="21">
        <f>IF(B74="","",J74*(Settings!$C$11+Settings!$C$12+Settings!$C$14)+IF(C74="",Settings!$C$13,IF(COUNTIF($C$5:C74,C74)=1,Settings!$C$13,0))+E74*Settings!$C$15+IF(H74="Yes",J74*Settings!$C$16,0))</f>
        <v/>
      </c>
      <c r="L74" s="21">
        <f>IF(B74="","",IF(Settings!$C$5="Yes",0,K74*Settings!$C$17))</f>
        <v/>
      </c>
      <c r="M74" s="21">
        <f>IF(B74="","",E74*IFERROR(VLOOKUP(D74,Products!$B$5:$F$204,5,FALSE),0))</f>
        <v/>
      </c>
      <c r="N74" s="21">
        <f>IF(B74="","",J74-K74-L74-M74-I74)</f>
        <v/>
      </c>
    </row>
    <row r="75">
      <c r="B75" s="11" t="n"/>
      <c r="C75" s="8" t="n"/>
      <c r="D75" s="8" t="n"/>
      <c r="E75" s="8" t="n"/>
      <c r="F75" s="20" t="n"/>
      <c r="G75" s="20" t="n"/>
      <c r="H75" s="8" t="n"/>
      <c r="I75" s="20" t="n"/>
      <c r="J75" s="21">
        <f>IF(B75="","",F75+G75)</f>
        <v/>
      </c>
      <c r="K75" s="21">
        <f>IF(B75="","",J75*(Settings!$C$11+Settings!$C$12+Settings!$C$14)+IF(C75="",Settings!$C$13,IF(COUNTIF($C$5:C75,C75)=1,Settings!$C$13,0))+E75*Settings!$C$15+IF(H75="Yes",J75*Settings!$C$16,0))</f>
        <v/>
      </c>
      <c r="L75" s="21">
        <f>IF(B75="","",IF(Settings!$C$5="Yes",0,K75*Settings!$C$17))</f>
        <v/>
      </c>
      <c r="M75" s="21">
        <f>IF(B75="","",E75*IFERROR(VLOOKUP(D75,Products!$B$5:$F$204,5,FALSE),0))</f>
        <v/>
      </c>
      <c r="N75" s="21">
        <f>IF(B75="","",J75-K75-L75-M75-I75)</f>
        <v/>
      </c>
    </row>
    <row r="76">
      <c r="B76" s="11" t="n"/>
      <c r="C76" s="8" t="n"/>
      <c r="D76" s="8" t="n"/>
      <c r="E76" s="8" t="n"/>
      <c r="F76" s="20" t="n"/>
      <c r="G76" s="20" t="n"/>
      <c r="H76" s="8" t="n"/>
      <c r="I76" s="20" t="n"/>
      <c r="J76" s="21">
        <f>IF(B76="","",F76+G76)</f>
        <v/>
      </c>
      <c r="K76" s="21">
        <f>IF(B76="","",J76*(Settings!$C$11+Settings!$C$12+Settings!$C$14)+IF(C76="",Settings!$C$13,IF(COUNTIF($C$5:C76,C76)=1,Settings!$C$13,0))+E76*Settings!$C$15+IF(H76="Yes",J76*Settings!$C$16,0))</f>
        <v/>
      </c>
      <c r="L76" s="21">
        <f>IF(B76="","",IF(Settings!$C$5="Yes",0,K76*Settings!$C$17))</f>
        <v/>
      </c>
      <c r="M76" s="21">
        <f>IF(B76="","",E76*IFERROR(VLOOKUP(D76,Products!$B$5:$F$204,5,FALSE),0))</f>
        <v/>
      </c>
      <c r="N76" s="21">
        <f>IF(B76="","",J76-K76-L76-M76-I76)</f>
        <v/>
      </c>
    </row>
    <row r="77">
      <c r="B77" s="11" t="n"/>
      <c r="C77" s="8" t="n"/>
      <c r="D77" s="8" t="n"/>
      <c r="E77" s="8" t="n"/>
      <c r="F77" s="20" t="n"/>
      <c r="G77" s="20" t="n"/>
      <c r="H77" s="8" t="n"/>
      <c r="I77" s="20" t="n"/>
      <c r="J77" s="21">
        <f>IF(B77="","",F77+G77)</f>
        <v/>
      </c>
      <c r="K77" s="21">
        <f>IF(B77="","",J77*(Settings!$C$11+Settings!$C$12+Settings!$C$14)+IF(C77="",Settings!$C$13,IF(COUNTIF($C$5:C77,C77)=1,Settings!$C$13,0))+E77*Settings!$C$15+IF(H77="Yes",J77*Settings!$C$16,0))</f>
        <v/>
      </c>
      <c r="L77" s="21">
        <f>IF(B77="","",IF(Settings!$C$5="Yes",0,K77*Settings!$C$17))</f>
        <v/>
      </c>
      <c r="M77" s="21">
        <f>IF(B77="","",E77*IFERROR(VLOOKUP(D77,Products!$B$5:$F$204,5,FALSE),0))</f>
        <v/>
      </c>
      <c r="N77" s="21">
        <f>IF(B77="","",J77-K77-L77-M77-I77)</f>
        <v/>
      </c>
    </row>
    <row r="78">
      <c r="B78" s="11" t="n"/>
      <c r="C78" s="8" t="n"/>
      <c r="D78" s="8" t="n"/>
      <c r="E78" s="8" t="n"/>
      <c r="F78" s="20" t="n"/>
      <c r="G78" s="20" t="n"/>
      <c r="H78" s="8" t="n"/>
      <c r="I78" s="20" t="n"/>
      <c r="J78" s="21">
        <f>IF(B78="","",F78+G78)</f>
        <v/>
      </c>
      <c r="K78" s="21">
        <f>IF(B78="","",J78*(Settings!$C$11+Settings!$C$12+Settings!$C$14)+IF(C78="",Settings!$C$13,IF(COUNTIF($C$5:C78,C78)=1,Settings!$C$13,0))+E78*Settings!$C$15+IF(H78="Yes",J78*Settings!$C$16,0))</f>
        <v/>
      </c>
      <c r="L78" s="21">
        <f>IF(B78="","",IF(Settings!$C$5="Yes",0,K78*Settings!$C$17))</f>
        <v/>
      </c>
      <c r="M78" s="21">
        <f>IF(B78="","",E78*IFERROR(VLOOKUP(D78,Products!$B$5:$F$204,5,FALSE),0))</f>
        <v/>
      </c>
      <c r="N78" s="21">
        <f>IF(B78="","",J78-K78-L78-M78-I78)</f>
        <v/>
      </c>
    </row>
    <row r="79">
      <c r="B79" s="11" t="n"/>
      <c r="C79" s="8" t="n"/>
      <c r="D79" s="8" t="n"/>
      <c r="E79" s="8" t="n"/>
      <c r="F79" s="20" t="n"/>
      <c r="G79" s="20" t="n"/>
      <c r="H79" s="8" t="n"/>
      <c r="I79" s="20" t="n"/>
      <c r="J79" s="21">
        <f>IF(B79="","",F79+G79)</f>
        <v/>
      </c>
      <c r="K79" s="21">
        <f>IF(B79="","",J79*(Settings!$C$11+Settings!$C$12+Settings!$C$14)+IF(C79="",Settings!$C$13,IF(COUNTIF($C$5:C79,C79)=1,Settings!$C$13,0))+E79*Settings!$C$15+IF(H79="Yes",J79*Settings!$C$16,0))</f>
        <v/>
      </c>
      <c r="L79" s="21">
        <f>IF(B79="","",IF(Settings!$C$5="Yes",0,K79*Settings!$C$17))</f>
        <v/>
      </c>
      <c r="M79" s="21">
        <f>IF(B79="","",E79*IFERROR(VLOOKUP(D79,Products!$B$5:$F$204,5,FALSE),0))</f>
        <v/>
      </c>
      <c r="N79" s="21">
        <f>IF(B79="","",J79-K79-L79-M79-I79)</f>
        <v/>
      </c>
    </row>
    <row r="80">
      <c r="B80" s="11" t="n"/>
      <c r="C80" s="8" t="n"/>
      <c r="D80" s="8" t="n"/>
      <c r="E80" s="8" t="n"/>
      <c r="F80" s="20" t="n"/>
      <c r="G80" s="20" t="n"/>
      <c r="H80" s="8" t="n"/>
      <c r="I80" s="20" t="n"/>
      <c r="J80" s="21">
        <f>IF(B80="","",F80+G80)</f>
        <v/>
      </c>
      <c r="K80" s="21">
        <f>IF(B80="","",J80*(Settings!$C$11+Settings!$C$12+Settings!$C$14)+IF(C80="",Settings!$C$13,IF(COUNTIF($C$5:C80,C80)=1,Settings!$C$13,0))+E80*Settings!$C$15+IF(H80="Yes",J80*Settings!$C$16,0))</f>
        <v/>
      </c>
      <c r="L80" s="21">
        <f>IF(B80="","",IF(Settings!$C$5="Yes",0,K80*Settings!$C$17))</f>
        <v/>
      </c>
      <c r="M80" s="21">
        <f>IF(B80="","",E80*IFERROR(VLOOKUP(D80,Products!$B$5:$F$204,5,FALSE),0))</f>
        <v/>
      </c>
      <c r="N80" s="21">
        <f>IF(B80="","",J80-K80-L80-M80-I80)</f>
        <v/>
      </c>
    </row>
    <row r="81">
      <c r="B81" s="11" t="n"/>
      <c r="C81" s="8" t="n"/>
      <c r="D81" s="8" t="n"/>
      <c r="E81" s="8" t="n"/>
      <c r="F81" s="20" t="n"/>
      <c r="G81" s="20" t="n"/>
      <c r="H81" s="8" t="n"/>
      <c r="I81" s="20" t="n"/>
      <c r="J81" s="21">
        <f>IF(B81="","",F81+G81)</f>
        <v/>
      </c>
      <c r="K81" s="21">
        <f>IF(B81="","",J81*(Settings!$C$11+Settings!$C$12+Settings!$C$14)+IF(C81="",Settings!$C$13,IF(COUNTIF($C$5:C81,C81)=1,Settings!$C$13,0))+E81*Settings!$C$15+IF(H81="Yes",J81*Settings!$C$16,0))</f>
        <v/>
      </c>
      <c r="L81" s="21">
        <f>IF(B81="","",IF(Settings!$C$5="Yes",0,K81*Settings!$C$17))</f>
        <v/>
      </c>
      <c r="M81" s="21">
        <f>IF(B81="","",E81*IFERROR(VLOOKUP(D81,Products!$B$5:$F$204,5,FALSE),0))</f>
        <v/>
      </c>
      <c r="N81" s="21">
        <f>IF(B81="","",J81-K81-L81-M81-I81)</f>
        <v/>
      </c>
    </row>
    <row r="82">
      <c r="B82" s="11" t="n"/>
      <c r="C82" s="8" t="n"/>
      <c r="D82" s="8" t="n"/>
      <c r="E82" s="8" t="n"/>
      <c r="F82" s="20" t="n"/>
      <c r="G82" s="20" t="n"/>
      <c r="H82" s="8" t="n"/>
      <c r="I82" s="20" t="n"/>
      <c r="J82" s="21">
        <f>IF(B82="","",F82+G82)</f>
        <v/>
      </c>
      <c r="K82" s="21">
        <f>IF(B82="","",J82*(Settings!$C$11+Settings!$C$12+Settings!$C$14)+IF(C82="",Settings!$C$13,IF(COUNTIF($C$5:C82,C82)=1,Settings!$C$13,0))+E82*Settings!$C$15+IF(H82="Yes",J82*Settings!$C$16,0))</f>
        <v/>
      </c>
      <c r="L82" s="21">
        <f>IF(B82="","",IF(Settings!$C$5="Yes",0,K82*Settings!$C$17))</f>
        <v/>
      </c>
      <c r="M82" s="21">
        <f>IF(B82="","",E82*IFERROR(VLOOKUP(D82,Products!$B$5:$F$204,5,FALSE),0))</f>
        <v/>
      </c>
      <c r="N82" s="21">
        <f>IF(B82="","",J82-K82-L82-M82-I82)</f>
        <v/>
      </c>
    </row>
    <row r="83">
      <c r="B83" s="11" t="n"/>
      <c r="C83" s="8" t="n"/>
      <c r="D83" s="8" t="n"/>
      <c r="E83" s="8" t="n"/>
      <c r="F83" s="20" t="n"/>
      <c r="G83" s="20" t="n"/>
      <c r="H83" s="8" t="n"/>
      <c r="I83" s="20" t="n"/>
      <c r="J83" s="21">
        <f>IF(B83="","",F83+G83)</f>
        <v/>
      </c>
      <c r="K83" s="21">
        <f>IF(B83="","",J83*(Settings!$C$11+Settings!$C$12+Settings!$C$14)+IF(C83="",Settings!$C$13,IF(COUNTIF($C$5:C83,C83)=1,Settings!$C$13,0))+E83*Settings!$C$15+IF(H83="Yes",J83*Settings!$C$16,0))</f>
        <v/>
      </c>
      <c r="L83" s="21">
        <f>IF(B83="","",IF(Settings!$C$5="Yes",0,K83*Settings!$C$17))</f>
        <v/>
      </c>
      <c r="M83" s="21">
        <f>IF(B83="","",E83*IFERROR(VLOOKUP(D83,Products!$B$5:$F$204,5,FALSE),0))</f>
        <v/>
      </c>
      <c r="N83" s="21">
        <f>IF(B83="","",J83-K83-L83-M83-I83)</f>
        <v/>
      </c>
    </row>
    <row r="84">
      <c r="B84" s="11" t="n"/>
      <c r="C84" s="8" t="n"/>
      <c r="D84" s="8" t="n"/>
      <c r="E84" s="8" t="n"/>
      <c r="F84" s="20" t="n"/>
      <c r="G84" s="20" t="n"/>
      <c r="H84" s="8" t="n"/>
      <c r="I84" s="20" t="n"/>
      <c r="J84" s="21">
        <f>IF(B84="","",F84+G84)</f>
        <v/>
      </c>
      <c r="K84" s="21">
        <f>IF(B84="","",J84*(Settings!$C$11+Settings!$C$12+Settings!$C$14)+IF(C84="",Settings!$C$13,IF(COUNTIF($C$5:C84,C84)=1,Settings!$C$13,0))+E84*Settings!$C$15+IF(H84="Yes",J84*Settings!$C$16,0))</f>
        <v/>
      </c>
      <c r="L84" s="21">
        <f>IF(B84="","",IF(Settings!$C$5="Yes",0,K84*Settings!$C$17))</f>
        <v/>
      </c>
      <c r="M84" s="21">
        <f>IF(B84="","",E84*IFERROR(VLOOKUP(D84,Products!$B$5:$F$204,5,FALSE),0))</f>
        <v/>
      </c>
      <c r="N84" s="21">
        <f>IF(B84="","",J84-K84-L84-M84-I84)</f>
        <v/>
      </c>
    </row>
    <row r="85">
      <c r="B85" s="11" t="n"/>
      <c r="C85" s="8" t="n"/>
      <c r="D85" s="8" t="n"/>
      <c r="E85" s="8" t="n"/>
      <c r="F85" s="20" t="n"/>
      <c r="G85" s="20" t="n"/>
      <c r="H85" s="8" t="n"/>
      <c r="I85" s="20" t="n"/>
      <c r="J85" s="21">
        <f>IF(B85="","",F85+G85)</f>
        <v/>
      </c>
      <c r="K85" s="21">
        <f>IF(B85="","",J85*(Settings!$C$11+Settings!$C$12+Settings!$C$14)+IF(C85="",Settings!$C$13,IF(COUNTIF($C$5:C85,C85)=1,Settings!$C$13,0))+E85*Settings!$C$15+IF(H85="Yes",J85*Settings!$C$16,0))</f>
        <v/>
      </c>
      <c r="L85" s="21">
        <f>IF(B85="","",IF(Settings!$C$5="Yes",0,K85*Settings!$C$17))</f>
        <v/>
      </c>
      <c r="M85" s="21">
        <f>IF(B85="","",E85*IFERROR(VLOOKUP(D85,Products!$B$5:$F$204,5,FALSE),0))</f>
        <v/>
      </c>
      <c r="N85" s="21">
        <f>IF(B85="","",J85-K85-L85-M85-I85)</f>
        <v/>
      </c>
    </row>
    <row r="86">
      <c r="B86" s="11" t="n"/>
      <c r="C86" s="8" t="n"/>
      <c r="D86" s="8" t="n"/>
      <c r="E86" s="8" t="n"/>
      <c r="F86" s="20" t="n"/>
      <c r="G86" s="20" t="n"/>
      <c r="H86" s="8" t="n"/>
      <c r="I86" s="20" t="n"/>
      <c r="J86" s="21">
        <f>IF(B86="","",F86+G86)</f>
        <v/>
      </c>
      <c r="K86" s="21">
        <f>IF(B86="","",J86*(Settings!$C$11+Settings!$C$12+Settings!$C$14)+IF(C86="",Settings!$C$13,IF(COUNTIF($C$5:C86,C86)=1,Settings!$C$13,0))+E86*Settings!$C$15+IF(H86="Yes",J86*Settings!$C$16,0))</f>
        <v/>
      </c>
      <c r="L86" s="21">
        <f>IF(B86="","",IF(Settings!$C$5="Yes",0,K86*Settings!$C$17))</f>
        <v/>
      </c>
      <c r="M86" s="21">
        <f>IF(B86="","",E86*IFERROR(VLOOKUP(D86,Products!$B$5:$F$204,5,FALSE),0))</f>
        <v/>
      </c>
      <c r="N86" s="21">
        <f>IF(B86="","",J86-K86-L86-M86-I86)</f>
        <v/>
      </c>
    </row>
    <row r="87">
      <c r="B87" s="11" t="n"/>
      <c r="C87" s="8" t="n"/>
      <c r="D87" s="8" t="n"/>
      <c r="E87" s="8" t="n"/>
      <c r="F87" s="20" t="n"/>
      <c r="G87" s="20" t="n"/>
      <c r="H87" s="8" t="n"/>
      <c r="I87" s="20" t="n"/>
      <c r="J87" s="21">
        <f>IF(B87="","",F87+G87)</f>
        <v/>
      </c>
      <c r="K87" s="21">
        <f>IF(B87="","",J87*(Settings!$C$11+Settings!$C$12+Settings!$C$14)+IF(C87="",Settings!$C$13,IF(COUNTIF($C$5:C87,C87)=1,Settings!$C$13,0))+E87*Settings!$C$15+IF(H87="Yes",J87*Settings!$C$16,0))</f>
        <v/>
      </c>
      <c r="L87" s="21">
        <f>IF(B87="","",IF(Settings!$C$5="Yes",0,K87*Settings!$C$17))</f>
        <v/>
      </c>
      <c r="M87" s="21">
        <f>IF(B87="","",E87*IFERROR(VLOOKUP(D87,Products!$B$5:$F$204,5,FALSE),0))</f>
        <v/>
      </c>
      <c r="N87" s="21">
        <f>IF(B87="","",J87-K87-L87-M87-I87)</f>
        <v/>
      </c>
    </row>
    <row r="88">
      <c r="B88" s="11" t="n"/>
      <c r="C88" s="8" t="n"/>
      <c r="D88" s="8" t="n"/>
      <c r="E88" s="8" t="n"/>
      <c r="F88" s="20" t="n"/>
      <c r="G88" s="20" t="n"/>
      <c r="H88" s="8" t="n"/>
      <c r="I88" s="20" t="n"/>
      <c r="J88" s="21">
        <f>IF(B88="","",F88+G88)</f>
        <v/>
      </c>
      <c r="K88" s="21">
        <f>IF(B88="","",J88*(Settings!$C$11+Settings!$C$12+Settings!$C$14)+IF(C88="",Settings!$C$13,IF(COUNTIF($C$5:C88,C88)=1,Settings!$C$13,0))+E88*Settings!$C$15+IF(H88="Yes",J88*Settings!$C$16,0))</f>
        <v/>
      </c>
      <c r="L88" s="21">
        <f>IF(B88="","",IF(Settings!$C$5="Yes",0,K88*Settings!$C$17))</f>
        <v/>
      </c>
      <c r="M88" s="21">
        <f>IF(B88="","",E88*IFERROR(VLOOKUP(D88,Products!$B$5:$F$204,5,FALSE),0))</f>
        <v/>
      </c>
      <c r="N88" s="21">
        <f>IF(B88="","",J88-K88-L88-M88-I88)</f>
        <v/>
      </c>
    </row>
    <row r="89">
      <c r="B89" s="11" t="n"/>
      <c r="C89" s="8" t="n"/>
      <c r="D89" s="8" t="n"/>
      <c r="E89" s="8" t="n"/>
      <c r="F89" s="20" t="n"/>
      <c r="G89" s="20" t="n"/>
      <c r="H89" s="8" t="n"/>
      <c r="I89" s="20" t="n"/>
      <c r="J89" s="21">
        <f>IF(B89="","",F89+G89)</f>
        <v/>
      </c>
      <c r="K89" s="21">
        <f>IF(B89="","",J89*(Settings!$C$11+Settings!$C$12+Settings!$C$14)+IF(C89="",Settings!$C$13,IF(COUNTIF($C$5:C89,C89)=1,Settings!$C$13,0))+E89*Settings!$C$15+IF(H89="Yes",J89*Settings!$C$16,0))</f>
        <v/>
      </c>
      <c r="L89" s="21">
        <f>IF(B89="","",IF(Settings!$C$5="Yes",0,K89*Settings!$C$17))</f>
        <v/>
      </c>
      <c r="M89" s="21">
        <f>IF(B89="","",E89*IFERROR(VLOOKUP(D89,Products!$B$5:$F$204,5,FALSE),0))</f>
        <v/>
      </c>
      <c r="N89" s="21">
        <f>IF(B89="","",J89-K89-L89-M89-I89)</f>
        <v/>
      </c>
    </row>
    <row r="90">
      <c r="B90" s="11" t="n"/>
      <c r="C90" s="8" t="n"/>
      <c r="D90" s="8" t="n"/>
      <c r="E90" s="8" t="n"/>
      <c r="F90" s="20" t="n"/>
      <c r="G90" s="20" t="n"/>
      <c r="H90" s="8" t="n"/>
      <c r="I90" s="20" t="n"/>
      <c r="J90" s="21">
        <f>IF(B90="","",F90+G90)</f>
        <v/>
      </c>
      <c r="K90" s="21">
        <f>IF(B90="","",J90*(Settings!$C$11+Settings!$C$12+Settings!$C$14)+IF(C90="",Settings!$C$13,IF(COUNTIF($C$5:C90,C90)=1,Settings!$C$13,0))+E90*Settings!$C$15+IF(H90="Yes",J90*Settings!$C$16,0))</f>
        <v/>
      </c>
      <c r="L90" s="21">
        <f>IF(B90="","",IF(Settings!$C$5="Yes",0,K90*Settings!$C$17))</f>
        <v/>
      </c>
      <c r="M90" s="21">
        <f>IF(B90="","",E90*IFERROR(VLOOKUP(D90,Products!$B$5:$F$204,5,FALSE),0))</f>
        <v/>
      </c>
      <c r="N90" s="21">
        <f>IF(B90="","",J90-K90-L90-M90-I90)</f>
        <v/>
      </c>
    </row>
    <row r="91">
      <c r="B91" s="11" t="n"/>
      <c r="C91" s="8" t="n"/>
      <c r="D91" s="8" t="n"/>
      <c r="E91" s="8" t="n"/>
      <c r="F91" s="20" t="n"/>
      <c r="G91" s="20" t="n"/>
      <c r="H91" s="8" t="n"/>
      <c r="I91" s="20" t="n"/>
      <c r="J91" s="21">
        <f>IF(B91="","",F91+G91)</f>
        <v/>
      </c>
      <c r="K91" s="21">
        <f>IF(B91="","",J91*(Settings!$C$11+Settings!$C$12+Settings!$C$14)+IF(C91="",Settings!$C$13,IF(COUNTIF($C$5:C91,C91)=1,Settings!$C$13,0))+E91*Settings!$C$15+IF(H91="Yes",J91*Settings!$C$16,0))</f>
        <v/>
      </c>
      <c r="L91" s="21">
        <f>IF(B91="","",IF(Settings!$C$5="Yes",0,K91*Settings!$C$17))</f>
        <v/>
      </c>
      <c r="M91" s="21">
        <f>IF(B91="","",E91*IFERROR(VLOOKUP(D91,Products!$B$5:$F$204,5,FALSE),0))</f>
        <v/>
      </c>
      <c r="N91" s="21">
        <f>IF(B91="","",J91-K91-L91-M91-I91)</f>
        <v/>
      </c>
    </row>
    <row r="92">
      <c r="B92" s="11" t="n"/>
      <c r="C92" s="8" t="n"/>
      <c r="D92" s="8" t="n"/>
      <c r="E92" s="8" t="n"/>
      <c r="F92" s="20" t="n"/>
      <c r="G92" s="20" t="n"/>
      <c r="H92" s="8" t="n"/>
      <c r="I92" s="20" t="n"/>
      <c r="J92" s="21">
        <f>IF(B92="","",F92+G92)</f>
        <v/>
      </c>
      <c r="K92" s="21">
        <f>IF(B92="","",J92*(Settings!$C$11+Settings!$C$12+Settings!$C$14)+IF(C92="",Settings!$C$13,IF(COUNTIF($C$5:C92,C92)=1,Settings!$C$13,0))+E92*Settings!$C$15+IF(H92="Yes",J92*Settings!$C$16,0))</f>
        <v/>
      </c>
      <c r="L92" s="21">
        <f>IF(B92="","",IF(Settings!$C$5="Yes",0,K92*Settings!$C$17))</f>
        <v/>
      </c>
      <c r="M92" s="21">
        <f>IF(B92="","",E92*IFERROR(VLOOKUP(D92,Products!$B$5:$F$204,5,FALSE),0))</f>
        <v/>
      </c>
      <c r="N92" s="21">
        <f>IF(B92="","",J92-K92-L92-M92-I92)</f>
        <v/>
      </c>
    </row>
    <row r="93">
      <c r="B93" s="11" t="n"/>
      <c r="C93" s="8" t="n"/>
      <c r="D93" s="8" t="n"/>
      <c r="E93" s="8" t="n"/>
      <c r="F93" s="20" t="n"/>
      <c r="G93" s="20" t="n"/>
      <c r="H93" s="8" t="n"/>
      <c r="I93" s="20" t="n"/>
      <c r="J93" s="21">
        <f>IF(B93="","",F93+G93)</f>
        <v/>
      </c>
      <c r="K93" s="21">
        <f>IF(B93="","",J93*(Settings!$C$11+Settings!$C$12+Settings!$C$14)+IF(C93="",Settings!$C$13,IF(COUNTIF($C$5:C93,C93)=1,Settings!$C$13,0))+E93*Settings!$C$15+IF(H93="Yes",J93*Settings!$C$16,0))</f>
        <v/>
      </c>
      <c r="L93" s="21">
        <f>IF(B93="","",IF(Settings!$C$5="Yes",0,K93*Settings!$C$17))</f>
        <v/>
      </c>
      <c r="M93" s="21">
        <f>IF(B93="","",E93*IFERROR(VLOOKUP(D93,Products!$B$5:$F$204,5,FALSE),0))</f>
        <v/>
      </c>
      <c r="N93" s="21">
        <f>IF(B93="","",J93-K93-L93-M93-I93)</f>
        <v/>
      </c>
    </row>
    <row r="94">
      <c r="B94" s="11" t="n"/>
      <c r="C94" s="8" t="n"/>
      <c r="D94" s="8" t="n"/>
      <c r="E94" s="8" t="n"/>
      <c r="F94" s="20" t="n"/>
      <c r="G94" s="20" t="n"/>
      <c r="H94" s="8" t="n"/>
      <c r="I94" s="20" t="n"/>
      <c r="J94" s="21">
        <f>IF(B94="","",F94+G94)</f>
        <v/>
      </c>
      <c r="K94" s="21">
        <f>IF(B94="","",J94*(Settings!$C$11+Settings!$C$12+Settings!$C$14)+IF(C94="",Settings!$C$13,IF(COUNTIF($C$5:C94,C94)=1,Settings!$C$13,0))+E94*Settings!$C$15+IF(H94="Yes",J94*Settings!$C$16,0))</f>
        <v/>
      </c>
      <c r="L94" s="21">
        <f>IF(B94="","",IF(Settings!$C$5="Yes",0,K94*Settings!$C$17))</f>
        <v/>
      </c>
      <c r="M94" s="21">
        <f>IF(B94="","",E94*IFERROR(VLOOKUP(D94,Products!$B$5:$F$204,5,FALSE),0))</f>
        <v/>
      </c>
      <c r="N94" s="21">
        <f>IF(B94="","",J94-K94-L94-M94-I94)</f>
        <v/>
      </c>
    </row>
    <row r="95">
      <c r="B95" s="11" t="n"/>
      <c r="C95" s="8" t="n"/>
      <c r="D95" s="8" t="n"/>
      <c r="E95" s="8" t="n"/>
      <c r="F95" s="20" t="n"/>
      <c r="G95" s="20" t="n"/>
      <c r="H95" s="8" t="n"/>
      <c r="I95" s="20" t="n"/>
      <c r="J95" s="21">
        <f>IF(B95="","",F95+G95)</f>
        <v/>
      </c>
      <c r="K95" s="21">
        <f>IF(B95="","",J95*(Settings!$C$11+Settings!$C$12+Settings!$C$14)+IF(C95="",Settings!$C$13,IF(COUNTIF($C$5:C95,C95)=1,Settings!$C$13,0))+E95*Settings!$C$15+IF(H95="Yes",J95*Settings!$C$16,0))</f>
        <v/>
      </c>
      <c r="L95" s="21">
        <f>IF(B95="","",IF(Settings!$C$5="Yes",0,K95*Settings!$C$17))</f>
        <v/>
      </c>
      <c r="M95" s="21">
        <f>IF(B95="","",E95*IFERROR(VLOOKUP(D95,Products!$B$5:$F$204,5,FALSE),0))</f>
        <v/>
      </c>
      <c r="N95" s="21">
        <f>IF(B95="","",J95-K95-L95-M95-I95)</f>
        <v/>
      </c>
    </row>
    <row r="96">
      <c r="B96" s="11" t="n"/>
      <c r="C96" s="8" t="n"/>
      <c r="D96" s="8" t="n"/>
      <c r="E96" s="8" t="n"/>
      <c r="F96" s="20" t="n"/>
      <c r="G96" s="20" t="n"/>
      <c r="H96" s="8" t="n"/>
      <c r="I96" s="20" t="n"/>
      <c r="J96" s="21">
        <f>IF(B96="","",F96+G96)</f>
        <v/>
      </c>
      <c r="K96" s="21">
        <f>IF(B96="","",J96*(Settings!$C$11+Settings!$C$12+Settings!$C$14)+IF(C96="",Settings!$C$13,IF(COUNTIF($C$5:C96,C96)=1,Settings!$C$13,0))+E96*Settings!$C$15+IF(H96="Yes",J96*Settings!$C$16,0))</f>
        <v/>
      </c>
      <c r="L96" s="21">
        <f>IF(B96="","",IF(Settings!$C$5="Yes",0,K96*Settings!$C$17))</f>
        <v/>
      </c>
      <c r="M96" s="21">
        <f>IF(B96="","",E96*IFERROR(VLOOKUP(D96,Products!$B$5:$F$204,5,FALSE),0))</f>
        <v/>
      </c>
      <c r="N96" s="21">
        <f>IF(B96="","",J96-K96-L96-M96-I96)</f>
        <v/>
      </c>
    </row>
    <row r="97">
      <c r="B97" s="11" t="n"/>
      <c r="C97" s="8" t="n"/>
      <c r="D97" s="8" t="n"/>
      <c r="E97" s="8" t="n"/>
      <c r="F97" s="20" t="n"/>
      <c r="G97" s="20" t="n"/>
      <c r="H97" s="8" t="n"/>
      <c r="I97" s="20" t="n"/>
      <c r="J97" s="21">
        <f>IF(B97="","",F97+G97)</f>
        <v/>
      </c>
      <c r="K97" s="21">
        <f>IF(B97="","",J97*(Settings!$C$11+Settings!$C$12+Settings!$C$14)+IF(C97="",Settings!$C$13,IF(COUNTIF($C$5:C97,C97)=1,Settings!$C$13,0))+E97*Settings!$C$15+IF(H97="Yes",J97*Settings!$C$16,0))</f>
        <v/>
      </c>
      <c r="L97" s="21">
        <f>IF(B97="","",IF(Settings!$C$5="Yes",0,K97*Settings!$C$17))</f>
        <v/>
      </c>
      <c r="M97" s="21">
        <f>IF(B97="","",E97*IFERROR(VLOOKUP(D97,Products!$B$5:$F$204,5,FALSE),0))</f>
        <v/>
      </c>
      <c r="N97" s="21">
        <f>IF(B97="","",J97-K97-L97-M97-I97)</f>
        <v/>
      </c>
    </row>
    <row r="98">
      <c r="B98" s="11" t="n"/>
      <c r="C98" s="8" t="n"/>
      <c r="D98" s="8" t="n"/>
      <c r="E98" s="8" t="n"/>
      <c r="F98" s="20" t="n"/>
      <c r="G98" s="20" t="n"/>
      <c r="H98" s="8" t="n"/>
      <c r="I98" s="20" t="n"/>
      <c r="J98" s="21">
        <f>IF(B98="","",F98+G98)</f>
        <v/>
      </c>
      <c r="K98" s="21">
        <f>IF(B98="","",J98*(Settings!$C$11+Settings!$C$12+Settings!$C$14)+IF(C98="",Settings!$C$13,IF(COUNTIF($C$5:C98,C98)=1,Settings!$C$13,0))+E98*Settings!$C$15+IF(H98="Yes",J98*Settings!$C$16,0))</f>
        <v/>
      </c>
      <c r="L98" s="21">
        <f>IF(B98="","",IF(Settings!$C$5="Yes",0,K98*Settings!$C$17))</f>
        <v/>
      </c>
      <c r="M98" s="21">
        <f>IF(B98="","",E98*IFERROR(VLOOKUP(D98,Products!$B$5:$F$204,5,FALSE),0))</f>
        <v/>
      </c>
      <c r="N98" s="21">
        <f>IF(B98="","",J98-K98-L98-M98-I98)</f>
        <v/>
      </c>
    </row>
    <row r="99">
      <c r="B99" s="11" t="n"/>
      <c r="C99" s="8" t="n"/>
      <c r="D99" s="8" t="n"/>
      <c r="E99" s="8" t="n"/>
      <c r="F99" s="20" t="n"/>
      <c r="G99" s="20" t="n"/>
      <c r="H99" s="8" t="n"/>
      <c r="I99" s="20" t="n"/>
      <c r="J99" s="21">
        <f>IF(B99="","",F99+G99)</f>
        <v/>
      </c>
      <c r="K99" s="21">
        <f>IF(B99="","",J99*(Settings!$C$11+Settings!$C$12+Settings!$C$14)+IF(C99="",Settings!$C$13,IF(COUNTIF($C$5:C99,C99)=1,Settings!$C$13,0))+E99*Settings!$C$15+IF(H99="Yes",J99*Settings!$C$16,0))</f>
        <v/>
      </c>
      <c r="L99" s="21">
        <f>IF(B99="","",IF(Settings!$C$5="Yes",0,K99*Settings!$C$17))</f>
        <v/>
      </c>
      <c r="M99" s="21">
        <f>IF(B99="","",E99*IFERROR(VLOOKUP(D99,Products!$B$5:$F$204,5,FALSE),0))</f>
        <v/>
      </c>
      <c r="N99" s="21">
        <f>IF(B99="","",J99-K99-L99-M99-I99)</f>
        <v/>
      </c>
    </row>
    <row r="100">
      <c r="B100" s="11" t="n"/>
      <c r="C100" s="8" t="n"/>
      <c r="D100" s="8" t="n"/>
      <c r="E100" s="8" t="n"/>
      <c r="F100" s="20" t="n"/>
      <c r="G100" s="20" t="n"/>
      <c r="H100" s="8" t="n"/>
      <c r="I100" s="20" t="n"/>
      <c r="J100" s="21">
        <f>IF(B100="","",F100+G100)</f>
        <v/>
      </c>
      <c r="K100" s="21">
        <f>IF(B100="","",J100*(Settings!$C$11+Settings!$C$12+Settings!$C$14)+IF(C100="",Settings!$C$13,IF(COUNTIF($C$5:C100,C100)=1,Settings!$C$13,0))+E100*Settings!$C$15+IF(H100="Yes",J100*Settings!$C$16,0))</f>
        <v/>
      </c>
      <c r="L100" s="21">
        <f>IF(B100="","",IF(Settings!$C$5="Yes",0,K100*Settings!$C$17))</f>
        <v/>
      </c>
      <c r="M100" s="21">
        <f>IF(B100="","",E100*IFERROR(VLOOKUP(D100,Products!$B$5:$F$204,5,FALSE),0))</f>
        <v/>
      </c>
      <c r="N100" s="21">
        <f>IF(B100="","",J100-K100-L100-M100-I100)</f>
        <v/>
      </c>
    </row>
    <row r="101">
      <c r="B101" s="11" t="n"/>
      <c r="C101" s="8" t="n"/>
      <c r="D101" s="8" t="n"/>
      <c r="E101" s="8" t="n"/>
      <c r="F101" s="20" t="n"/>
      <c r="G101" s="20" t="n"/>
      <c r="H101" s="8" t="n"/>
      <c r="I101" s="20" t="n"/>
      <c r="J101" s="21">
        <f>IF(B101="","",F101+G101)</f>
        <v/>
      </c>
      <c r="K101" s="21">
        <f>IF(B101="","",J101*(Settings!$C$11+Settings!$C$12+Settings!$C$14)+IF(C101="",Settings!$C$13,IF(COUNTIF($C$5:C101,C101)=1,Settings!$C$13,0))+E101*Settings!$C$15+IF(H101="Yes",J101*Settings!$C$16,0))</f>
        <v/>
      </c>
      <c r="L101" s="21">
        <f>IF(B101="","",IF(Settings!$C$5="Yes",0,K101*Settings!$C$17))</f>
        <v/>
      </c>
      <c r="M101" s="21">
        <f>IF(B101="","",E101*IFERROR(VLOOKUP(D101,Products!$B$5:$F$204,5,FALSE),0))</f>
        <v/>
      </c>
      <c r="N101" s="21">
        <f>IF(B101="","",J101-K101-L101-M101-I101)</f>
        <v/>
      </c>
    </row>
    <row r="102">
      <c r="B102" s="11" t="n"/>
      <c r="C102" s="8" t="n"/>
      <c r="D102" s="8" t="n"/>
      <c r="E102" s="8" t="n"/>
      <c r="F102" s="20" t="n"/>
      <c r="G102" s="20" t="n"/>
      <c r="H102" s="8" t="n"/>
      <c r="I102" s="20" t="n"/>
      <c r="J102" s="21">
        <f>IF(B102="","",F102+G102)</f>
        <v/>
      </c>
      <c r="K102" s="21">
        <f>IF(B102="","",J102*(Settings!$C$11+Settings!$C$12+Settings!$C$14)+IF(C102="",Settings!$C$13,IF(COUNTIF($C$5:C102,C102)=1,Settings!$C$13,0))+E102*Settings!$C$15+IF(H102="Yes",J102*Settings!$C$16,0))</f>
        <v/>
      </c>
      <c r="L102" s="21">
        <f>IF(B102="","",IF(Settings!$C$5="Yes",0,K102*Settings!$C$17))</f>
        <v/>
      </c>
      <c r="M102" s="21">
        <f>IF(B102="","",E102*IFERROR(VLOOKUP(D102,Products!$B$5:$F$204,5,FALSE),0))</f>
        <v/>
      </c>
      <c r="N102" s="21">
        <f>IF(B102="","",J102-K102-L102-M102-I102)</f>
        <v/>
      </c>
    </row>
    <row r="103">
      <c r="B103" s="11" t="n"/>
      <c r="C103" s="8" t="n"/>
      <c r="D103" s="8" t="n"/>
      <c r="E103" s="8" t="n"/>
      <c r="F103" s="20" t="n"/>
      <c r="G103" s="20" t="n"/>
      <c r="H103" s="8" t="n"/>
      <c r="I103" s="20" t="n"/>
      <c r="J103" s="21">
        <f>IF(B103="","",F103+G103)</f>
        <v/>
      </c>
      <c r="K103" s="21">
        <f>IF(B103="","",J103*(Settings!$C$11+Settings!$C$12+Settings!$C$14)+IF(C103="",Settings!$C$13,IF(COUNTIF($C$5:C103,C103)=1,Settings!$C$13,0))+E103*Settings!$C$15+IF(H103="Yes",J103*Settings!$C$16,0))</f>
        <v/>
      </c>
      <c r="L103" s="21">
        <f>IF(B103="","",IF(Settings!$C$5="Yes",0,K103*Settings!$C$17))</f>
        <v/>
      </c>
      <c r="M103" s="21">
        <f>IF(B103="","",E103*IFERROR(VLOOKUP(D103,Products!$B$5:$F$204,5,FALSE),0))</f>
        <v/>
      </c>
      <c r="N103" s="21">
        <f>IF(B103="","",J103-K103-L103-M103-I103)</f>
        <v/>
      </c>
    </row>
    <row r="104">
      <c r="B104" s="11" t="n"/>
      <c r="C104" s="8" t="n"/>
      <c r="D104" s="8" t="n"/>
      <c r="E104" s="8" t="n"/>
      <c r="F104" s="20" t="n"/>
      <c r="G104" s="20" t="n"/>
      <c r="H104" s="8" t="n"/>
      <c r="I104" s="20" t="n"/>
      <c r="J104" s="21">
        <f>IF(B104="","",F104+G104)</f>
        <v/>
      </c>
      <c r="K104" s="21">
        <f>IF(B104="","",J104*(Settings!$C$11+Settings!$C$12+Settings!$C$14)+IF(C104="",Settings!$C$13,IF(COUNTIF($C$5:C104,C104)=1,Settings!$C$13,0))+E104*Settings!$C$15+IF(H104="Yes",J104*Settings!$C$16,0))</f>
        <v/>
      </c>
      <c r="L104" s="21">
        <f>IF(B104="","",IF(Settings!$C$5="Yes",0,K104*Settings!$C$17))</f>
        <v/>
      </c>
      <c r="M104" s="21">
        <f>IF(B104="","",E104*IFERROR(VLOOKUP(D104,Products!$B$5:$F$204,5,FALSE),0))</f>
        <v/>
      </c>
      <c r="N104" s="21">
        <f>IF(B104="","",J104-K104-L104-M104-I104)</f>
        <v/>
      </c>
    </row>
    <row r="105">
      <c r="B105" s="11" t="n"/>
      <c r="C105" s="8" t="n"/>
      <c r="D105" s="8" t="n"/>
      <c r="E105" s="8" t="n"/>
      <c r="F105" s="20" t="n"/>
      <c r="G105" s="20" t="n"/>
      <c r="H105" s="8" t="n"/>
      <c r="I105" s="20" t="n"/>
      <c r="J105" s="21">
        <f>IF(B105="","",F105+G105)</f>
        <v/>
      </c>
      <c r="K105" s="21">
        <f>IF(B105="","",J105*(Settings!$C$11+Settings!$C$12+Settings!$C$14)+IF(C105="",Settings!$C$13,IF(COUNTIF($C$5:C105,C105)=1,Settings!$C$13,0))+E105*Settings!$C$15+IF(H105="Yes",J105*Settings!$C$16,0))</f>
        <v/>
      </c>
      <c r="L105" s="21">
        <f>IF(B105="","",IF(Settings!$C$5="Yes",0,K105*Settings!$C$17))</f>
        <v/>
      </c>
      <c r="M105" s="21">
        <f>IF(B105="","",E105*IFERROR(VLOOKUP(D105,Products!$B$5:$F$204,5,FALSE),0))</f>
        <v/>
      </c>
      <c r="N105" s="21">
        <f>IF(B105="","",J105-K105-L105-M105-I105)</f>
        <v/>
      </c>
    </row>
    <row r="106">
      <c r="B106" s="11" t="n"/>
      <c r="C106" s="8" t="n"/>
      <c r="D106" s="8" t="n"/>
      <c r="E106" s="8" t="n"/>
      <c r="F106" s="20" t="n"/>
      <c r="G106" s="20" t="n"/>
      <c r="H106" s="8" t="n"/>
      <c r="I106" s="20" t="n"/>
      <c r="J106" s="21">
        <f>IF(B106="","",F106+G106)</f>
        <v/>
      </c>
      <c r="K106" s="21">
        <f>IF(B106="","",J106*(Settings!$C$11+Settings!$C$12+Settings!$C$14)+IF(C106="",Settings!$C$13,IF(COUNTIF($C$5:C106,C106)=1,Settings!$C$13,0))+E106*Settings!$C$15+IF(H106="Yes",J106*Settings!$C$16,0))</f>
        <v/>
      </c>
      <c r="L106" s="21">
        <f>IF(B106="","",IF(Settings!$C$5="Yes",0,K106*Settings!$C$17))</f>
        <v/>
      </c>
      <c r="M106" s="21">
        <f>IF(B106="","",E106*IFERROR(VLOOKUP(D106,Products!$B$5:$F$204,5,FALSE),0))</f>
        <v/>
      </c>
      <c r="N106" s="21">
        <f>IF(B106="","",J106-K106-L106-M106-I106)</f>
        <v/>
      </c>
    </row>
    <row r="107">
      <c r="B107" s="11" t="n"/>
      <c r="C107" s="8" t="n"/>
      <c r="D107" s="8" t="n"/>
      <c r="E107" s="8" t="n"/>
      <c r="F107" s="20" t="n"/>
      <c r="G107" s="20" t="n"/>
      <c r="H107" s="8" t="n"/>
      <c r="I107" s="20" t="n"/>
      <c r="J107" s="21">
        <f>IF(B107="","",F107+G107)</f>
        <v/>
      </c>
      <c r="K107" s="21">
        <f>IF(B107="","",J107*(Settings!$C$11+Settings!$C$12+Settings!$C$14)+IF(C107="",Settings!$C$13,IF(COUNTIF($C$5:C107,C107)=1,Settings!$C$13,0))+E107*Settings!$C$15+IF(H107="Yes",J107*Settings!$C$16,0))</f>
        <v/>
      </c>
      <c r="L107" s="21">
        <f>IF(B107="","",IF(Settings!$C$5="Yes",0,K107*Settings!$C$17))</f>
        <v/>
      </c>
      <c r="M107" s="21">
        <f>IF(B107="","",E107*IFERROR(VLOOKUP(D107,Products!$B$5:$F$204,5,FALSE),0))</f>
        <v/>
      </c>
      <c r="N107" s="21">
        <f>IF(B107="","",J107-K107-L107-M107-I107)</f>
        <v/>
      </c>
    </row>
    <row r="108">
      <c r="B108" s="11" t="n"/>
      <c r="C108" s="8" t="n"/>
      <c r="D108" s="8" t="n"/>
      <c r="E108" s="8" t="n"/>
      <c r="F108" s="20" t="n"/>
      <c r="G108" s="20" t="n"/>
      <c r="H108" s="8" t="n"/>
      <c r="I108" s="20" t="n"/>
      <c r="J108" s="21">
        <f>IF(B108="","",F108+G108)</f>
        <v/>
      </c>
      <c r="K108" s="21">
        <f>IF(B108="","",J108*(Settings!$C$11+Settings!$C$12+Settings!$C$14)+IF(C108="",Settings!$C$13,IF(COUNTIF($C$5:C108,C108)=1,Settings!$C$13,0))+E108*Settings!$C$15+IF(H108="Yes",J108*Settings!$C$16,0))</f>
        <v/>
      </c>
      <c r="L108" s="21">
        <f>IF(B108="","",IF(Settings!$C$5="Yes",0,K108*Settings!$C$17))</f>
        <v/>
      </c>
      <c r="M108" s="21">
        <f>IF(B108="","",E108*IFERROR(VLOOKUP(D108,Products!$B$5:$F$204,5,FALSE),0))</f>
        <v/>
      </c>
      <c r="N108" s="21">
        <f>IF(B108="","",J108-K108-L108-M108-I108)</f>
        <v/>
      </c>
    </row>
    <row r="109">
      <c r="B109" s="11" t="n"/>
      <c r="C109" s="8" t="n"/>
      <c r="D109" s="8" t="n"/>
      <c r="E109" s="8" t="n"/>
      <c r="F109" s="20" t="n"/>
      <c r="G109" s="20" t="n"/>
      <c r="H109" s="8" t="n"/>
      <c r="I109" s="20" t="n"/>
      <c r="J109" s="21">
        <f>IF(B109="","",F109+G109)</f>
        <v/>
      </c>
      <c r="K109" s="21">
        <f>IF(B109="","",J109*(Settings!$C$11+Settings!$C$12+Settings!$C$14)+IF(C109="",Settings!$C$13,IF(COUNTIF($C$5:C109,C109)=1,Settings!$C$13,0))+E109*Settings!$C$15+IF(H109="Yes",J109*Settings!$C$16,0))</f>
        <v/>
      </c>
      <c r="L109" s="21">
        <f>IF(B109="","",IF(Settings!$C$5="Yes",0,K109*Settings!$C$17))</f>
        <v/>
      </c>
      <c r="M109" s="21">
        <f>IF(B109="","",E109*IFERROR(VLOOKUP(D109,Products!$B$5:$F$204,5,FALSE),0))</f>
        <v/>
      </c>
      <c r="N109" s="21">
        <f>IF(B109="","",J109-K109-L109-M109-I109)</f>
        <v/>
      </c>
    </row>
    <row r="110">
      <c r="B110" s="11" t="n"/>
      <c r="C110" s="8" t="n"/>
      <c r="D110" s="8" t="n"/>
      <c r="E110" s="8" t="n"/>
      <c r="F110" s="20" t="n"/>
      <c r="G110" s="20" t="n"/>
      <c r="H110" s="8" t="n"/>
      <c r="I110" s="20" t="n"/>
      <c r="J110" s="21">
        <f>IF(B110="","",F110+G110)</f>
        <v/>
      </c>
      <c r="K110" s="21">
        <f>IF(B110="","",J110*(Settings!$C$11+Settings!$C$12+Settings!$C$14)+IF(C110="",Settings!$C$13,IF(COUNTIF($C$5:C110,C110)=1,Settings!$C$13,0))+E110*Settings!$C$15+IF(H110="Yes",J110*Settings!$C$16,0))</f>
        <v/>
      </c>
      <c r="L110" s="21">
        <f>IF(B110="","",IF(Settings!$C$5="Yes",0,K110*Settings!$C$17))</f>
        <v/>
      </c>
      <c r="M110" s="21">
        <f>IF(B110="","",E110*IFERROR(VLOOKUP(D110,Products!$B$5:$F$204,5,FALSE),0))</f>
        <v/>
      </c>
      <c r="N110" s="21">
        <f>IF(B110="","",J110-K110-L110-M110-I110)</f>
        <v/>
      </c>
    </row>
    <row r="111">
      <c r="B111" s="11" t="n"/>
      <c r="C111" s="8" t="n"/>
      <c r="D111" s="8" t="n"/>
      <c r="E111" s="8" t="n"/>
      <c r="F111" s="20" t="n"/>
      <c r="G111" s="20" t="n"/>
      <c r="H111" s="8" t="n"/>
      <c r="I111" s="20" t="n"/>
      <c r="J111" s="21">
        <f>IF(B111="","",F111+G111)</f>
        <v/>
      </c>
      <c r="K111" s="21">
        <f>IF(B111="","",J111*(Settings!$C$11+Settings!$C$12+Settings!$C$14)+IF(C111="",Settings!$C$13,IF(COUNTIF($C$5:C111,C111)=1,Settings!$C$13,0))+E111*Settings!$C$15+IF(H111="Yes",J111*Settings!$C$16,0))</f>
        <v/>
      </c>
      <c r="L111" s="21">
        <f>IF(B111="","",IF(Settings!$C$5="Yes",0,K111*Settings!$C$17))</f>
        <v/>
      </c>
      <c r="M111" s="21">
        <f>IF(B111="","",E111*IFERROR(VLOOKUP(D111,Products!$B$5:$F$204,5,FALSE),0))</f>
        <v/>
      </c>
      <c r="N111" s="21">
        <f>IF(B111="","",J111-K111-L111-M111-I111)</f>
        <v/>
      </c>
    </row>
    <row r="112">
      <c r="B112" s="11" t="n"/>
      <c r="C112" s="8" t="n"/>
      <c r="D112" s="8" t="n"/>
      <c r="E112" s="8" t="n"/>
      <c r="F112" s="20" t="n"/>
      <c r="G112" s="20" t="n"/>
      <c r="H112" s="8" t="n"/>
      <c r="I112" s="20" t="n"/>
      <c r="J112" s="21">
        <f>IF(B112="","",F112+G112)</f>
        <v/>
      </c>
      <c r="K112" s="21">
        <f>IF(B112="","",J112*(Settings!$C$11+Settings!$C$12+Settings!$C$14)+IF(C112="",Settings!$C$13,IF(COUNTIF($C$5:C112,C112)=1,Settings!$C$13,0))+E112*Settings!$C$15+IF(H112="Yes",J112*Settings!$C$16,0))</f>
        <v/>
      </c>
      <c r="L112" s="21">
        <f>IF(B112="","",IF(Settings!$C$5="Yes",0,K112*Settings!$C$17))</f>
        <v/>
      </c>
      <c r="M112" s="21">
        <f>IF(B112="","",E112*IFERROR(VLOOKUP(D112,Products!$B$5:$F$204,5,FALSE),0))</f>
        <v/>
      </c>
      <c r="N112" s="21">
        <f>IF(B112="","",J112-K112-L112-M112-I112)</f>
        <v/>
      </c>
    </row>
    <row r="113">
      <c r="B113" s="11" t="n"/>
      <c r="C113" s="8" t="n"/>
      <c r="D113" s="8" t="n"/>
      <c r="E113" s="8" t="n"/>
      <c r="F113" s="20" t="n"/>
      <c r="G113" s="20" t="n"/>
      <c r="H113" s="8" t="n"/>
      <c r="I113" s="20" t="n"/>
      <c r="J113" s="21">
        <f>IF(B113="","",F113+G113)</f>
        <v/>
      </c>
      <c r="K113" s="21">
        <f>IF(B113="","",J113*(Settings!$C$11+Settings!$C$12+Settings!$C$14)+IF(C113="",Settings!$C$13,IF(COUNTIF($C$5:C113,C113)=1,Settings!$C$13,0))+E113*Settings!$C$15+IF(H113="Yes",J113*Settings!$C$16,0))</f>
        <v/>
      </c>
      <c r="L113" s="21">
        <f>IF(B113="","",IF(Settings!$C$5="Yes",0,K113*Settings!$C$17))</f>
        <v/>
      </c>
      <c r="M113" s="21">
        <f>IF(B113="","",E113*IFERROR(VLOOKUP(D113,Products!$B$5:$F$204,5,FALSE),0))</f>
        <v/>
      </c>
      <c r="N113" s="21">
        <f>IF(B113="","",J113-K113-L113-M113-I113)</f>
        <v/>
      </c>
    </row>
    <row r="114">
      <c r="B114" s="11" t="n"/>
      <c r="C114" s="8" t="n"/>
      <c r="D114" s="8" t="n"/>
      <c r="E114" s="8" t="n"/>
      <c r="F114" s="20" t="n"/>
      <c r="G114" s="20" t="n"/>
      <c r="H114" s="8" t="n"/>
      <c r="I114" s="20" t="n"/>
      <c r="J114" s="21">
        <f>IF(B114="","",F114+G114)</f>
        <v/>
      </c>
      <c r="K114" s="21">
        <f>IF(B114="","",J114*(Settings!$C$11+Settings!$C$12+Settings!$C$14)+IF(C114="",Settings!$C$13,IF(COUNTIF($C$5:C114,C114)=1,Settings!$C$13,0))+E114*Settings!$C$15+IF(H114="Yes",J114*Settings!$C$16,0))</f>
        <v/>
      </c>
      <c r="L114" s="21">
        <f>IF(B114="","",IF(Settings!$C$5="Yes",0,K114*Settings!$C$17))</f>
        <v/>
      </c>
      <c r="M114" s="21">
        <f>IF(B114="","",E114*IFERROR(VLOOKUP(D114,Products!$B$5:$F$204,5,FALSE),0))</f>
        <v/>
      </c>
      <c r="N114" s="21">
        <f>IF(B114="","",J114-K114-L114-M114-I114)</f>
        <v/>
      </c>
    </row>
    <row r="115">
      <c r="B115" s="11" t="n"/>
      <c r="C115" s="8" t="n"/>
      <c r="D115" s="8" t="n"/>
      <c r="E115" s="8" t="n"/>
      <c r="F115" s="20" t="n"/>
      <c r="G115" s="20" t="n"/>
      <c r="H115" s="8" t="n"/>
      <c r="I115" s="20" t="n"/>
      <c r="J115" s="21">
        <f>IF(B115="","",F115+G115)</f>
        <v/>
      </c>
      <c r="K115" s="21">
        <f>IF(B115="","",J115*(Settings!$C$11+Settings!$C$12+Settings!$C$14)+IF(C115="",Settings!$C$13,IF(COUNTIF($C$5:C115,C115)=1,Settings!$C$13,0))+E115*Settings!$C$15+IF(H115="Yes",J115*Settings!$C$16,0))</f>
        <v/>
      </c>
      <c r="L115" s="21">
        <f>IF(B115="","",IF(Settings!$C$5="Yes",0,K115*Settings!$C$17))</f>
        <v/>
      </c>
      <c r="M115" s="21">
        <f>IF(B115="","",E115*IFERROR(VLOOKUP(D115,Products!$B$5:$F$204,5,FALSE),0))</f>
        <v/>
      </c>
      <c r="N115" s="21">
        <f>IF(B115="","",J115-K115-L115-M115-I115)</f>
        <v/>
      </c>
    </row>
    <row r="116">
      <c r="B116" s="11" t="n"/>
      <c r="C116" s="8" t="n"/>
      <c r="D116" s="8" t="n"/>
      <c r="E116" s="8" t="n"/>
      <c r="F116" s="20" t="n"/>
      <c r="G116" s="20" t="n"/>
      <c r="H116" s="8" t="n"/>
      <c r="I116" s="20" t="n"/>
      <c r="J116" s="21">
        <f>IF(B116="","",F116+G116)</f>
        <v/>
      </c>
      <c r="K116" s="21">
        <f>IF(B116="","",J116*(Settings!$C$11+Settings!$C$12+Settings!$C$14)+IF(C116="",Settings!$C$13,IF(COUNTIF($C$5:C116,C116)=1,Settings!$C$13,0))+E116*Settings!$C$15+IF(H116="Yes",J116*Settings!$C$16,0))</f>
        <v/>
      </c>
      <c r="L116" s="21">
        <f>IF(B116="","",IF(Settings!$C$5="Yes",0,K116*Settings!$C$17))</f>
        <v/>
      </c>
      <c r="M116" s="21">
        <f>IF(B116="","",E116*IFERROR(VLOOKUP(D116,Products!$B$5:$F$204,5,FALSE),0))</f>
        <v/>
      </c>
      <c r="N116" s="21">
        <f>IF(B116="","",J116-K116-L116-M116-I116)</f>
        <v/>
      </c>
    </row>
    <row r="117">
      <c r="B117" s="11" t="n"/>
      <c r="C117" s="8" t="n"/>
      <c r="D117" s="8" t="n"/>
      <c r="E117" s="8" t="n"/>
      <c r="F117" s="20" t="n"/>
      <c r="G117" s="20" t="n"/>
      <c r="H117" s="8" t="n"/>
      <c r="I117" s="20" t="n"/>
      <c r="J117" s="21">
        <f>IF(B117="","",F117+G117)</f>
        <v/>
      </c>
      <c r="K117" s="21">
        <f>IF(B117="","",J117*(Settings!$C$11+Settings!$C$12+Settings!$C$14)+IF(C117="",Settings!$C$13,IF(COUNTIF($C$5:C117,C117)=1,Settings!$C$13,0))+E117*Settings!$C$15+IF(H117="Yes",J117*Settings!$C$16,0))</f>
        <v/>
      </c>
      <c r="L117" s="21">
        <f>IF(B117="","",IF(Settings!$C$5="Yes",0,K117*Settings!$C$17))</f>
        <v/>
      </c>
      <c r="M117" s="21">
        <f>IF(B117="","",E117*IFERROR(VLOOKUP(D117,Products!$B$5:$F$204,5,FALSE),0))</f>
        <v/>
      </c>
      <c r="N117" s="21">
        <f>IF(B117="","",J117-K117-L117-M117-I117)</f>
        <v/>
      </c>
    </row>
    <row r="118">
      <c r="B118" s="11" t="n"/>
      <c r="C118" s="8" t="n"/>
      <c r="D118" s="8" t="n"/>
      <c r="E118" s="8" t="n"/>
      <c r="F118" s="20" t="n"/>
      <c r="G118" s="20" t="n"/>
      <c r="H118" s="8" t="n"/>
      <c r="I118" s="20" t="n"/>
      <c r="J118" s="21">
        <f>IF(B118="","",F118+G118)</f>
        <v/>
      </c>
      <c r="K118" s="21">
        <f>IF(B118="","",J118*(Settings!$C$11+Settings!$C$12+Settings!$C$14)+IF(C118="",Settings!$C$13,IF(COUNTIF($C$5:C118,C118)=1,Settings!$C$13,0))+E118*Settings!$C$15+IF(H118="Yes",J118*Settings!$C$16,0))</f>
        <v/>
      </c>
      <c r="L118" s="21">
        <f>IF(B118="","",IF(Settings!$C$5="Yes",0,K118*Settings!$C$17))</f>
        <v/>
      </c>
      <c r="M118" s="21">
        <f>IF(B118="","",E118*IFERROR(VLOOKUP(D118,Products!$B$5:$F$204,5,FALSE),0))</f>
        <v/>
      </c>
      <c r="N118" s="21">
        <f>IF(B118="","",J118-K118-L118-M118-I118)</f>
        <v/>
      </c>
    </row>
    <row r="119">
      <c r="B119" s="11" t="n"/>
      <c r="C119" s="8" t="n"/>
      <c r="D119" s="8" t="n"/>
      <c r="E119" s="8" t="n"/>
      <c r="F119" s="20" t="n"/>
      <c r="G119" s="20" t="n"/>
      <c r="H119" s="8" t="n"/>
      <c r="I119" s="20" t="n"/>
      <c r="J119" s="21">
        <f>IF(B119="","",F119+G119)</f>
        <v/>
      </c>
      <c r="K119" s="21">
        <f>IF(B119="","",J119*(Settings!$C$11+Settings!$C$12+Settings!$C$14)+IF(C119="",Settings!$C$13,IF(COUNTIF($C$5:C119,C119)=1,Settings!$C$13,0))+E119*Settings!$C$15+IF(H119="Yes",J119*Settings!$C$16,0))</f>
        <v/>
      </c>
      <c r="L119" s="21">
        <f>IF(B119="","",IF(Settings!$C$5="Yes",0,K119*Settings!$C$17))</f>
        <v/>
      </c>
      <c r="M119" s="21">
        <f>IF(B119="","",E119*IFERROR(VLOOKUP(D119,Products!$B$5:$F$204,5,FALSE),0))</f>
        <v/>
      </c>
      <c r="N119" s="21">
        <f>IF(B119="","",J119-K119-L119-M119-I119)</f>
        <v/>
      </c>
    </row>
    <row r="120">
      <c r="B120" s="11" t="n"/>
      <c r="C120" s="8" t="n"/>
      <c r="D120" s="8" t="n"/>
      <c r="E120" s="8" t="n"/>
      <c r="F120" s="20" t="n"/>
      <c r="G120" s="20" t="n"/>
      <c r="H120" s="8" t="n"/>
      <c r="I120" s="20" t="n"/>
      <c r="J120" s="21">
        <f>IF(B120="","",F120+G120)</f>
        <v/>
      </c>
      <c r="K120" s="21">
        <f>IF(B120="","",J120*(Settings!$C$11+Settings!$C$12+Settings!$C$14)+IF(C120="",Settings!$C$13,IF(COUNTIF($C$5:C120,C120)=1,Settings!$C$13,0))+E120*Settings!$C$15+IF(H120="Yes",J120*Settings!$C$16,0))</f>
        <v/>
      </c>
      <c r="L120" s="21">
        <f>IF(B120="","",IF(Settings!$C$5="Yes",0,K120*Settings!$C$17))</f>
        <v/>
      </c>
      <c r="M120" s="21">
        <f>IF(B120="","",E120*IFERROR(VLOOKUP(D120,Products!$B$5:$F$204,5,FALSE),0))</f>
        <v/>
      </c>
      <c r="N120" s="21">
        <f>IF(B120="","",J120-K120-L120-M120-I120)</f>
        <v/>
      </c>
    </row>
    <row r="121">
      <c r="B121" s="11" t="n"/>
      <c r="C121" s="8" t="n"/>
      <c r="D121" s="8" t="n"/>
      <c r="E121" s="8" t="n"/>
      <c r="F121" s="20" t="n"/>
      <c r="G121" s="20" t="n"/>
      <c r="H121" s="8" t="n"/>
      <c r="I121" s="20" t="n"/>
      <c r="J121" s="21">
        <f>IF(B121="","",F121+G121)</f>
        <v/>
      </c>
      <c r="K121" s="21">
        <f>IF(B121="","",J121*(Settings!$C$11+Settings!$C$12+Settings!$C$14)+IF(C121="",Settings!$C$13,IF(COUNTIF($C$5:C121,C121)=1,Settings!$C$13,0))+E121*Settings!$C$15+IF(H121="Yes",J121*Settings!$C$16,0))</f>
        <v/>
      </c>
      <c r="L121" s="21">
        <f>IF(B121="","",IF(Settings!$C$5="Yes",0,K121*Settings!$C$17))</f>
        <v/>
      </c>
      <c r="M121" s="21">
        <f>IF(B121="","",E121*IFERROR(VLOOKUP(D121,Products!$B$5:$F$204,5,FALSE),0))</f>
        <v/>
      </c>
      <c r="N121" s="21">
        <f>IF(B121="","",J121-K121-L121-M121-I121)</f>
        <v/>
      </c>
    </row>
    <row r="122">
      <c r="B122" s="11" t="n"/>
      <c r="C122" s="8" t="n"/>
      <c r="D122" s="8" t="n"/>
      <c r="E122" s="8" t="n"/>
      <c r="F122" s="20" t="n"/>
      <c r="G122" s="20" t="n"/>
      <c r="H122" s="8" t="n"/>
      <c r="I122" s="20" t="n"/>
      <c r="J122" s="21">
        <f>IF(B122="","",F122+G122)</f>
        <v/>
      </c>
      <c r="K122" s="21">
        <f>IF(B122="","",J122*(Settings!$C$11+Settings!$C$12+Settings!$C$14)+IF(C122="",Settings!$C$13,IF(COUNTIF($C$5:C122,C122)=1,Settings!$C$13,0))+E122*Settings!$C$15+IF(H122="Yes",J122*Settings!$C$16,0))</f>
        <v/>
      </c>
      <c r="L122" s="21">
        <f>IF(B122="","",IF(Settings!$C$5="Yes",0,K122*Settings!$C$17))</f>
        <v/>
      </c>
      <c r="M122" s="21">
        <f>IF(B122="","",E122*IFERROR(VLOOKUP(D122,Products!$B$5:$F$204,5,FALSE),0))</f>
        <v/>
      </c>
      <c r="N122" s="21">
        <f>IF(B122="","",J122-K122-L122-M122-I122)</f>
        <v/>
      </c>
    </row>
    <row r="123">
      <c r="B123" s="11" t="n"/>
      <c r="C123" s="8" t="n"/>
      <c r="D123" s="8" t="n"/>
      <c r="E123" s="8" t="n"/>
      <c r="F123" s="20" t="n"/>
      <c r="G123" s="20" t="n"/>
      <c r="H123" s="8" t="n"/>
      <c r="I123" s="20" t="n"/>
      <c r="J123" s="21">
        <f>IF(B123="","",F123+G123)</f>
        <v/>
      </c>
      <c r="K123" s="21">
        <f>IF(B123="","",J123*(Settings!$C$11+Settings!$C$12+Settings!$C$14)+IF(C123="",Settings!$C$13,IF(COUNTIF($C$5:C123,C123)=1,Settings!$C$13,0))+E123*Settings!$C$15+IF(H123="Yes",J123*Settings!$C$16,0))</f>
        <v/>
      </c>
      <c r="L123" s="21">
        <f>IF(B123="","",IF(Settings!$C$5="Yes",0,K123*Settings!$C$17))</f>
        <v/>
      </c>
      <c r="M123" s="21">
        <f>IF(B123="","",E123*IFERROR(VLOOKUP(D123,Products!$B$5:$F$204,5,FALSE),0))</f>
        <v/>
      </c>
      <c r="N123" s="21">
        <f>IF(B123="","",J123-K123-L123-M123-I123)</f>
        <v/>
      </c>
    </row>
    <row r="124">
      <c r="B124" s="11" t="n"/>
      <c r="C124" s="8" t="n"/>
      <c r="D124" s="8" t="n"/>
      <c r="E124" s="8" t="n"/>
      <c r="F124" s="20" t="n"/>
      <c r="G124" s="20" t="n"/>
      <c r="H124" s="8" t="n"/>
      <c r="I124" s="20" t="n"/>
      <c r="J124" s="21">
        <f>IF(B124="","",F124+G124)</f>
        <v/>
      </c>
      <c r="K124" s="21">
        <f>IF(B124="","",J124*(Settings!$C$11+Settings!$C$12+Settings!$C$14)+IF(C124="",Settings!$C$13,IF(COUNTIF($C$5:C124,C124)=1,Settings!$C$13,0))+E124*Settings!$C$15+IF(H124="Yes",J124*Settings!$C$16,0))</f>
        <v/>
      </c>
      <c r="L124" s="21">
        <f>IF(B124="","",IF(Settings!$C$5="Yes",0,K124*Settings!$C$17))</f>
        <v/>
      </c>
      <c r="M124" s="21">
        <f>IF(B124="","",E124*IFERROR(VLOOKUP(D124,Products!$B$5:$F$204,5,FALSE),0))</f>
        <v/>
      </c>
      <c r="N124" s="21">
        <f>IF(B124="","",J124-K124-L124-M124-I124)</f>
        <v/>
      </c>
    </row>
    <row r="125">
      <c r="B125" s="11" t="n"/>
      <c r="C125" s="8" t="n"/>
      <c r="D125" s="8" t="n"/>
      <c r="E125" s="8" t="n"/>
      <c r="F125" s="20" t="n"/>
      <c r="G125" s="20" t="n"/>
      <c r="H125" s="8" t="n"/>
      <c r="I125" s="20" t="n"/>
      <c r="J125" s="21">
        <f>IF(B125="","",F125+G125)</f>
        <v/>
      </c>
      <c r="K125" s="21">
        <f>IF(B125="","",J125*(Settings!$C$11+Settings!$C$12+Settings!$C$14)+IF(C125="",Settings!$C$13,IF(COUNTIF($C$5:C125,C125)=1,Settings!$C$13,0))+E125*Settings!$C$15+IF(H125="Yes",J125*Settings!$C$16,0))</f>
        <v/>
      </c>
      <c r="L125" s="21">
        <f>IF(B125="","",IF(Settings!$C$5="Yes",0,K125*Settings!$C$17))</f>
        <v/>
      </c>
      <c r="M125" s="21">
        <f>IF(B125="","",E125*IFERROR(VLOOKUP(D125,Products!$B$5:$F$204,5,FALSE),0))</f>
        <v/>
      </c>
      <c r="N125" s="21">
        <f>IF(B125="","",J125-K125-L125-M125-I125)</f>
        <v/>
      </c>
    </row>
    <row r="126">
      <c r="B126" s="11" t="n"/>
      <c r="C126" s="8" t="n"/>
      <c r="D126" s="8" t="n"/>
      <c r="E126" s="8" t="n"/>
      <c r="F126" s="20" t="n"/>
      <c r="G126" s="20" t="n"/>
      <c r="H126" s="8" t="n"/>
      <c r="I126" s="20" t="n"/>
      <c r="J126" s="21">
        <f>IF(B126="","",F126+G126)</f>
        <v/>
      </c>
      <c r="K126" s="21">
        <f>IF(B126="","",J126*(Settings!$C$11+Settings!$C$12+Settings!$C$14)+IF(C126="",Settings!$C$13,IF(COUNTIF($C$5:C126,C126)=1,Settings!$C$13,0))+E126*Settings!$C$15+IF(H126="Yes",J126*Settings!$C$16,0))</f>
        <v/>
      </c>
      <c r="L126" s="21">
        <f>IF(B126="","",IF(Settings!$C$5="Yes",0,K126*Settings!$C$17))</f>
        <v/>
      </c>
      <c r="M126" s="21">
        <f>IF(B126="","",E126*IFERROR(VLOOKUP(D126,Products!$B$5:$F$204,5,FALSE),0))</f>
        <v/>
      </c>
      <c r="N126" s="21">
        <f>IF(B126="","",J126-K126-L126-M126-I126)</f>
        <v/>
      </c>
    </row>
    <row r="127">
      <c r="B127" s="11" t="n"/>
      <c r="C127" s="8" t="n"/>
      <c r="D127" s="8" t="n"/>
      <c r="E127" s="8" t="n"/>
      <c r="F127" s="20" t="n"/>
      <c r="G127" s="20" t="n"/>
      <c r="H127" s="8" t="n"/>
      <c r="I127" s="20" t="n"/>
      <c r="J127" s="21">
        <f>IF(B127="","",F127+G127)</f>
        <v/>
      </c>
      <c r="K127" s="21">
        <f>IF(B127="","",J127*(Settings!$C$11+Settings!$C$12+Settings!$C$14)+IF(C127="",Settings!$C$13,IF(COUNTIF($C$5:C127,C127)=1,Settings!$C$13,0))+E127*Settings!$C$15+IF(H127="Yes",J127*Settings!$C$16,0))</f>
        <v/>
      </c>
      <c r="L127" s="21">
        <f>IF(B127="","",IF(Settings!$C$5="Yes",0,K127*Settings!$C$17))</f>
        <v/>
      </c>
      <c r="M127" s="21">
        <f>IF(B127="","",E127*IFERROR(VLOOKUP(D127,Products!$B$5:$F$204,5,FALSE),0))</f>
        <v/>
      </c>
      <c r="N127" s="21">
        <f>IF(B127="","",J127-K127-L127-M127-I127)</f>
        <v/>
      </c>
    </row>
    <row r="128">
      <c r="B128" s="11" t="n"/>
      <c r="C128" s="8" t="n"/>
      <c r="D128" s="8" t="n"/>
      <c r="E128" s="8" t="n"/>
      <c r="F128" s="20" t="n"/>
      <c r="G128" s="20" t="n"/>
      <c r="H128" s="8" t="n"/>
      <c r="I128" s="20" t="n"/>
      <c r="J128" s="21">
        <f>IF(B128="","",F128+G128)</f>
        <v/>
      </c>
      <c r="K128" s="21">
        <f>IF(B128="","",J128*(Settings!$C$11+Settings!$C$12+Settings!$C$14)+IF(C128="",Settings!$C$13,IF(COUNTIF($C$5:C128,C128)=1,Settings!$C$13,0))+E128*Settings!$C$15+IF(H128="Yes",J128*Settings!$C$16,0))</f>
        <v/>
      </c>
      <c r="L128" s="21">
        <f>IF(B128="","",IF(Settings!$C$5="Yes",0,K128*Settings!$C$17))</f>
        <v/>
      </c>
      <c r="M128" s="21">
        <f>IF(B128="","",E128*IFERROR(VLOOKUP(D128,Products!$B$5:$F$204,5,FALSE),0))</f>
        <v/>
      </c>
      <c r="N128" s="21">
        <f>IF(B128="","",J128-K128-L128-M128-I128)</f>
        <v/>
      </c>
    </row>
    <row r="129">
      <c r="B129" s="11" t="n"/>
      <c r="C129" s="8" t="n"/>
      <c r="D129" s="8" t="n"/>
      <c r="E129" s="8" t="n"/>
      <c r="F129" s="20" t="n"/>
      <c r="G129" s="20" t="n"/>
      <c r="H129" s="8" t="n"/>
      <c r="I129" s="20" t="n"/>
      <c r="J129" s="21">
        <f>IF(B129="","",F129+G129)</f>
        <v/>
      </c>
      <c r="K129" s="21">
        <f>IF(B129="","",J129*(Settings!$C$11+Settings!$C$12+Settings!$C$14)+IF(C129="",Settings!$C$13,IF(COUNTIF($C$5:C129,C129)=1,Settings!$C$13,0))+E129*Settings!$C$15+IF(H129="Yes",J129*Settings!$C$16,0))</f>
        <v/>
      </c>
      <c r="L129" s="21">
        <f>IF(B129="","",IF(Settings!$C$5="Yes",0,K129*Settings!$C$17))</f>
        <v/>
      </c>
      <c r="M129" s="21">
        <f>IF(B129="","",E129*IFERROR(VLOOKUP(D129,Products!$B$5:$F$204,5,FALSE),0))</f>
        <v/>
      </c>
      <c r="N129" s="21">
        <f>IF(B129="","",J129-K129-L129-M129-I129)</f>
        <v/>
      </c>
    </row>
    <row r="130">
      <c r="B130" s="11" t="n"/>
      <c r="C130" s="8" t="n"/>
      <c r="D130" s="8" t="n"/>
      <c r="E130" s="8" t="n"/>
      <c r="F130" s="20" t="n"/>
      <c r="G130" s="20" t="n"/>
      <c r="H130" s="8" t="n"/>
      <c r="I130" s="20" t="n"/>
      <c r="J130" s="21">
        <f>IF(B130="","",F130+G130)</f>
        <v/>
      </c>
      <c r="K130" s="21">
        <f>IF(B130="","",J130*(Settings!$C$11+Settings!$C$12+Settings!$C$14)+IF(C130="",Settings!$C$13,IF(COUNTIF($C$5:C130,C130)=1,Settings!$C$13,0))+E130*Settings!$C$15+IF(H130="Yes",J130*Settings!$C$16,0))</f>
        <v/>
      </c>
      <c r="L130" s="21">
        <f>IF(B130="","",IF(Settings!$C$5="Yes",0,K130*Settings!$C$17))</f>
        <v/>
      </c>
      <c r="M130" s="21">
        <f>IF(B130="","",E130*IFERROR(VLOOKUP(D130,Products!$B$5:$F$204,5,FALSE),0))</f>
        <v/>
      </c>
      <c r="N130" s="21">
        <f>IF(B130="","",J130-K130-L130-M130-I130)</f>
        <v/>
      </c>
    </row>
    <row r="131">
      <c r="B131" s="11" t="n"/>
      <c r="C131" s="8" t="n"/>
      <c r="D131" s="8" t="n"/>
      <c r="E131" s="8" t="n"/>
      <c r="F131" s="20" t="n"/>
      <c r="G131" s="20" t="n"/>
      <c r="H131" s="8" t="n"/>
      <c r="I131" s="20" t="n"/>
      <c r="J131" s="21">
        <f>IF(B131="","",F131+G131)</f>
        <v/>
      </c>
      <c r="K131" s="21">
        <f>IF(B131="","",J131*(Settings!$C$11+Settings!$C$12+Settings!$C$14)+IF(C131="",Settings!$C$13,IF(COUNTIF($C$5:C131,C131)=1,Settings!$C$13,0))+E131*Settings!$C$15+IF(H131="Yes",J131*Settings!$C$16,0))</f>
        <v/>
      </c>
      <c r="L131" s="21">
        <f>IF(B131="","",IF(Settings!$C$5="Yes",0,K131*Settings!$C$17))</f>
        <v/>
      </c>
      <c r="M131" s="21">
        <f>IF(B131="","",E131*IFERROR(VLOOKUP(D131,Products!$B$5:$F$204,5,FALSE),0))</f>
        <v/>
      </c>
      <c r="N131" s="21">
        <f>IF(B131="","",J131-K131-L131-M131-I131)</f>
        <v/>
      </c>
    </row>
    <row r="132">
      <c r="B132" s="11" t="n"/>
      <c r="C132" s="8" t="n"/>
      <c r="D132" s="8" t="n"/>
      <c r="E132" s="8" t="n"/>
      <c r="F132" s="20" t="n"/>
      <c r="G132" s="20" t="n"/>
      <c r="H132" s="8" t="n"/>
      <c r="I132" s="20" t="n"/>
      <c r="J132" s="21">
        <f>IF(B132="","",F132+G132)</f>
        <v/>
      </c>
      <c r="K132" s="21">
        <f>IF(B132="","",J132*(Settings!$C$11+Settings!$C$12+Settings!$C$14)+IF(C132="",Settings!$C$13,IF(COUNTIF($C$5:C132,C132)=1,Settings!$C$13,0))+E132*Settings!$C$15+IF(H132="Yes",J132*Settings!$C$16,0))</f>
        <v/>
      </c>
      <c r="L132" s="21">
        <f>IF(B132="","",IF(Settings!$C$5="Yes",0,K132*Settings!$C$17))</f>
        <v/>
      </c>
      <c r="M132" s="21">
        <f>IF(B132="","",E132*IFERROR(VLOOKUP(D132,Products!$B$5:$F$204,5,FALSE),0))</f>
        <v/>
      </c>
      <c r="N132" s="21">
        <f>IF(B132="","",J132-K132-L132-M132-I132)</f>
        <v/>
      </c>
    </row>
    <row r="133">
      <c r="B133" s="11" t="n"/>
      <c r="C133" s="8" t="n"/>
      <c r="D133" s="8" t="n"/>
      <c r="E133" s="8" t="n"/>
      <c r="F133" s="20" t="n"/>
      <c r="G133" s="20" t="n"/>
      <c r="H133" s="8" t="n"/>
      <c r="I133" s="20" t="n"/>
      <c r="J133" s="21">
        <f>IF(B133="","",F133+G133)</f>
        <v/>
      </c>
      <c r="K133" s="21">
        <f>IF(B133="","",J133*(Settings!$C$11+Settings!$C$12+Settings!$C$14)+IF(C133="",Settings!$C$13,IF(COUNTIF($C$5:C133,C133)=1,Settings!$C$13,0))+E133*Settings!$C$15+IF(H133="Yes",J133*Settings!$C$16,0))</f>
        <v/>
      </c>
      <c r="L133" s="21">
        <f>IF(B133="","",IF(Settings!$C$5="Yes",0,K133*Settings!$C$17))</f>
        <v/>
      </c>
      <c r="M133" s="21">
        <f>IF(B133="","",E133*IFERROR(VLOOKUP(D133,Products!$B$5:$F$204,5,FALSE),0))</f>
        <v/>
      </c>
      <c r="N133" s="21">
        <f>IF(B133="","",J133-K133-L133-M133-I133)</f>
        <v/>
      </c>
    </row>
    <row r="134">
      <c r="B134" s="11" t="n"/>
      <c r="C134" s="8" t="n"/>
      <c r="D134" s="8" t="n"/>
      <c r="E134" s="8" t="n"/>
      <c r="F134" s="20" t="n"/>
      <c r="G134" s="20" t="n"/>
      <c r="H134" s="8" t="n"/>
      <c r="I134" s="20" t="n"/>
      <c r="J134" s="21">
        <f>IF(B134="","",F134+G134)</f>
        <v/>
      </c>
      <c r="K134" s="21">
        <f>IF(B134="","",J134*(Settings!$C$11+Settings!$C$12+Settings!$C$14)+IF(C134="",Settings!$C$13,IF(COUNTIF($C$5:C134,C134)=1,Settings!$C$13,0))+E134*Settings!$C$15+IF(H134="Yes",J134*Settings!$C$16,0))</f>
        <v/>
      </c>
      <c r="L134" s="21">
        <f>IF(B134="","",IF(Settings!$C$5="Yes",0,K134*Settings!$C$17))</f>
        <v/>
      </c>
      <c r="M134" s="21">
        <f>IF(B134="","",E134*IFERROR(VLOOKUP(D134,Products!$B$5:$F$204,5,FALSE),0))</f>
        <v/>
      </c>
      <c r="N134" s="21">
        <f>IF(B134="","",J134-K134-L134-M134-I134)</f>
        <v/>
      </c>
    </row>
    <row r="135">
      <c r="B135" s="11" t="n"/>
      <c r="C135" s="8" t="n"/>
      <c r="D135" s="8" t="n"/>
      <c r="E135" s="8" t="n"/>
      <c r="F135" s="20" t="n"/>
      <c r="G135" s="20" t="n"/>
      <c r="H135" s="8" t="n"/>
      <c r="I135" s="20" t="n"/>
      <c r="J135" s="21">
        <f>IF(B135="","",F135+G135)</f>
        <v/>
      </c>
      <c r="K135" s="21">
        <f>IF(B135="","",J135*(Settings!$C$11+Settings!$C$12+Settings!$C$14)+IF(C135="",Settings!$C$13,IF(COUNTIF($C$5:C135,C135)=1,Settings!$C$13,0))+E135*Settings!$C$15+IF(H135="Yes",J135*Settings!$C$16,0))</f>
        <v/>
      </c>
      <c r="L135" s="21">
        <f>IF(B135="","",IF(Settings!$C$5="Yes",0,K135*Settings!$C$17))</f>
        <v/>
      </c>
      <c r="M135" s="21">
        <f>IF(B135="","",E135*IFERROR(VLOOKUP(D135,Products!$B$5:$F$204,5,FALSE),0))</f>
        <v/>
      </c>
      <c r="N135" s="21">
        <f>IF(B135="","",J135-K135-L135-M135-I135)</f>
        <v/>
      </c>
    </row>
    <row r="136">
      <c r="B136" s="11" t="n"/>
      <c r="C136" s="8" t="n"/>
      <c r="D136" s="8" t="n"/>
      <c r="E136" s="8" t="n"/>
      <c r="F136" s="20" t="n"/>
      <c r="G136" s="20" t="n"/>
      <c r="H136" s="8" t="n"/>
      <c r="I136" s="20" t="n"/>
      <c r="J136" s="21">
        <f>IF(B136="","",F136+G136)</f>
        <v/>
      </c>
      <c r="K136" s="21">
        <f>IF(B136="","",J136*(Settings!$C$11+Settings!$C$12+Settings!$C$14)+IF(C136="",Settings!$C$13,IF(COUNTIF($C$5:C136,C136)=1,Settings!$C$13,0))+E136*Settings!$C$15+IF(H136="Yes",J136*Settings!$C$16,0))</f>
        <v/>
      </c>
      <c r="L136" s="21">
        <f>IF(B136="","",IF(Settings!$C$5="Yes",0,K136*Settings!$C$17))</f>
        <v/>
      </c>
      <c r="M136" s="21">
        <f>IF(B136="","",E136*IFERROR(VLOOKUP(D136,Products!$B$5:$F$204,5,FALSE),0))</f>
        <v/>
      </c>
      <c r="N136" s="21">
        <f>IF(B136="","",J136-K136-L136-M136-I136)</f>
        <v/>
      </c>
    </row>
    <row r="137">
      <c r="B137" s="11" t="n"/>
      <c r="C137" s="8" t="n"/>
      <c r="D137" s="8" t="n"/>
      <c r="E137" s="8" t="n"/>
      <c r="F137" s="20" t="n"/>
      <c r="G137" s="20" t="n"/>
      <c r="H137" s="8" t="n"/>
      <c r="I137" s="20" t="n"/>
      <c r="J137" s="21">
        <f>IF(B137="","",F137+G137)</f>
        <v/>
      </c>
      <c r="K137" s="21">
        <f>IF(B137="","",J137*(Settings!$C$11+Settings!$C$12+Settings!$C$14)+IF(C137="",Settings!$C$13,IF(COUNTIF($C$5:C137,C137)=1,Settings!$C$13,0))+E137*Settings!$C$15+IF(H137="Yes",J137*Settings!$C$16,0))</f>
        <v/>
      </c>
      <c r="L137" s="21">
        <f>IF(B137="","",IF(Settings!$C$5="Yes",0,K137*Settings!$C$17))</f>
        <v/>
      </c>
      <c r="M137" s="21">
        <f>IF(B137="","",E137*IFERROR(VLOOKUP(D137,Products!$B$5:$F$204,5,FALSE),0))</f>
        <v/>
      </c>
      <c r="N137" s="21">
        <f>IF(B137="","",J137-K137-L137-M137-I137)</f>
        <v/>
      </c>
    </row>
    <row r="138">
      <c r="B138" s="11" t="n"/>
      <c r="C138" s="8" t="n"/>
      <c r="D138" s="8" t="n"/>
      <c r="E138" s="8" t="n"/>
      <c r="F138" s="20" t="n"/>
      <c r="G138" s="20" t="n"/>
      <c r="H138" s="8" t="n"/>
      <c r="I138" s="20" t="n"/>
      <c r="J138" s="21">
        <f>IF(B138="","",F138+G138)</f>
        <v/>
      </c>
      <c r="K138" s="21">
        <f>IF(B138="","",J138*(Settings!$C$11+Settings!$C$12+Settings!$C$14)+IF(C138="",Settings!$C$13,IF(COUNTIF($C$5:C138,C138)=1,Settings!$C$13,0))+E138*Settings!$C$15+IF(H138="Yes",J138*Settings!$C$16,0))</f>
        <v/>
      </c>
      <c r="L138" s="21">
        <f>IF(B138="","",IF(Settings!$C$5="Yes",0,K138*Settings!$C$17))</f>
        <v/>
      </c>
      <c r="M138" s="21">
        <f>IF(B138="","",E138*IFERROR(VLOOKUP(D138,Products!$B$5:$F$204,5,FALSE),0))</f>
        <v/>
      </c>
      <c r="N138" s="21">
        <f>IF(B138="","",J138-K138-L138-M138-I138)</f>
        <v/>
      </c>
    </row>
    <row r="139">
      <c r="B139" s="11" t="n"/>
      <c r="C139" s="8" t="n"/>
      <c r="D139" s="8" t="n"/>
      <c r="E139" s="8" t="n"/>
      <c r="F139" s="20" t="n"/>
      <c r="G139" s="20" t="n"/>
      <c r="H139" s="8" t="n"/>
      <c r="I139" s="20" t="n"/>
      <c r="J139" s="21">
        <f>IF(B139="","",F139+G139)</f>
        <v/>
      </c>
      <c r="K139" s="21">
        <f>IF(B139="","",J139*(Settings!$C$11+Settings!$C$12+Settings!$C$14)+IF(C139="",Settings!$C$13,IF(COUNTIF($C$5:C139,C139)=1,Settings!$C$13,0))+E139*Settings!$C$15+IF(H139="Yes",J139*Settings!$C$16,0))</f>
        <v/>
      </c>
      <c r="L139" s="21">
        <f>IF(B139="","",IF(Settings!$C$5="Yes",0,K139*Settings!$C$17))</f>
        <v/>
      </c>
      <c r="M139" s="21">
        <f>IF(B139="","",E139*IFERROR(VLOOKUP(D139,Products!$B$5:$F$204,5,FALSE),0))</f>
        <v/>
      </c>
      <c r="N139" s="21">
        <f>IF(B139="","",J139-K139-L139-M139-I139)</f>
        <v/>
      </c>
    </row>
    <row r="140">
      <c r="B140" s="11" t="n"/>
      <c r="C140" s="8" t="n"/>
      <c r="D140" s="8" t="n"/>
      <c r="E140" s="8" t="n"/>
      <c r="F140" s="20" t="n"/>
      <c r="G140" s="20" t="n"/>
      <c r="H140" s="8" t="n"/>
      <c r="I140" s="20" t="n"/>
      <c r="J140" s="21">
        <f>IF(B140="","",F140+G140)</f>
        <v/>
      </c>
      <c r="K140" s="21">
        <f>IF(B140="","",J140*(Settings!$C$11+Settings!$C$12+Settings!$C$14)+IF(C140="",Settings!$C$13,IF(COUNTIF($C$5:C140,C140)=1,Settings!$C$13,0))+E140*Settings!$C$15+IF(H140="Yes",J140*Settings!$C$16,0))</f>
        <v/>
      </c>
      <c r="L140" s="21">
        <f>IF(B140="","",IF(Settings!$C$5="Yes",0,K140*Settings!$C$17))</f>
        <v/>
      </c>
      <c r="M140" s="21">
        <f>IF(B140="","",E140*IFERROR(VLOOKUP(D140,Products!$B$5:$F$204,5,FALSE),0))</f>
        <v/>
      </c>
      <c r="N140" s="21">
        <f>IF(B140="","",J140-K140-L140-M140-I140)</f>
        <v/>
      </c>
    </row>
    <row r="141">
      <c r="B141" s="11" t="n"/>
      <c r="C141" s="8" t="n"/>
      <c r="D141" s="8" t="n"/>
      <c r="E141" s="8" t="n"/>
      <c r="F141" s="20" t="n"/>
      <c r="G141" s="20" t="n"/>
      <c r="H141" s="8" t="n"/>
      <c r="I141" s="20" t="n"/>
      <c r="J141" s="21">
        <f>IF(B141="","",F141+G141)</f>
        <v/>
      </c>
      <c r="K141" s="21">
        <f>IF(B141="","",J141*(Settings!$C$11+Settings!$C$12+Settings!$C$14)+IF(C141="",Settings!$C$13,IF(COUNTIF($C$5:C141,C141)=1,Settings!$C$13,0))+E141*Settings!$C$15+IF(H141="Yes",J141*Settings!$C$16,0))</f>
        <v/>
      </c>
      <c r="L141" s="21">
        <f>IF(B141="","",IF(Settings!$C$5="Yes",0,K141*Settings!$C$17))</f>
        <v/>
      </c>
      <c r="M141" s="21">
        <f>IF(B141="","",E141*IFERROR(VLOOKUP(D141,Products!$B$5:$F$204,5,FALSE),0))</f>
        <v/>
      </c>
      <c r="N141" s="21">
        <f>IF(B141="","",J141-K141-L141-M141-I141)</f>
        <v/>
      </c>
    </row>
    <row r="142">
      <c r="B142" s="11" t="n"/>
      <c r="C142" s="8" t="n"/>
      <c r="D142" s="8" t="n"/>
      <c r="E142" s="8" t="n"/>
      <c r="F142" s="20" t="n"/>
      <c r="G142" s="20" t="n"/>
      <c r="H142" s="8" t="n"/>
      <c r="I142" s="20" t="n"/>
      <c r="J142" s="21">
        <f>IF(B142="","",F142+G142)</f>
        <v/>
      </c>
      <c r="K142" s="21">
        <f>IF(B142="","",J142*(Settings!$C$11+Settings!$C$12+Settings!$C$14)+IF(C142="",Settings!$C$13,IF(COUNTIF($C$5:C142,C142)=1,Settings!$C$13,0))+E142*Settings!$C$15+IF(H142="Yes",J142*Settings!$C$16,0))</f>
        <v/>
      </c>
      <c r="L142" s="21">
        <f>IF(B142="","",IF(Settings!$C$5="Yes",0,K142*Settings!$C$17))</f>
        <v/>
      </c>
      <c r="M142" s="21">
        <f>IF(B142="","",E142*IFERROR(VLOOKUP(D142,Products!$B$5:$F$204,5,FALSE),0))</f>
        <v/>
      </c>
      <c r="N142" s="21">
        <f>IF(B142="","",J142-K142-L142-M142-I142)</f>
        <v/>
      </c>
    </row>
    <row r="143">
      <c r="B143" s="11" t="n"/>
      <c r="C143" s="8" t="n"/>
      <c r="D143" s="8" t="n"/>
      <c r="E143" s="8" t="n"/>
      <c r="F143" s="20" t="n"/>
      <c r="G143" s="20" t="n"/>
      <c r="H143" s="8" t="n"/>
      <c r="I143" s="20" t="n"/>
      <c r="J143" s="21">
        <f>IF(B143="","",F143+G143)</f>
        <v/>
      </c>
      <c r="K143" s="21">
        <f>IF(B143="","",J143*(Settings!$C$11+Settings!$C$12+Settings!$C$14)+IF(C143="",Settings!$C$13,IF(COUNTIF($C$5:C143,C143)=1,Settings!$C$13,0))+E143*Settings!$C$15+IF(H143="Yes",J143*Settings!$C$16,0))</f>
        <v/>
      </c>
      <c r="L143" s="21">
        <f>IF(B143="","",IF(Settings!$C$5="Yes",0,K143*Settings!$C$17))</f>
        <v/>
      </c>
      <c r="M143" s="21">
        <f>IF(B143="","",E143*IFERROR(VLOOKUP(D143,Products!$B$5:$F$204,5,FALSE),0))</f>
        <v/>
      </c>
      <c r="N143" s="21">
        <f>IF(B143="","",J143-K143-L143-M143-I143)</f>
        <v/>
      </c>
    </row>
    <row r="144">
      <c r="B144" s="11" t="n"/>
      <c r="C144" s="8" t="n"/>
      <c r="D144" s="8" t="n"/>
      <c r="E144" s="8" t="n"/>
      <c r="F144" s="20" t="n"/>
      <c r="G144" s="20" t="n"/>
      <c r="H144" s="8" t="n"/>
      <c r="I144" s="20" t="n"/>
      <c r="J144" s="21">
        <f>IF(B144="","",F144+G144)</f>
        <v/>
      </c>
      <c r="K144" s="21">
        <f>IF(B144="","",J144*(Settings!$C$11+Settings!$C$12+Settings!$C$14)+IF(C144="",Settings!$C$13,IF(COUNTIF($C$5:C144,C144)=1,Settings!$C$13,0))+E144*Settings!$C$15+IF(H144="Yes",J144*Settings!$C$16,0))</f>
        <v/>
      </c>
      <c r="L144" s="21">
        <f>IF(B144="","",IF(Settings!$C$5="Yes",0,K144*Settings!$C$17))</f>
        <v/>
      </c>
      <c r="M144" s="21">
        <f>IF(B144="","",E144*IFERROR(VLOOKUP(D144,Products!$B$5:$F$204,5,FALSE),0))</f>
        <v/>
      </c>
      <c r="N144" s="21">
        <f>IF(B144="","",J144-K144-L144-M144-I144)</f>
        <v/>
      </c>
    </row>
    <row r="145">
      <c r="B145" s="11" t="n"/>
      <c r="C145" s="8" t="n"/>
      <c r="D145" s="8" t="n"/>
      <c r="E145" s="8" t="n"/>
      <c r="F145" s="20" t="n"/>
      <c r="G145" s="20" t="n"/>
      <c r="H145" s="8" t="n"/>
      <c r="I145" s="20" t="n"/>
      <c r="J145" s="21">
        <f>IF(B145="","",F145+G145)</f>
        <v/>
      </c>
      <c r="K145" s="21">
        <f>IF(B145="","",J145*(Settings!$C$11+Settings!$C$12+Settings!$C$14)+IF(C145="",Settings!$C$13,IF(COUNTIF($C$5:C145,C145)=1,Settings!$C$13,0))+E145*Settings!$C$15+IF(H145="Yes",J145*Settings!$C$16,0))</f>
        <v/>
      </c>
      <c r="L145" s="21">
        <f>IF(B145="","",IF(Settings!$C$5="Yes",0,K145*Settings!$C$17))</f>
        <v/>
      </c>
      <c r="M145" s="21">
        <f>IF(B145="","",E145*IFERROR(VLOOKUP(D145,Products!$B$5:$F$204,5,FALSE),0))</f>
        <v/>
      </c>
      <c r="N145" s="21">
        <f>IF(B145="","",J145-K145-L145-M145-I145)</f>
        <v/>
      </c>
    </row>
    <row r="146">
      <c r="B146" s="11" t="n"/>
      <c r="C146" s="8" t="n"/>
      <c r="D146" s="8" t="n"/>
      <c r="E146" s="8" t="n"/>
      <c r="F146" s="20" t="n"/>
      <c r="G146" s="20" t="n"/>
      <c r="H146" s="8" t="n"/>
      <c r="I146" s="20" t="n"/>
      <c r="J146" s="21">
        <f>IF(B146="","",F146+G146)</f>
        <v/>
      </c>
      <c r="K146" s="21">
        <f>IF(B146="","",J146*(Settings!$C$11+Settings!$C$12+Settings!$C$14)+IF(C146="",Settings!$C$13,IF(COUNTIF($C$5:C146,C146)=1,Settings!$C$13,0))+E146*Settings!$C$15+IF(H146="Yes",J146*Settings!$C$16,0))</f>
        <v/>
      </c>
      <c r="L146" s="21">
        <f>IF(B146="","",IF(Settings!$C$5="Yes",0,K146*Settings!$C$17))</f>
        <v/>
      </c>
      <c r="M146" s="21">
        <f>IF(B146="","",E146*IFERROR(VLOOKUP(D146,Products!$B$5:$F$204,5,FALSE),0))</f>
        <v/>
      </c>
      <c r="N146" s="21">
        <f>IF(B146="","",J146-K146-L146-M146-I146)</f>
        <v/>
      </c>
    </row>
    <row r="147">
      <c r="B147" s="11" t="n"/>
      <c r="C147" s="8" t="n"/>
      <c r="D147" s="8" t="n"/>
      <c r="E147" s="8" t="n"/>
      <c r="F147" s="20" t="n"/>
      <c r="G147" s="20" t="n"/>
      <c r="H147" s="8" t="n"/>
      <c r="I147" s="20" t="n"/>
      <c r="J147" s="21">
        <f>IF(B147="","",F147+G147)</f>
        <v/>
      </c>
      <c r="K147" s="21">
        <f>IF(B147="","",J147*(Settings!$C$11+Settings!$C$12+Settings!$C$14)+IF(C147="",Settings!$C$13,IF(COUNTIF($C$5:C147,C147)=1,Settings!$C$13,0))+E147*Settings!$C$15+IF(H147="Yes",J147*Settings!$C$16,0))</f>
        <v/>
      </c>
      <c r="L147" s="21">
        <f>IF(B147="","",IF(Settings!$C$5="Yes",0,K147*Settings!$C$17))</f>
        <v/>
      </c>
      <c r="M147" s="21">
        <f>IF(B147="","",E147*IFERROR(VLOOKUP(D147,Products!$B$5:$F$204,5,FALSE),0))</f>
        <v/>
      </c>
      <c r="N147" s="21">
        <f>IF(B147="","",J147-K147-L147-M147-I147)</f>
        <v/>
      </c>
    </row>
    <row r="148">
      <c r="B148" s="11" t="n"/>
      <c r="C148" s="8" t="n"/>
      <c r="D148" s="8" t="n"/>
      <c r="E148" s="8" t="n"/>
      <c r="F148" s="20" t="n"/>
      <c r="G148" s="20" t="n"/>
      <c r="H148" s="8" t="n"/>
      <c r="I148" s="20" t="n"/>
      <c r="J148" s="21">
        <f>IF(B148="","",F148+G148)</f>
        <v/>
      </c>
      <c r="K148" s="21">
        <f>IF(B148="","",J148*(Settings!$C$11+Settings!$C$12+Settings!$C$14)+IF(C148="",Settings!$C$13,IF(COUNTIF($C$5:C148,C148)=1,Settings!$C$13,0))+E148*Settings!$C$15+IF(H148="Yes",J148*Settings!$C$16,0))</f>
        <v/>
      </c>
      <c r="L148" s="21">
        <f>IF(B148="","",IF(Settings!$C$5="Yes",0,K148*Settings!$C$17))</f>
        <v/>
      </c>
      <c r="M148" s="21">
        <f>IF(B148="","",E148*IFERROR(VLOOKUP(D148,Products!$B$5:$F$204,5,FALSE),0))</f>
        <v/>
      </c>
      <c r="N148" s="21">
        <f>IF(B148="","",J148-K148-L148-M148-I148)</f>
        <v/>
      </c>
    </row>
    <row r="149">
      <c r="B149" s="11" t="n"/>
      <c r="C149" s="8" t="n"/>
      <c r="D149" s="8" t="n"/>
      <c r="E149" s="8" t="n"/>
      <c r="F149" s="20" t="n"/>
      <c r="G149" s="20" t="n"/>
      <c r="H149" s="8" t="n"/>
      <c r="I149" s="20" t="n"/>
      <c r="J149" s="21">
        <f>IF(B149="","",F149+G149)</f>
        <v/>
      </c>
      <c r="K149" s="21">
        <f>IF(B149="","",J149*(Settings!$C$11+Settings!$C$12+Settings!$C$14)+IF(C149="",Settings!$C$13,IF(COUNTIF($C$5:C149,C149)=1,Settings!$C$13,0))+E149*Settings!$C$15+IF(H149="Yes",J149*Settings!$C$16,0))</f>
        <v/>
      </c>
      <c r="L149" s="21">
        <f>IF(B149="","",IF(Settings!$C$5="Yes",0,K149*Settings!$C$17))</f>
        <v/>
      </c>
      <c r="M149" s="21">
        <f>IF(B149="","",E149*IFERROR(VLOOKUP(D149,Products!$B$5:$F$204,5,FALSE),0))</f>
        <v/>
      </c>
      <c r="N149" s="21">
        <f>IF(B149="","",J149-K149-L149-M149-I149)</f>
        <v/>
      </c>
    </row>
    <row r="150">
      <c r="B150" s="11" t="n"/>
      <c r="C150" s="8" t="n"/>
      <c r="D150" s="8" t="n"/>
      <c r="E150" s="8" t="n"/>
      <c r="F150" s="20" t="n"/>
      <c r="G150" s="20" t="n"/>
      <c r="H150" s="8" t="n"/>
      <c r="I150" s="20" t="n"/>
      <c r="J150" s="21">
        <f>IF(B150="","",F150+G150)</f>
        <v/>
      </c>
      <c r="K150" s="21">
        <f>IF(B150="","",J150*(Settings!$C$11+Settings!$C$12+Settings!$C$14)+IF(C150="",Settings!$C$13,IF(COUNTIF($C$5:C150,C150)=1,Settings!$C$13,0))+E150*Settings!$C$15+IF(H150="Yes",J150*Settings!$C$16,0))</f>
        <v/>
      </c>
      <c r="L150" s="21">
        <f>IF(B150="","",IF(Settings!$C$5="Yes",0,K150*Settings!$C$17))</f>
        <v/>
      </c>
      <c r="M150" s="21">
        <f>IF(B150="","",E150*IFERROR(VLOOKUP(D150,Products!$B$5:$F$204,5,FALSE),0))</f>
        <v/>
      </c>
      <c r="N150" s="21">
        <f>IF(B150="","",J150-K150-L150-M150-I150)</f>
        <v/>
      </c>
    </row>
    <row r="151">
      <c r="B151" s="11" t="n"/>
      <c r="C151" s="8" t="n"/>
      <c r="D151" s="8" t="n"/>
      <c r="E151" s="8" t="n"/>
      <c r="F151" s="20" t="n"/>
      <c r="G151" s="20" t="n"/>
      <c r="H151" s="8" t="n"/>
      <c r="I151" s="20" t="n"/>
      <c r="J151" s="21">
        <f>IF(B151="","",F151+G151)</f>
        <v/>
      </c>
      <c r="K151" s="21">
        <f>IF(B151="","",J151*(Settings!$C$11+Settings!$C$12+Settings!$C$14)+IF(C151="",Settings!$C$13,IF(COUNTIF($C$5:C151,C151)=1,Settings!$C$13,0))+E151*Settings!$C$15+IF(H151="Yes",J151*Settings!$C$16,0))</f>
        <v/>
      </c>
      <c r="L151" s="21">
        <f>IF(B151="","",IF(Settings!$C$5="Yes",0,K151*Settings!$C$17))</f>
        <v/>
      </c>
      <c r="M151" s="21">
        <f>IF(B151="","",E151*IFERROR(VLOOKUP(D151,Products!$B$5:$F$204,5,FALSE),0))</f>
        <v/>
      </c>
      <c r="N151" s="21">
        <f>IF(B151="","",J151-K151-L151-M151-I151)</f>
        <v/>
      </c>
    </row>
    <row r="152">
      <c r="B152" s="11" t="n"/>
      <c r="C152" s="8" t="n"/>
      <c r="D152" s="8" t="n"/>
      <c r="E152" s="8" t="n"/>
      <c r="F152" s="20" t="n"/>
      <c r="G152" s="20" t="n"/>
      <c r="H152" s="8" t="n"/>
      <c r="I152" s="20" t="n"/>
      <c r="J152" s="21">
        <f>IF(B152="","",F152+G152)</f>
        <v/>
      </c>
      <c r="K152" s="21">
        <f>IF(B152="","",J152*(Settings!$C$11+Settings!$C$12+Settings!$C$14)+IF(C152="",Settings!$C$13,IF(COUNTIF($C$5:C152,C152)=1,Settings!$C$13,0))+E152*Settings!$C$15+IF(H152="Yes",J152*Settings!$C$16,0))</f>
        <v/>
      </c>
      <c r="L152" s="21">
        <f>IF(B152="","",IF(Settings!$C$5="Yes",0,K152*Settings!$C$17))</f>
        <v/>
      </c>
      <c r="M152" s="21">
        <f>IF(B152="","",E152*IFERROR(VLOOKUP(D152,Products!$B$5:$F$204,5,FALSE),0))</f>
        <v/>
      </c>
      <c r="N152" s="21">
        <f>IF(B152="","",J152-K152-L152-M152-I152)</f>
        <v/>
      </c>
    </row>
    <row r="153">
      <c r="B153" s="11" t="n"/>
      <c r="C153" s="8" t="n"/>
      <c r="D153" s="8" t="n"/>
      <c r="E153" s="8" t="n"/>
      <c r="F153" s="20" t="n"/>
      <c r="G153" s="20" t="n"/>
      <c r="H153" s="8" t="n"/>
      <c r="I153" s="20" t="n"/>
      <c r="J153" s="21">
        <f>IF(B153="","",F153+G153)</f>
        <v/>
      </c>
      <c r="K153" s="21">
        <f>IF(B153="","",J153*(Settings!$C$11+Settings!$C$12+Settings!$C$14)+IF(C153="",Settings!$C$13,IF(COUNTIF($C$5:C153,C153)=1,Settings!$C$13,0))+E153*Settings!$C$15+IF(H153="Yes",J153*Settings!$C$16,0))</f>
        <v/>
      </c>
      <c r="L153" s="21">
        <f>IF(B153="","",IF(Settings!$C$5="Yes",0,K153*Settings!$C$17))</f>
        <v/>
      </c>
      <c r="M153" s="21">
        <f>IF(B153="","",E153*IFERROR(VLOOKUP(D153,Products!$B$5:$F$204,5,FALSE),0))</f>
        <v/>
      </c>
      <c r="N153" s="21">
        <f>IF(B153="","",J153-K153-L153-M153-I153)</f>
        <v/>
      </c>
    </row>
    <row r="154">
      <c r="B154" s="11" t="n"/>
      <c r="C154" s="8" t="n"/>
      <c r="D154" s="8" t="n"/>
      <c r="E154" s="8" t="n"/>
      <c r="F154" s="20" t="n"/>
      <c r="G154" s="20" t="n"/>
      <c r="H154" s="8" t="n"/>
      <c r="I154" s="20" t="n"/>
      <c r="J154" s="21">
        <f>IF(B154="","",F154+G154)</f>
        <v/>
      </c>
      <c r="K154" s="21">
        <f>IF(B154="","",J154*(Settings!$C$11+Settings!$C$12+Settings!$C$14)+IF(C154="",Settings!$C$13,IF(COUNTIF($C$5:C154,C154)=1,Settings!$C$13,0))+E154*Settings!$C$15+IF(H154="Yes",J154*Settings!$C$16,0))</f>
        <v/>
      </c>
      <c r="L154" s="21">
        <f>IF(B154="","",IF(Settings!$C$5="Yes",0,K154*Settings!$C$17))</f>
        <v/>
      </c>
      <c r="M154" s="21">
        <f>IF(B154="","",E154*IFERROR(VLOOKUP(D154,Products!$B$5:$F$204,5,FALSE),0))</f>
        <v/>
      </c>
      <c r="N154" s="21">
        <f>IF(B154="","",J154-K154-L154-M154-I154)</f>
        <v/>
      </c>
    </row>
    <row r="155">
      <c r="B155" s="11" t="n"/>
      <c r="C155" s="8" t="n"/>
      <c r="D155" s="8" t="n"/>
      <c r="E155" s="8" t="n"/>
      <c r="F155" s="20" t="n"/>
      <c r="G155" s="20" t="n"/>
      <c r="H155" s="8" t="n"/>
      <c r="I155" s="20" t="n"/>
      <c r="J155" s="21">
        <f>IF(B155="","",F155+G155)</f>
        <v/>
      </c>
      <c r="K155" s="21">
        <f>IF(B155="","",J155*(Settings!$C$11+Settings!$C$12+Settings!$C$14)+IF(C155="",Settings!$C$13,IF(COUNTIF($C$5:C155,C155)=1,Settings!$C$13,0))+E155*Settings!$C$15+IF(H155="Yes",J155*Settings!$C$16,0))</f>
        <v/>
      </c>
      <c r="L155" s="21">
        <f>IF(B155="","",IF(Settings!$C$5="Yes",0,K155*Settings!$C$17))</f>
        <v/>
      </c>
      <c r="M155" s="21">
        <f>IF(B155="","",E155*IFERROR(VLOOKUP(D155,Products!$B$5:$F$204,5,FALSE),0))</f>
        <v/>
      </c>
      <c r="N155" s="21">
        <f>IF(B155="","",J155-K155-L155-M155-I155)</f>
        <v/>
      </c>
    </row>
    <row r="156">
      <c r="B156" s="11" t="n"/>
      <c r="C156" s="8" t="n"/>
      <c r="D156" s="8" t="n"/>
      <c r="E156" s="8" t="n"/>
      <c r="F156" s="20" t="n"/>
      <c r="G156" s="20" t="n"/>
      <c r="H156" s="8" t="n"/>
      <c r="I156" s="20" t="n"/>
      <c r="J156" s="21">
        <f>IF(B156="","",F156+G156)</f>
        <v/>
      </c>
      <c r="K156" s="21">
        <f>IF(B156="","",J156*(Settings!$C$11+Settings!$C$12+Settings!$C$14)+IF(C156="",Settings!$C$13,IF(COUNTIF($C$5:C156,C156)=1,Settings!$C$13,0))+E156*Settings!$C$15+IF(H156="Yes",J156*Settings!$C$16,0))</f>
        <v/>
      </c>
      <c r="L156" s="21">
        <f>IF(B156="","",IF(Settings!$C$5="Yes",0,K156*Settings!$C$17))</f>
        <v/>
      </c>
      <c r="M156" s="21">
        <f>IF(B156="","",E156*IFERROR(VLOOKUP(D156,Products!$B$5:$F$204,5,FALSE),0))</f>
        <v/>
      </c>
      <c r="N156" s="21">
        <f>IF(B156="","",J156-K156-L156-M156-I156)</f>
        <v/>
      </c>
    </row>
    <row r="157">
      <c r="B157" s="11" t="n"/>
      <c r="C157" s="8" t="n"/>
      <c r="D157" s="8" t="n"/>
      <c r="E157" s="8" t="n"/>
      <c r="F157" s="20" t="n"/>
      <c r="G157" s="20" t="n"/>
      <c r="H157" s="8" t="n"/>
      <c r="I157" s="20" t="n"/>
      <c r="J157" s="21">
        <f>IF(B157="","",F157+G157)</f>
        <v/>
      </c>
      <c r="K157" s="21">
        <f>IF(B157="","",J157*(Settings!$C$11+Settings!$C$12+Settings!$C$14)+IF(C157="",Settings!$C$13,IF(COUNTIF($C$5:C157,C157)=1,Settings!$C$13,0))+E157*Settings!$C$15+IF(H157="Yes",J157*Settings!$C$16,0))</f>
        <v/>
      </c>
      <c r="L157" s="21">
        <f>IF(B157="","",IF(Settings!$C$5="Yes",0,K157*Settings!$C$17))</f>
        <v/>
      </c>
      <c r="M157" s="21">
        <f>IF(B157="","",E157*IFERROR(VLOOKUP(D157,Products!$B$5:$F$204,5,FALSE),0))</f>
        <v/>
      </c>
      <c r="N157" s="21">
        <f>IF(B157="","",J157-K157-L157-M157-I157)</f>
        <v/>
      </c>
    </row>
    <row r="158">
      <c r="B158" s="11" t="n"/>
      <c r="C158" s="8" t="n"/>
      <c r="D158" s="8" t="n"/>
      <c r="E158" s="8" t="n"/>
      <c r="F158" s="20" t="n"/>
      <c r="G158" s="20" t="n"/>
      <c r="H158" s="8" t="n"/>
      <c r="I158" s="20" t="n"/>
      <c r="J158" s="21">
        <f>IF(B158="","",F158+G158)</f>
        <v/>
      </c>
      <c r="K158" s="21">
        <f>IF(B158="","",J158*(Settings!$C$11+Settings!$C$12+Settings!$C$14)+IF(C158="",Settings!$C$13,IF(COUNTIF($C$5:C158,C158)=1,Settings!$C$13,0))+E158*Settings!$C$15+IF(H158="Yes",J158*Settings!$C$16,0))</f>
        <v/>
      </c>
      <c r="L158" s="21">
        <f>IF(B158="","",IF(Settings!$C$5="Yes",0,K158*Settings!$C$17))</f>
        <v/>
      </c>
      <c r="M158" s="21">
        <f>IF(B158="","",E158*IFERROR(VLOOKUP(D158,Products!$B$5:$F$204,5,FALSE),0))</f>
        <v/>
      </c>
      <c r="N158" s="21">
        <f>IF(B158="","",J158-K158-L158-M158-I158)</f>
        <v/>
      </c>
    </row>
    <row r="159">
      <c r="B159" s="11" t="n"/>
      <c r="C159" s="8" t="n"/>
      <c r="D159" s="8" t="n"/>
      <c r="E159" s="8" t="n"/>
      <c r="F159" s="20" t="n"/>
      <c r="G159" s="20" t="n"/>
      <c r="H159" s="8" t="n"/>
      <c r="I159" s="20" t="n"/>
      <c r="J159" s="21">
        <f>IF(B159="","",F159+G159)</f>
        <v/>
      </c>
      <c r="K159" s="21">
        <f>IF(B159="","",J159*(Settings!$C$11+Settings!$C$12+Settings!$C$14)+IF(C159="",Settings!$C$13,IF(COUNTIF($C$5:C159,C159)=1,Settings!$C$13,0))+E159*Settings!$C$15+IF(H159="Yes",J159*Settings!$C$16,0))</f>
        <v/>
      </c>
      <c r="L159" s="21">
        <f>IF(B159="","",IF(Settings!$C$5="Yes",0,K159*Settings!$C$17))</f>
        <v/>
      </c>
      <c r="M159" s="21">
        <f>IF(B159="","",E159*IFERROR(VLOOKUP(D159,Products!$B$5:$F$204,5,FALSE),0))</f>
        <v/>
      </c>
      <c r="N159" s="21">
        <f>IF(B159="","",J159-K159-L159-M159-I159)</f>
        <v/>
      </c>
    </row>
    <row r="160">
      <c r="B160" s="11" t="n"/>
      <c r="C160" s="8" t="n"/>
      <c r="D160" s="8" t="n"/>
      <c r="E160" s="8" t="n"/>
      <c r="F160" s="20" t="n"/>
      <c r="G160" s="20" t="n"/>
      <c r="H160" s="8" t="n"/>
      <c r="I160" s="20" t="n"/>
      <c r="J160" s="21">
        <f>IF(B160="","",F160+G160)</f>
        <v/>
      </c>
      <c r="K160" s="21">
        <f>IF(B160="","",J160*(Settings!$C$11+Settings!$C$12+Settings!$C$14)+IF(C160="",Settings!$C$13,IF(COUNTIF($C$5:C160,C160)=1,Settings!$C$13,0))+E160*Settings!$C$15+IF(H160="Yes",J160*Settings!$C$16,0))</f>
        <v/>
      </c>
      <c r="L160" s="21">
        <f>IF(B160="","",IF(Settings!$C$5="Yes",0,K160*Settings!$C$17))</f>
        <v/>
      </c>
      <c r="M160" s="21">
        <f>IF(B160="","",E160*IFERROR(VLOOKUP(D160,Products!$B$5:$F$204,5,FALSE),0))</f>
        <v/>
      </c>
      <c r="N160" s="21">
        <f>IF(B160="","",J160-K160-L160-M160-I160)</f>
        <v/>
      </c>
    </row>
    <row r="161">
      <c r="B161" s="11" t="n"/>
      <c r="C161" s="8" t="n"/>
      <c r="D161" s="8" t="n"/>
      <c r="E161" s="8" t="n"/>
      <c r="F161" s="20" t="n"/>
      <c r="G161" s="20" t="n"/>
      <c r="H161" s="8" t="n"/>
      <c r="I161" s="20" t="n"/>
      <c r="J161" s="21">
        <f>IF(B161="","",F161+G161)</f>
        <v/>
      </c>
      <c r="K161" s="21">
        <f>IF(B161="","",J161*(Settings!$C$11+Settings!$C$12+Settings!$C$14)+IF(C161="",Settings!$C$13,IF(COUNTIF($C$5:C161,C161)=1,Settings!$C$13,0))+E161*Settings!$C$15+IF(H161="Yes",J161*Settings!$C$16,0))</f>
        <v/>
      </c>
      <c r="L161" s="21">
        <f>IF(B161="","",IF(Settings!$C$5="Yes",0,K161*Settings!$C$17))</f>
        <v/>
      </c>
      <c r="M161" s="21">
        <f>IF(B161="","",E161*IFERROR(VLOOKUP(D161,Products!$B$5:$F$204,5,FALSE),0))</f>
        <v/>
      </c>
      <c r="N161" s="21">
        <f>IF(B161="","",J161-K161-L161-M161-I161)</f>
        <v/>
      </c>
    </row>
    <row r="162">
      <c r="B162" s="11" t="n"/>
      <c r="C162" s="8" t="n"/>
      <c r="D162" s="8" t="n"/>
      <c r="E162" s="8" t="n"/>
      <c r="F162" s="20" t="n"/>
      <c r="G162" s="20" t="n"/>
      <c r="H162" s="8" t="n"/>
      <c r="I162" s="20" t="n"/>
      <c r="J162" s="21">
        <f>IF(B162="","",F162+G162)</f>
        <v/>
      </c>
      <c r="K162" s="21">
        <f>IF(B162="","",J162*(Settings!$C$11+Settings!$C$12+Settings!$C$14)+IF(C162="",Settings!$C$13,IF(COUNTIF($C$5:C162,C162)=1,Settings!$C$13,0))+E162*Settings!$C$15+IF(H162="Yes",J162*Settings!$C$16,0))</f>
        <v/>
      </c>
      <c r="L162" s="21">
        <f>IF(B162="","",IF(Settings!$C$5="Yes",0,K162*Settings!$C$17))</f>
        <v/>
      </c>
      <c r="M162" s="21">
        <f>IF(B162="","",E162*IFERROR(VLOOKUP(D162,Products!$B$5:$F$204,5,FALSE),0))</f>
        <v/>
      </c>
      <c r="N162" s="21">
        <f>IF(B162="","",J162-K162-L162-M162-I162)</f>
        <v/>
      </c>
    </row>
    <row r="163">
      <c r="B163" s="11" t="n"/>
      <c r="C163" s="8" t="n"/>
      <c r="D163" s="8" t="n"/>
      <c r="E163" s="8" t="n"/>
      <c r="F163" s="20" t="n"/>
      <c r="G163" s="20" t="n"/>
      <c r="H163" s="8" t="n"/>
      <c r="I163" s="20" t="n"/>
      <c r="J163" s="21">
        <f>IF(B163="","",F163+G163)</f>
        <v/>
      </c>
      <c r="K163" s="21">
        <f>IF(B163="","",J163*(Settings!$C$11+Settings!$C$12+Settings!$C$14)+IF(C163="",Settings!$C$13,IF(COUNTIF($C$5:C163,C163)=1,Settings!$C$13,0))+E163*Settings!$C$15+IF(H163="Yes",J163*Settings!$C$16,0))</f>
        <v/>
      </c>
      <c r="L163" s="21">
        <f>IF(B163="","",IF(Settings!$C$5="Yes",0,K163*Settings!$C$17))</f>
        <v/>
      </c>
      <c r="M163" s="21">
        <f>IF(B163="","",E163*IFERROR(VLOOKUP(D163,Products!$B$5:$F$204,5,FALSE),0))</f>
        <v/>
      </c>
      <c r="N163" s="21">
        <f>IF(B163="","",J163-K163-L163-M163-I163)</f>
        <v/>
      </c>
    </row>
    <row r="164">
      <c r="B164" s="11" t="n"/>
      <c r="C164" s="8" t="n"/>
      <c r="D164" s="8" t="n"/>
      <c r="E164" s="8" t="n"/>
      <c r="F164" s="20" t="n"/>
      <c r="G164" s="20" t="n"/>
      <c r="H164" s="8" t="n"/>
      <c r="I164" s="20" t="n"/>
      <c r="J164" s="21">
        <f>IF(B164="","",F164+G164)</f>
        <v/>
      </c>
      <c r="K164" s="21">
        <f>IF(B164="","",J164*(Settings!$C$11+Settings!$C$12+Settings!$C$14)+IF(C164="",Settings!$C$13,IF(COUNTIF($C$5:C164,C164)=1,Settings!$C$13,0))+E164*Settings!$C$15+IF(H164="Yes",J164*Settings!$C$16,0))</f>
        <v/>
      </c>
      <c r="L164" s="21">
        <f>IF(B164="","",IF(Settings!$C$5="Yes",0,K164*Settings!$C$17))</f>
        <v/>
      </c>
      <c r="M164" s="21">
        <f>IF(B164="","",E164*IFERROR(VLOOKUP(D164,Products!$B$5:$F$204,5,FALSE),0))</f>
        <v/>
      </c>
      <c r="N164" s="21">
        <f>IF(B164="","",J164-K164-L164-M164-I164)</f>
        <v/>
      </c>
    </row>
    <row r="165">
      <c r="B165" s="11" t="n"/>
      <c r="C165" s="8" t="n"/>
      <c r="D165" s="8" t="n"/>
      <c r="E165" s="8" t="n"/>
      <c r="F165" s="20" t="n"/>
      <c r="G165" s="20" t="n"/>
      <c r="H165" s="8" t="n"/>
      <c r="I165" s="20" t="n"/>
      <c r="J165" s="21">
        <f>IF(B165="","",F165+G165)</f>
        <v/>
      </c>
      <c r="K165" s="21">
        <f>IF(B165="","",J165*(Settings!$C$11+Settings!$C$12+Settings!$C$14)+IF(C165="",Settings!$C$13,IF(COUNTIF($C$5:C165,C165)=1,Settings!$C$13,0))+E165*Settings!$C$15+IF(H165="Yes",J165*Settings!$C$16,0))</f>
        <v/>
      </c>
      <c r="L165" s="21">
        <f>IF(B165="","",IF(Settings!$C$5="Yes",0,K165*Settings!$C$17))</f>
        <v/>
      </c>
      <c r="M165" s="21">
        <f>IF(B165="","",E165*IFERROR(VLOOKUP(D165,Products!$B$5:$F$204,5,FALSE),0))</f>
        <v/>
      </c>
      <c r="N165" s="21">
        <f>IF(B165="","",J165-K165-L165-M165-I165)</f>
        <v/>
      </c>
    </row>
    <row r="166">
      <c r="B166" s="11" t="n"/>
      <c r="C166" s="8" t="n"/>
      <c r="D166" s="8" t="n"/>
      <c r="E166" s="8" t="n"/>
      <c r="F166" s="20" t="n"/>
      <c r="G166" s="20" t="n"/>
      <c r="H166" s="8" t="n"/>
      <c r="I166" s="20" t="n"/>
      <c r="J166" s="21">
        <f>IF(B166="","",F166+G166)</f>
        <v/>
      </c>
      <c r="K166" s="21">
        <f>IF(B166="","",J166*(Settings!$C$11+Settings!$C$12+Settings!$C$14)+IF(C166="",Settings!$C$13,IF(COUNTIF($C$5:C166,C166)=1,Settings!$C$13,0))+E166*Settings!$C$15+IF(H166="Yes",J166*Settings!$C$16,0))</f>
        <v/>
      </c>
      <c r="L166" s="21">
        <f>IF(B166="","",IF(Settings!$C$5="Yes",0,K166*Settings!$C$17))</f>
        <v/>
      </c>
      <c r="M166" s="21">
        <f>IF(B166="","",E166*IFERROR(VLOOKUP(D166,Products!$B$5:$F$204,5,FALSE),0))</f>
        <v/>
      </c>
      <c r="N166" s="21">
        <f>IF(B166="","",J166-K166-L166-M166-I166)</f>
        <v/>
      </c>
    </row>
    <row r="167">
      <c r="B167" s="11" t="n"/>
      <c r="C167" s="8" t="n"/>
      <c r="D167" s="8" t="n"/>
      <c r="E167" s="8" t="n"/>
      <c r="F167" s="20" t="n"/>
      <c r="G167" s="20" t="n"/>
      <c r="H167" s="8" t="n"/>
      <c r="I167" s="20" t="n"/>
      <c r="J167" s="21">
        <f>IF(B167="","",F167+G167)</f>
        <v/>
      </c>
      <c r="K167" s="21">
        <f>IF(B167="","",J167*(Settings!$C$11+Settings!$C$12+Settings!$C$14)+IF(C167="",Settings!$C$13,IF(COUNTIF($C$5:C167,C167)=1,Settings!$C$13,0))+E167*Settings!$C$15+IF(H167="Yes",J167*Settings!$C$16,0))</f>
        <v/>
      </c>
      <c r="L167" s="21">
        <f>IF(B167="","",IF(Settings!$C$5="Yes",0,K167*Settings!$C$17))</f>
        <v/>
      </c>
      <c r="M167" s="21">
        <f>IF(B167="","",E167*IFERROR(VLOOKUP(D167,Products!$B$5:$F$204,5,FALSE),0))</f>
        <v/>
      </c>
      <c r="N167" s="21">
        <f>IF(B167="","",J167-K167-L167-M167-I167)</f>
        <v/>
      </c>
    </row>
    <row r="168">
      <c r="B168" s="11" t="n"/>
      <c r="C168" s="8" t="n"/>
      <c r="D168" s="8" t="n"/>
      <c r="E168" s="8" t="n"/>
      <c r="F168" s="20" t="n"/>
      <c r="G168" s="20" t="n"/>
      <c r="H168" s="8" t="n"/>
      <c r="I168" s="20" t="n"/>
      <c r="J168" s="21">
        <f>IF(B168="","",F168+G168)</f>
        <v/>
      </c>
      <c r="K168" s="21">
        <f>IF(B168="","",J168*(Settings!$C$11+Settings!$C$12+Settings!$C$14)+IF(C168="",Settings!$C$13,IF(COUNTIF($C$5:C168,C168)=1,Settings!$C$13,0))+E168*Settings!$C$15+IF(H168="Yes",J168*Settings!$C$16,0))</f>
        <v/>
      </c>
      <c r="L168" s="21">
        <f>IF(B168="","",IF(Settings!$C$5="Yes",0,K168*Settings!$C$17))</f>
        <v/>
      </c>
      <c r="M168" s="21">
        <f>IF(B168="","",E168*IFERROR(VLOOKUP(D168,Products!$B$5:$F$204,5,FALSE),0))</f>
        <v/>
      </c>
      <c r="N168" s="21">
        <f>IF(B168="","",J168-K168-L168-M168-I168)</f>
        <v/>
      </c>
    </row>
    <row r="169">
      <c r="B169" s="11" t="n"/>
      <c r="C169" s="8" t="n"/>
      <c r="D169" s="8" t="n"/>
      <c r="E169" s="8" t="n"/>
      <c r="F169" s="20" t="n"/>
      <c r="G169" s="20" t="n"/>
      <c r="H169" s="8" t="n"/>
      <c r="I169" s="20" t="n"/>
      <c r="J169" s="21">
        <f>IF(B169="","",F169+G169)</f>
        <v/>
      </c>
      <c r="K169" s="21">
        <f>IF(B169="","",J169*(Settings!$C$11+Settings!$C$12+Settings!$C$14)+IF(C169="",Settings!$C$13,IF(COUNTIF($C$5:C169,C169)=1,Settings!$C$13,0))+E169*Settings!$C$15+IF(H169="Yes",J169*Settings!$C$16,0))</f>
        <v/>
      </c>
      <c r="L169" s="21">
        <f>IF(B169="","",IF(Settings!$C$5="Yes",0,K169*Settings!$C$17))</f>
        <v/>
      </c>
      <c r="M169" s="21">
        <f>IF(B169="","",E169*IFERROR(VLOOKUP(D169,Products!$B$5:$F$204,5,FALSE),0))</f>
        <v/>
      </c>
      <c r="N169" s="21">
        <f>IF(B169="","",J169-K169-L169-M169-I169)</f>
        <v/>
      </c>
    </row>
    <row r="170">
      <c r="B170" s="11" t="n"/>
      <c r="C170" s="8" t="n"/>
      <c r="D170" s="8" t="n"/>
      <c r="E170" s="8" t="n"/>
      <c r="F170" s="20" t="n"/>
      <c r="G170" s="20" t="n"/>
      <c r="H170" s="8" t="n"/>
      <c r="I170" s="20" t="n"/>
      <c r="J170" s="21">
        <f>IF(B170="","",F170+G170)</f>
        <v/>
      </c>
      <c r="K170" s="21">
        <f>IF(B170="","",J170*(Settings!$C$11+Settings!$C$12+Settings!$C$14)+IF(C170="",Settings!$C$13,IF(COUNTIF($C$5:C170,C170)=1,Settings!$C$13,0))+E170*Settings!$C$15+IF(H170="Yes",J170*Settings!$C$16,0))</f>
        <v/>
      </c>
      <c r="L170" s="21">
        <f>IF(B170="","",IF(Settings!$C$5="Yes",0,K170*Settings!$C$17))</f>
        <v/>
      </c>
      <c r="M170" s="21">
        <f>IF(B170="","",E170*IFERROR(VLOOKUP(D170,Products!$B$5:$F$204,5,FALSE),0))</f>
        <v/>
      </c>
      <c r="N170" s="21">
        <f>IF(B170="","",J170-K170-L170-M170-I170)</f>
        <v/>
      </c>
    </row>
    <row r="171">
      <c r="B171" s="11" t="n"/>
      <c r="C171" s="8" t="n"/>
      <c r="D171" s="8" t="n"/>
      <c r="E171" s="8" t="n"/>
      <c r="F171" s="20" t="n"/>
      <c r="G171" s="20" t="n"/>
      <c r="H171" s="8" t="n"/>
      <c r="I171" s="20" t="n"/>
      <c r="J171" s="21">
        <f>IF(B171="","",F171+G171)</f>
        <v/>
      </c>
      <c r="K171" s="21">
        <f>IF(B171="","",J171*(Settings!$C$11+Settings!$C$12+Settings!$C$14)+IF(C171="",Settings!$C$13,IF(COUNTIF($C$5:C171,C171)=1,Settings!$C$13,0))+E171*Settings!$C$15+IF(H171="Yes",J171*Settings!$C$16,0))</f>
        <v/>
      </c>
      <c r="L171" s="21">
        <f>IF(B171="","",IF(Settings!$C$5="Yes",0,K171*Settings!$C$17))</f>
        <v/>
      </c>
      <c r="M171" s="21">
        <f>IF(B171="","",E171*IFERROR(VLOOKUP(D171,Products!$B$5:$F$204,5,FALSE),0))</f>
        <v/>
      </c>
      <c r="N171" s="21">
        <f>IF(B171="","",J171-K171-L171-M171-I171)</f>
        <v/>
      </c>
    </row>
    <row r="172">
      <c r="B172" s="11" t="n"/>
      <c r="C172" s="8" t="n"/>
      <c r="D172" s="8" t="n"/>
      <c r="E172" s="8" t="n"/>
      <c r="F172" s="20" t="n"/>
      <c r="G172" s="20" t="n"/>
      <c r="H172" s="8" t="n"/>
      <c r="I172" s="20" t="n"/>
      <c r="J172" s="21">
        <f>IF(B172="","",F172+G172)</f>
        <v/>
      </c>
      <c r="K172" s="21">
        <f>IF(B172="","",J172*(Settings!$C$11+Settings!$C$12+Settings!$C$14)+IF(C172="",Settings!$C$13,IF(COUNTIF($C$5:C172,C172)=1,Settings!$C$13,0))+E172*Settings!$C$15+IF(H172="Yes",J172*Settings!$C$16,0))</f>
        <v/>
      </c>
      <c r="L172" s="21">
        <f>IF(B172="","",IF(Settings!$C$5="Yes",0,K172*Settings!$C$17))</f>
        <v/>
      </c>
      <c r="M172" s="21">
        <f>IF(B172="","",E172*IFERROR(VLOOKUP(D172,Products!$B$5:$F$204,5,FALSE),0))</f>
        <v/>
      </c>
      <c r="N172" s="21">
        <f>IF(B172="","",J172-K172-L172-M172-I172)</f>
        <v/>
      </c>
    </row>
    <row r="173">
      <c r="B173" s="11" t="n"/>
      <c r="C173" s="8" t="n"/>
      <c r="D173" s="8" t="n"/>
      <c r="E173" s="8" t="n"/>
      <c r="F173" s="20" t="n"/>
      <c r="G173" s="20" t="n"/>
      <c r="H173" s="8" t="n"/>
      <c r="I173" s="20" t="n"/>
      <c r="J173" s="21">
        <f>IF(B173="","",F173+G173)</f>
        <v/>
      </c>
      <c r="K173" s="21">
        <f>IF(B173="","",J173*(Settings!$C$11+Settings!$C$12+Settings!$C$14)+IF(C173="",Settings!$C$13,IF(COUNTIF($C$5:C173,C173)=1,Settings!$C$13,0))+E173*Settings!$C$15+IF(H173="Yes",J173*Settings!$C$16,0))</f>
        <v/>
      </c>
      <c r="L173" s="21">
        <f>IF(B173="","",IF(Settings!$C$5="Yes",0,K173*Settings!$C$17))</f>
        <v/>
      </c>
      <c r="M173" s="21">
        <f>IF(B173="","",E173*IFERROR(VLOOKUP(D173,Products!$B$5:$F$204,5,FALSE),0))</f>
        <v/>
      </c>
      <c r="N173" s="21">
        <f>IF(B173="","",J173-K173-L173-M173-I173)</f>
        <v/>
      </c>
    </row>
    <row r="174">
      <c r="B174" s="11" t="n"/>
      <c r="C174" s="8" t="n"/>
      <c r="D174" s="8" t="n"/>
      <c r="E174" s="8" t="n"/>
      <c r="F174" s="20" t="n"/>
      <c r="G174" s="20" t="n"/>
      <c r="H174" s="8" t="n"/>
      <c r="I174" s="20" t="n"/>
      <c r="J174" s="21">
        <f>IF(B174="","",F174+G174)</f>
        <v/>
      </c>
      <c r="K174" s="21">
        <f>IF(B174="","",J174*(Settings!$C$11+Settings!$C$12+Settings!$C$14)+IF(C174="",Settings!$C$13,IF(COUNTIF($C$5:C174,C174)=1,Settings!$C$13,0))+E174*Settings!$C$15+IF(H174="Yes",J174*Settings!$C$16,0))</f>
        <v/>
      </c>
      <c r="L174" s="21">
        <f>IF(B174="","",IF(Settings!$C$5="Yes",0,K174*Settings!$C$17))</f>
        <v/>
      </c>
      <c r="M174" s="21">
        <f>IF(B174="","",E174*IFERROR(VLOOKUP(D174,Products!$B$5:$F$204,5,FALSE),0))</f>
        <v/>
      </c>
      <c r="N174" s="21">
        <f>IF(B174="","",J174-K174-L174-M174-I174)</f>
        <v/>
      </c>
    </row>
    <row r="175">
      <c r="B175" s="11" t="n"/>
      <c r="C175" s="8" t="n"/>
      <c r="D175" s="8" t="n"/>
      <c r="E175" s="8" t="n"/>
      <c r="F175" s="20" t="n"/>
      <c r="G175" s="20" t="n"/>
      <c r="H175" s="8" t="n"/>
      <c r="I175" s="20" t="n"/>
      <c r="J175" s="21">
        <f>IF(B175="","",F175+G175)</f>
        <v/>
      </c>
      <c r="K175" s="21">
        <f>IF(B175="","",J175*(Settings!$C$11+Settings!$C$12+Settings!$C$14)+IF(C175="",Settings!$C$13,IF(COUNTIF($C$5:C175,C175)=1,Settings!$C$13,0))+E175*Settings!$C$15+IF(H175="Yes",J175*Settings!$C$16,0))</f>
        <v/>
      </c>
      <c r="L175" s="21">
        <f>IF(B175="","",IF(Settings!$C$5="Yes",0,K175*Settings!$C$17))</f>
        <v/>
      </c>
      <c r="M175" s="21">
        <f>IF(B175="","",E175*IFERROR(VLOOKUP(D175,Products!$B$5:$F$204,5,FALSE),0))</f>
        <v/>
      </c>
      <c r="N175" s="21">
        <f>IF(B175="","",J175-K175-L175-M175-I175)</f>
        <v/>
      </c>
    </row>
    <row r="176">
      <c r="B176" s="11" t="n"/>
      <c r="C176" s="8" t="n"/>
      <c r="D176" s="8" t="n"/>
      <c r="E176" s="8" t="n"/>
      <c r="F176" s="20" t="n"/>
      <c r="G176" s="20" t="n"/>
      <c r="H176" s="8" t="n"/>
      <c r="I176" s="20" t="n"/>
      <c r="J176" s="21">
        <f>IF(B176="","",F176+G176)</f>
        <v/>
      </c>
      <c r="K176" s="21">
        <f>IF(B176="","",J176*(Settings!$C$11+Settings!$C$12+Settings!$C$14)+IF(C176="",Settings!$C$13,IF(COUNTIF($C$5:C176,C176)=1,Settings!$C$13,0))+E176*Settings!$C$15+IF(H176="Yes",J176*Settings!$C$16,0))</f>
        <v/>
      </c>
      <c r="L176" s="21">
        <f>IF(B176="","",IF(Settings!$C$5="Yes",0,K176*Settings!$C$17))</f>
        <v/>
      </c>
      <c r="M176" s="21">
        <f>IF(B176="","",E176*IFERROR(VLOOKUP(D176,Products!$B$5:$F$204,5,FALSE),0))</f>
        <v/>
      </c>
      <c r="N176" s="21">
        <f>IF(B176="","",J176-K176-L176-M176-I176)</f>
        <v/>
      </c>
    </row>
    <row r="177">
      <c r="B177" s="11" t="n"/>
      <c r="C177" s="8" t="n"/>
      <c r="D177" s="8" t="n"/>
      <c r="E177" s="8" t="n"/>
      <c r="F177" s="20" t="n"/>
      <c r="G177" s="20" t="n"/>
      <c r="H177" s="8" t="n"/>
      <c r="I177" s="20" t="n"/>
      <c r="J177" s="21">
        <f>IF(B177="","",F177+G177)</f>
        <v/>
      </c>
      <c r="K177" s="21">
        <f>IF(B177="","",J177*(Settings!$C$11+Settings!$C$12+Settings!$C$14)+IF(C177="",Settings!$C$13,IF(COUNTIF($C$5:C177,C177)=1,Settings!$C$13,0))+E177*Settings!$C$15+IF(H177="Yes",J177*Settings!$C$16,0))</f>
        <v/>
      </c>
      <c r="L177" s="21">
        <f>IF(B177="","",IF(Settings!$C$5="Yes",0,K177*Settings!$C$17))</f>
        <v/>
      </c>
      <c r="M177" s="21">
        <f>IF(B177="","",E177*IFERROR(VLOOKUP(D177,Products!$B$5:$F$204,5,FALSE),0))</f>
        <v/>
      </c>
      <c r="N177" s="21">
        <f>IF(B177="","",J177-K177-L177-M177-I177)</f>
        <v/>
      </c>
    </row>
    <row r="178">
      <c r="B178" s="11" t="n"/>
      <c r="C178" s="8" t="n"/>
      <c r="D178" s="8" t="n"/>
      <c r="E178" s="8" t="n"/>
      <c r="F178" s="20" t="n"/>
      <c r="G178" s="20" t="n"/>
      <c r="H178" s="8" t="n"/>
      <c r="I178" s="20" t="n"/>
      <c r="J178" s="21">
        <f>IF(B178="","",F178+G178)</f>
        <v/>
      </c>
      <c r="K178" s="21">
        <f>IF(B178="","",J178*(Settings!$C$11+Settings!$C$12+Settings!$C$14)+IF(C178="",Settings!$C$13,IF(COUNTIF($C$5:C178,C178)=1,Settings!$C$13,0))+E178*Settings!$C$15+IF(H178="Yes",J178*Settings!$C$16,0))</f>
        <v/>
      </c>
      <c r="L178" s="21">
        <f>IF(B178="","",IF(Settings!$C$5="Yes",0,K178*Settings!$C$17))</f>
        <v/>
      </c>
      <c r="M178" s="21">
        <f>IF(B178="","",E178*IFERROR(VLOOKUP(D178,Products!$B$5:$F$204,5,FALSE),0))</f>
        <v/>
      </c>
      <c r="N178" s="21">
        <f>IF(B178="","",J178-K178-L178-M178-I178)</f>
        <v/>
      </c>
    </row>
    <row r="179">
      <c r="B179" s="11" t="n"/>
      <c r="C179" s="8" t="n"/>
      <c r="D179" s="8" t="n"/>
      <c r="E179" s="8" t="n"/>
      <c r="F179" s="20" t="n"/>
      <c r="G179" s="20" t="n"/>
      <c r="H179" s="8" t="n"/>
      <c r="I179" s="20" t="n"/>
      <c r="J179" s="21">
        <f>IF(B179="","",F179+G179)</f>
        <v/>
      </c>
      <c r="K179" s="21">
        <f>IF(B179="","",J179*(Settings!$C$11+Settings!$C$12+Settings!$C$14)+IF(C179="",Settings!$C$13,IF(COUNTIF($C$5:C179,C179)=1,Settings!$C$13,0))+E179*Settings!$C$15+IF(H179="Yes",J179*Settings!$C$16,0))</f>
        <v/>
      </c>
      <c r="L179" s="21">
        <f>IF(B179="","",IF(Settings!$C$5="Yes",0,K179*Settings!$C$17))</f>
        <v/>
      </c>
      <c r="M179" s="21">
        <f>IF(B179="","",E179*IFERROR(VLOOKUP(D179,Products!$B$5:$F$204,5,FALSE),0))</f>
        <v/>
      </c>
      <c r="N179" s="21">
        <f>IF(B179="","",J179-K179-L179-M179-I179)</f>
        <v/>
      </c>
    </row>
    <row r="180">
      <c r="B180" s="11" t="n"/>
      <c r="C180" s="8" t="n"/>
      <c r="D180" s="8" t="n"/>
      <c r="E180" s="8" t="n"/>
      <c r="F180" s="20" t="n"/>
      <c r="G180" s="20" t="n"/>
      <c r="H180" s="8" t="n"/>
      <c r="I180" s="20" t="n"/>
      <c r="J180" s="21">
        <f>IF(B180="","",F180+G180)</f>
        <v/>
      </c>
      <c r="K180" s="21">
        <f>IF(B180="","",J180*(Settings!$C$11+Settings!$C$12+Settings!$C$14)+IF(C180="",Settings!$C$13,IF(COUNTIF($C$5:C180,C180)=1,Settings!$C$13,0))+E180*Settings!$C$15+IF(H180="Yes",J180*Settings!$C$16,0))</f>
        <v/>
      </c>
      <c r="L180" s="21">
        <f>IF(B180="","",IF(Settings!$C$5="Yes",0,K180*Settings!$C$17))</f>
        <v/>
      </c>
      <c r="M180" s="21">
        <f>IF(B180="","",E180*IFERROR(VLOOKUP(D180,Products!$B$5:$F$204,5,FALSE),0))</f>
        <v/>
      </c>
      <c r="N180" s="21">
        <f>IF(B180="","",J180-K180-L180-M180-I180)</f>
        <v/>
      </c>
    </row>
    <row r="181">
      <c r="B181" s="11" t="n"/>
      <c r="C181" s="8" t="n"/>
      <c r="D181" s="8" t="n"/>
      <c r="E181" s="8" t="n"/>
      <c r="F181" s="20" t="n"/>
      <c r="G181" s="20" t="n"/>
      <c r="H181" s="8" t="n"/>
      <c r="I181" s="20" t="n"/>
      <c r="J181" s="21">
        <f>IF(B181="","",F181+G181)</f>
        <v/>
      </c>
      <c r="K181" s="21">
        <f>IF(B181="","",J181*(Settings!$C$11+Settings!$C$12+Settings!$C$14)+IF(C181="",Settings!$C$13,IF(COUNTIF($C$5:C181,C181)=1,Settings!$C$13,0))+E181*Settings!$C$15+IF(H181="Yes",J181*Settings!$C$16,0))</f>
        <v/>
      </c>
      <c r="L181" s="21">
        <f>IF(B181="","",IF(Settings!$C$5="Yes",0,K181*Settings!$C$17))</f>
        <v/>
      </c>
      <c r="M181" s="21">
        <f>IF(B181="","",E181*IFERROR(VLOOKUP(D181,Products!$B$5:$F$204,5,FALSE),0))</f>
        <v/>
      </c>
      <c r="N181" s="21">
        <f>IF(B181="","",J181-K181-L181-M181-I181)</f>
        <v/>
      </c>
    </row>
    <row r="182">
      <c r="B182" s="11" t="n"/>
      <c r="C182" s="8" t="n"/>
      <c r="D182" s="8" t="n"/>
      <c r="E182" s="8" t="n"/>
      <c r="F182" s="20" t="n"/>
      <c r="G182" s="20" t="n"/>
      <c r="H182" s="8" t="n"/>
      <c r="I182" s="20" t="n"/>
      <c r="J182" s="21">
        <f>IF(B182="","",F182+G182)</f>
        <v/>
      </c>
      <c r="K182" s="21">
        <f>IF(B182="","",J182*(Settings!$C$11+Settings!$C$12+Settings!$C$14)+IF(C182="",Settings!$C$13,IF(COUNTIF($C$5:C182,C182)=1,Settings!$C$13,0))+E182*Settings!$C$15+IF(H182="Yes",J182*Settings!$C$16,0))</f>
        <v/>
      </c>
      <c r="L182" s="21">
        <f>IF(B182="","",IF(Settings!$C$5="Yes",0,K182*Settings!$C$17))</f>
        <v/>
      </c>
      <c r="M182" s="21">
        <f>IF(B182="","",E182*IFERROR(VLOOKUP(D182,Products!$B$5:$F$204,5,FALSE),0))</f>
        <v/>
      </c>
      <c r="N182" s="21">
        <f>IF(B182="","",J182-K182-L182-M182-I182)</f>
        <v/>
      </c>
    </row>
    <row r="183">
      <c r="B183" s="11" t="n"/>
      <c r="C183" s="8" t="n"/>
      <c r="D183" s="8" t="n"/>
      <c r="E183" s="8" t="n"/>
      <c r="F183" s="20" t="n"/>
      <c r="G183" s="20" t="n"/>
      <c r="H183" s="8" t="n"/>
      <c r="I183" s="20" t="n"/>
      <c r="J183" s="21">
        <f>IF(B183="","",F183+G183)</f>
        <v/>
      </c>
      <c r="K183" s="21">
        <f>IF(B183="","",J183*(Settings!$C$11+Settings!$C$12+Settings!$C$14)+IF(C183="",Settings!$C$13,IF(COUNTIF($C$5:C183,C183)=1,Settings!$C$13,0))+E183*Settings!$C$15+IF(H183="Yes",J183*Settings!$C$16,0))</f>
        <v/>
      </c>
      <c r="L183" s="21">
        <f>IF(B183="","",IF(Settings!$C$5="Yes",0,K183*Settings!$C$17))</f>
        <v/>
      </c>
      <c r="M183" s="21">
        <f>IF(B183="","",E183*IFERROR(VLOOKUP(D183,Products!$B$5:$F$204,5,FALSE),0))</f>
        <v/>
      </c>
      <c r="N183" s="21">
        <f>IF(B183="","",J183-K183-L183-M183-I183)</f>
        <v/>
      </c>
    </row>
    <row r="184">
      <c r="B184" s="11" t="n"/>
      <c r="C184" s="8" t="n"/>
      <c r="D184" s="8" t="n"/>
      <c r="E184" s="8" t="n"/>
      <c r="F184" s="20" t="n"/>
      <c r="G184" s="20" t="n"/>
      <c r="H184" s="8" t="n"/>
      <c r="I184" s="20" t="n"/>
      <c r="J184" s="21">
        <f>IF(B184="","",F184+G184)</f>
        <v/>
      </c>
      <c r="K184" s="21">
        <f>IF(B184="","",J184*(Settings!$C$11+Settings!$C$12+Settings!$C$14)+IF(C184="",Settings!$C$13,IF(COUNTIF($C$5:C184,C184)=1,Settings!$C$13,0))+E184*Settings!$C$15+IF(H184="Yes",J184*Settings!$C$16,0))</f>
        <v/>
      </c>
      <c r="L184" s="21">
        <f>IF(B184="","",IF(Settings!$C$5="Yes",0,K184*Settings!$C$17))</f>
        <v/>
      </c>
      <c r="M184" s="21">
        <f>IF(B184="","",E184*IFERROR(VLOOKUP(D184,Products!$B$5:$F$204,5,FALSE),0))</f>
        <v/>
      </c>
      <c r="N184" s="21">
        <f>IF(B184="","",J184-K184-L184-M184-I184)</f>
        <v/>
      </c>
    </row>
    <row r="185">
      <c r="B185" s="11" t="n"/>
      <c r="C185" s="8" t="n"/>
      <c r="D185" s="8" t="n"/>
      <c r="E185" s="8" t="n"/>
      <c r="F185" s="20" t="n"/>
      <c r="G185" s="20" t="n"/>
      <c r="H185" s="8" t="n"/>
      <c r="I185" s="20" t="n"/>
      <c r="J185" s="21">
        <f>IF(B185="","",F185+G185)</f>
        <v/>
      </c>
      <c r="K185" s="21">
        <f>IF(B185="","",J185*(Settings!$C$11+Settings!$C$12+Settings!$C$14)+IF(C185="",Settings!$C$13,IF(COUNTIF($C$5:C185,C185)=1,Settings!$C$13,0))+E185*Settings!$C$15+IF(H185="Yes",J185*Settings!$C$16,0))</f>
        <v/>
      </c>
      <c r="L185" s="21">
        <f>IF(B185="","",IF(Settings!$C$5="Yes",0,K185*Settings!$C$17))</f>
        <v/>
      </c>
      <c r="M185" s="21">
        <f>IF(B185="","",E185*IFERROR(VLOOKUP(D185,Products!$B$5:$F$204,5,FALSE),0))</f>
        <v/>
      </c>
      <c r="N185" s="21">
        <f>IF(B185="","",J185-K185-L185-M185-I185)</f>
        <v/>
      </c>
    </row>
    <row r="186">
      <c r="B186" s="11" t="n"/>
      <c r="C186" s="8" t="n"/>
      <c r="D186" s="8" t="n"/>
      <c r="E186" s="8" t="n"/>
      <c r="F186" s="20" t="n"/>
      <c r="G186" s="20" t="n"/>
      <c r="H186" s="8" t="n"/>
      <c r="I186" s="20" t="n"/>
      <c r="J186" s="21">
        <f>IF(B186="","",F186+G186)</f>
        <v/>
      </c>
      <c r="K186" s="21">
        <f>IF(B186="","",J186*(Settings!$C$11+Settings!$C$12+Settings!$C$14)+IF(C186="",Settings!$C$13,IF(COUNTIF($C$5:C186,C186)=1,Settings!$C$13,0))+E186*Settings!$C$15+IF(H186="Yes",J186*Settings!$C$16,0))</f>
        <v/>
      </c>
      <c r="L186" s="21">
        <f>IF(B186="","",IF(Settings!$C$5="Yes",0,K186*Settings!$C$17))</f>
        <v/>
      </c>
      <c r="M186" s="21">
        <f>IF(B186="","",E186*IFERROR(VLOOKUP(D186,Products!$B$5:$F$204,5,FALSE),0))</f>
        <v/>
      </c>
      <c r="N186" s="21">
        <f>IF(B186="","",J186-K186-L186-M186-I186)</f>
        <v/>
      </c>
    </row>
    <row r="187">
      <c r="B187" s="11" t="n"/>
      <c r="C187" s="8" t="n"/>
      <c r="D187" s="8" t="n"/>
      <c r="E187" s="8" t="n"/>
      <c r="F187" s="20" t="n"/>
      <c r="G187" s="20" t="n"/>
      <c r="H187" s="8" t="n"/>
      <c r="I187" s="20" t="n"/>
      <c r="J187" s="21">
        <f>IF(B187="","",F187+G187)</f>
        <v/>
      </c>
      <c r="K187" s="21">
        <f>IF(B187="","",J187*(Settings!$C$11+Settings!$C$12+Settings!$C$14)+IF(C187="",Settings!$C$13,IF(COUNTIF($C$5:C187,C187)=1,Settings!$C$13,0))+E187*Settings!$C$15+IF(H187="Yes",J187*Settings!$C$16,0))</f>
        <v/>
      </c>
      <c r="L187" s="21">
        <f>IF(B187="","",IF(Settings!$C$5="Yes",0,K187*Settings!$C$17))</f>
        <v/>
      </c>
      <c r="M187" s="21">
        <f>IF(B187="","",E187*IFERROR(VLOOKUP(D187,Products!$B$5:$F$204,5,FALSE),0))</f>
        <v/>
      </c>
      <c r="N187" s="21">
        <f>IF(B187="","",J187-K187-L187-M187-I187)</f>
        <v/>
      </c>
    </row>
    <row r="188">
      <c r="B188" s="11" t="n"/>
      <c r="C188" s="8" t="n"/>
      <c r="D188" s="8" t="n"/>
      <c r="E188" s="8" t="n"/>
      <c r="F188" s="20" t="n"/>
      <c r="G188" s="20" t="n"/>
      <c r="H188" s="8" t="n"/>
      <c r="I188" s="20" t="n"/>
      <c r="J188" s="21">
        <f>IF(B188="","",F188+G188)</f>
        <v/>
      </c>
      <c r="K188" s="21">
        <f>IF(B188="","",J188*(Settings!$C$11+Settings!$C$12+Settings!$C$14)+IF(C188="",Settings!$C$13,IF(COUNTIF($C$5:C188,C188)=1,Settings!$C$13,0))+E188*Settings!$C$15+IF(H188="Yes",J188*Settings!$C$16,0))</f>
        <v/>
      </c>
      <c r="L188" s="21">
        <f>IF(B188="","",IF(Settings!$C$5="Yes",0,K188*Settings!$C$17))</f>
        <v/>
      </c>
      <c r="M188" s="21">
        <f>IF(B188="","",E188*IFERROR(VLOOKUP(D188,Products!$B$5:$F$204,5,FALSE),0))</f>
        <v/>
      </c>
      <c r="N188" s="21">
        <f>IF(B188="","",J188-K188-L188-M188-I188)</f>
        <v/>
      </c>
    </row>
    <row r="189">
      <c r="B189" s="11" t="n"/>
      <c r="C189" s="8" t="n"/>
      <c r="D189" s="8" t="n"/>
      <c r="E189" s="8" t="n"/>
      <c r="F189" s="20" t="n"/>
      <c r="G189" s="20" t="n"/>
      <c r="H189" s="8" t="n"/>
      <c r="I189" s="20" t="n"/>
      <c r="J189" s="21">
        <f>IF(B189="","",F189+G189)</f>
        <v/>
      </c>
      <c r="K189" s="21">
        <f>IF(B189="","",J189*(Settings!$C$11+Settings!$C$12+Settings!$C$14)+IF(C189="",Settings!$C$13,IF(COUNTIF($C$5:C189,C189)=1,Settings!$C$13,0))+E189*Settings!$C$15+IF(H189="Yes",J189*Settings!$C$16,0))</f>
        <v/>
      </c>
      <c r="L189" s="21">
        <f>IF(B189="","",IF(Settings!$C$5="Yes",0,K189*Settings!$C$17))</f>
        <v/>
      </c>
      <c r="M189" s="21">
        <f>IF(B189="","",E189*IFERROR(VLOOKUP(D189,Products!$B$5:$F$204,5,FALSE),0))</f>
        <v/>
      </c>
      <c r="N189" s="21">
        <f>IF(B189="","",J189-K189-L189-M189-I189)</f>
        <v/>
      </c>
    </row>
    <row r="190">
      <c r="B190" s="11" t="n"/>
      <c r="C190" s="8" t="n"/>
      <c r="D190" s="8" t="n"/>
      <c r="E190" s="8" t="n"/>
      <c r="F190" s="20" t="n"/>
      <c r="G190" s="20" t="n"/>
      <c r="H190" s="8" t="n"/>
      <c r="I190" s="20" t="n"/>
      <c r="J190" s="21">
        <f>IF(B190="","",F190+G190)</f>
        <v/>
      </c>
      <c r="K190" s="21">
        <f>IF(B190="","",J190*(Settings!$C$11+Settings!$C$12+Settings!$C$14)+IF(C190="",Settings!$C$13,IF(COUNTIF($C$5:C190,C190)=1,Settings!$C$13,0))+E190*Settings!$C$15+IF(H190="Yes",J190*Settings!$C$16,0))</f>
        <v/>
      </c>
      <c r="L190" s="21">
        <f>IF(B190="","",IF(Settings!$C$5="Yes",0,K190*Settings!$C$17))</f>
        <v/>
      </c>
      <c r="M190" s="21">
        <f>IF(B190="","",E190*IFERROR(VLOOKUP(D190,Products!$B$5:$F$204,5,FALSE),0))</f>
        <v/>
      </c>
      <c r="N190" s="21">
        <f>IF(B190="","",J190-K190-L190-M190-I190)</f>
        <v/>
      </c>
    </row>
    <row r="191">
      <c r="B191" s="11" t="n"/>
      <c r="C191" s="8" t="n"/>
      <c r="D191" s="8" t="n"/>
      <c r="E191" s="8" t="n"/>
      <c r="F191" s="20" t="n"/>
      <c r="G191" s="20" t="n"/>
      <c r="H191" s="8" t="n"/>
      <c r="I191" s="20" t="n"/>
      <c r="J191" s="21">
        <f>IF(B191="","",F191+G191)</f>
        <v/>
      </c>
      <c r="K191" s="21">
        <f>IF(B191="","",J191*(Settings!$C$11+Settings!$C$12+Settings!$C$14)+IF(C191="",Settings!$C$13,IF(COUNTIF($C$5:C191,C191)=1,Settings!$C$13,0))+E191*Settings!$C$15+IF(H191="Yes",J191*Settings!$C$16,0))</f>
        <v/>
      </c>
      <c r="L191" s="21">
        <f>IF(B191="","",IF(Settings!$C$5="Yes",0,K191*Settings!$C$17))</f>
        <v/>
      </c>
      <c r="M191" s="21">
        <f>IF(B191="","",E191*IFERROR(VLOOKUP(D191,Products!$B$5:$F$204,5,FALSE),0))</f>
        <v/>
      </c>
      <c r="N191" s="21">
        <f>IF(B191="","",J191-K191-L191-M191-I191)</f>
        <v/>
      </c>
    </row>
    <row r="192">
      <c r="B192" s="11" t="n"/>
      <c r="C192" s="8" t="n"/>
      <c r="D192" s="8" t="n"/>
      <c r="E192" s="8" t="n"/>
      <c r="F192" s="20" t="n"/>
      <c r="G192" s="20" t="n"/>
      <c r="H192" s="8" t="n"/>
      <c r="I192" s="20" t="n"/>
      <c r="J192" s="21">
        <f>IF(B192="","",F192+G192)</f>
        <v/>
      </c>
      <c r="K192" s="21">
        <f>IF(B192="","",J192*(Settings!$C$11+Settings!$C$12+Settings!$C$14)+IF(C192="",Settings!$C$13,IF(COUNTIF($C$5:C192,C192)=1,Settings!$C$13,0))+E192*Settings!$C$15+IF(H192="Yes",J192*Settings!$C$16,0))</f>
        <v/>
      </c>
      <c r="L192" s="21">
        <f>IF(B192="","",IF(Settings!$C$5="Yes",0,K192*Settings!$C$17))</f>
        <v/>
      </c>
      <c r="M192" s="21">
        <f>IF(B192="","",E192*IFERROR(VLOOKUP(D192,Products!$B$5:$F$204,5,FALSE),0))</f>
        <v/>
      </c>
      <c r="N192" s="21">
        <f>IF(B192="","",J192-K192-L192-M192-I192)</f>
        <v/>
      </c>
    </row>
    <row r="193">
      <c r="B193" s="11" t="n"/>
      <c r="C193" s="8" t="n"/>
      <c r="D193" s="8" t="n"/>
      <c r="E193" s="8" t="n"/>
      <c r="F193" s="20" t="n"/>
      <c r="G193" s="20" t="n"/>
      <c r="H193" s="8" t="n"/>
      <c r="I193" s="20" t="n"/>
      <c r="J193" s="21">
        <f>IF(B193="","",F193+G193)</f>
        <v/>
      </c>
      <c r="K193" s="21">
        <f>IF(B193="","",J193*(Settings!$C$11+Settings!$C$12+Settings!$C$14)+IF(C193="",Settings!$C$13,IF(COUNTIF($C$5:C193,C193)=1,Settings!$C$13,0))+E193*Settings!$C$15+IF(H193="Yes",J193*Settings!$C$16,0))</f>
        <v/>
      </c>
      <c r="L193" s="21">
        <f>IF(B193="","",IF(Settings!$C$5="Yes",0,K193*Settings!$C$17))</f>
        <v/>
      </c>
      <c r="M193" s="21">
        <f>IF(B193="","",E193*IFERROR(VLOOKUP(D193,Products!$B$5:$F$204,5,FALSE),0))</f>
        <v/>
      </c>
      <c r="N193" s="21">
        <f>IF(B193="","",J193-K193-L193-M193-I193)</f>
        <v/>
      </c>
    </row>
    <row r="194">
      <c r="B194" s="11" t="n"/>
      <c r="C194" s="8" t="n"/>
      <c r="D194" s="8" t="n"/>
      <c r="E194" s="8" t="n"/>
      <c r="F194" s="20" t="n"/>
      <c r="G194" s="20" t="n"/>
      <c r="H194" s="8" t="n"/>
      <c r="I194" s="20" t="n"/>
      <c r="J194" s="21">
        <f>IF(B194="","",F194+G194)</f>
        <v/>
      </c>
      <c r="K194" s="21">
        <f>IF(B194="","",J194*(Settings!$C$11+Settings!$C$12+Settings!$C$14)+IF(C194="",Settings!$C$13,IF(COUNTIF($C$5:C194,C194)=1,Settings!$C$13,0))+E194*Settings!$C$15+IF(H194="Yes",J194*Settings!$C$16,0))</f>
        <v/>
      </c>
      <c r="L194" s="21">
        <f>IF(B194="","",IF(Settings!$C$5="Yes",0,K194*Settings!$C$17))</f>
        <v/>
      </c>
      <c r="M194" s="21">
        <f>IF(B194="","",E194*IFERROR(VLOOKUP(D194,Products!$B$5:$F$204,5,FALSE),0))</f>
        <v/>
      </c>
      <c r="N194" s="21">
        <f>IF(B194="","",J194-K194-L194-M194-I194)</f>
        <v/>
      </c>
    </row>
    <row r="195">
      <c r="B195" s="11" t="n"/>
      <c r="C195" s="8" t="n"/>
      <c r="D195" s="8" t="n"/>
      <c r="E195" s="8" t="n"/>
      <c r="F195" s="20" t="n"/>
      <c r="G195" s="20" t="n"/>
      <c r="H195" s="8" t="n"/>
      <c r="I195" s="20" t="n"/>
      <c r="J195" s="21">
        <f>IF(B195="","",F195+G195)</f>
        <v/>
      </c>
      <c r="K195" s="21">
        <f>IF(B195="","",J195*(Settings!$C$11+Settings!$C$12+Settings!$C$14)+IF(C195="",Settings!$C$13,IF(COUNTIF($C$5:C195,C195)=1,Settings!$C$13,0))+E195*Settings!$C$15+IF(H195="Yes",J195*Settings!$C$16,0))</f>
        <v/>
      </c>
      <c r="L195" s="21">
        <f>IF(B195="","",IF(Settings!$C$5="Yes",0,K195*Settings!$C$17))</f>
        <v/>
      </c>
      <c r="M195" s="21">
        <f>IF(B195="","",E195*IFERROR(VLOOKUP(D195,Products!$B$5:$F$204,5,FALSE),0))</f>
        <v/>
      </c>
      <c r="N195" s="21">
        <f>IF(B195="","",J195-K195-L195-M195-I195)</f>
        <v/>
      </c>
    </row>
    <row r="196">
      <c r="B196" s="11" t="n"/>
      <c r="C196" s="8" t="n"/>
      <c r="D196" s="8" t="n"/>
      <c r="E196" s="8" t="n"/>
      <c r="F196" s="20" t="n"/>
      <c r="G196" s="20" t="n"/>
      <c r="H196" s="8" t="n"/>
      <c r="I196" s="20" t="n"/>
      <c r="J196" s="21">
        <f>IF(B196="","",F196+G196)</f>
        <v/>
      </c>
      <c r="K196" s="21">
        <f>IF(B196="","",J196*(Settings!$C$11+Settings!$C$12+Settings!$C$14)+IF(C196="",Settings!$C$13,IF(COUNTIF($C$5:C196,C196)=1,Settings!$C$13,0))+E196*Settings!$C$15+IF(H196="Yes",J196*Settings!$C$16,0))</f>
        <v/>
      </c>
      <c r="L196" s="21">
        <f>IF(B196="","",IF(Settings!$C$5="Yes",0,K196*Settings!$C$17))</f>
        <v/>
      </c>
      <c r="M196" s="21">
        <f>IF(B196="","",E196*IFERROR(VLOOKUP(D196,Products!$B$5:$F$204,5,FALSE),0))</f>
        <v/>
      </c>
      <c r="N196" s="21">
        <f>IF(B196="","",J196-K196-L196-M196-I196)</f>
        <v/>
      </c>
    </row>
    <row r="197">
      <c r="B197" s="11" t="n"/>
      <c r="C197" s="8" t="n"/>
      <c r="D197" s="8" t="n"/>
      <c r="E197" s="8" t="n"/>
      <c r="F197" s="20" t="n"/>
      <c r="G197" s="20" t="n"/>
      <c r="H197" s="8" t="n"/>
      <c r="I197" s="20" t="n"/>
      <c r="J197" s="21">
        <f>IF(B197="","",F197+G197)</f>
        <v/>
      </c>
      <c r="K197" s="21">
        <f>IF(B197="","",J197*(Settings!$C$11+Settings!$C$12+Settings!$C$14)+IF(C197="",Settings!$C$13,IF(COUNTIF($C$5:C197,C197)=1,Settings!$C$13,0))+E197*Settings!$C$15+IF(H197="Yes",J197*Settings!$C$16,0))</f>
        <v/>
      </c>
      <c r="L197" s="21">
        <f>IF(B197="","",IF(Settings!$C$5="Yes",0,K197*Settings!$C$17))</f>
        <v/>
      </c>
      <c r="M197" s="21">
        <f>IF(B197="","",E197*IFERROR(VLOOKUP(D197,Products!$B$5:$F$204,5,FALSE),0))</f>
        <v/>
      </c>
      <c r="N197" s="21">
        <f>IF(B197="","",J197-K197-L197-M197-I197)</f>
        <v/>
      </c>
    </row>
    <row r="198">
      <c r="B198" s="11" t="n"/>
      <c r="C198" s="8" t="n"/>
      <c r="D198" s="8" t="n"/>
      <c r="E198" s="8" t="n"/>
      <c r="F198" s="20" t="n"/>
      <c r="G198" s="20" t="n"/>
      <c r="H198" s="8" t="n"/>
      <c r="I198" s="20" t="n"/>
      <c r="J198" s="21">
        <f>IF(B198="","",F198+G198)</f>
        <v/>
      </c>
      <c r="K198" s="21">
        <f>IF(B198="","",J198*(Settings!$C$11+Settings!$C$12+Settings!$C$14)+IF(C198="",Settings!$C$13,IF(COUNTIF($C$5:C198,C198)=1,Settings!$C$13,0))+E198*Settings!$C$15+IF(H198="Yes",J198*Settings!$C$16,0))</f>
        <v/>
      </c>
      <c r="L198" s="21">
        <f>IF(B198="","",IF(Settings!$C$5="Yes",0,K198*Settings!$C$17))</f>
        <v/>
      </c>
      <c r="M198" s="21">
        <f>IF(B198="","",E198*IFERROR(VLOOKUP(D198,Products!$B$5:$F$204,5,FALSE),0))</f>
        <v/>
      </c>
      <c r="N198" s="21">
        <f>IF(B198="","",J198-K198-L198-M198-I198)</f>
        <v/>
      </c>
    </row>
    <row r="199">
      <c r="B199" s="11" t="n"/>
      <c r="C199" s="8" t="n"/>
      <c r="D199" s="8" t="n"/>
      <c r="E199" s="8" t="n"/>
      <c r="F199" s="20" t="n"/>
      <c r="G199" s="20" t="n"/>
      <c r="H199" s="8" t="n"/>
      <c r="I199" s="20" t="n"/>
      <c r="J199" s="21">
        <f>IF(B199="","",F199+G199)</f>
        <v/>
      </c>
      <c r="K199" s="21">
        <f>IF(B199="","",J199*(Settings!$C$11+Settings!$C$12+Settings!$C$14)+IF(C199="",Settings!$C$13,IF(COUNTIF($C$5:C199,C199)=1,Settings!$C$13,0))+E199*Settings!$C$15+IF(H199="Yes",J199*Settings!$C$16,0))</f>
        <v/>
      </c>
      <c r="L199" s="21">
        <f>IF(B199="","",IF(Settings!$C$5="Yes",0,K199*Settings!$C$17))</f>
        <v/>
      </c>
      <c r="M199" s="21">
        <f>IF(B199="","",E199*IFERROR(VLOOKUP(D199,Products!$B$5:$F$204,5,FALSE),0))</f>
        <v/>
      </c>
      <c r="N199" s="21">
        <f>IF(B199="","",J199-K199-L199-M199-I199)</f>
        <v/>
      </c>
    </row>
    <row r="200">
      <c r="B200" s="11" t="n"/>
      <c r="C200" s="8" t="n"/>
      <c r="D200" s="8" t="n"/>
      <c r="E200" s="8" t="n"/>
      <c r="F200" s="20" t="n"/>
      <c r="G200" s="20" t="n"/>
      <c r="H200" s="8" t="n"/>
      <c r="I200" s="20" t="n"/>
      <c r="J200" s="21">
        <f>IF(B200="","",F200+G200)</f>
        <v/>
      </c>
      <c r="K200" s="21">
        <f>IF(B200="","",J200*(Settings!$C$11+Settings!$C$12+Settings!$C$14)+IF(C200="",Settings!$C$13,IF(COUNTIF($C$5:C200,C200)=1,Settings!$C$13,0))+E200*Settings!$C$15+IF(H200="Yes",J200*Settings!$C$16,0))</f>
        <v/>
      </c>
      <c r="L200" s="21">
        <f>IF(B200="","",IF(Settings!$C$5="Yes",0,K200*Settings!$C$17))</f>
        <v/>
      </c>
      <c r="M200" s="21">
        <f>IF(B200="","",E200*IFERROR(VLOOKUP(D200,Products!$B$5:$F$204,5,FALSE),0))</f>
        <v/>
      </c>
      <c r="N200" s="21">
        <f>IF(B200="","",J200-K200-L200-M200-I200)</f>
        <v/>
      </c>
    </row>
    <row r="201">
      <c r="B201" s="11" t="n"/>
      <c r="C201" s="8" t="n"/>
      <c r="D201" s="8" t="n"/>
      <c r="E201" s="8" t="n"/>
      <c r="F201" s="20" t="n"/>
      <c r="G201" s="20" t="n"/>
      <c r="H201" s="8" t="n"/>
      <c r="I201" s="20" t="n"/>
      <c r="J201" s="21">
        <f>IF(B201="","",F201+G201)</f>
        <v/>
      </c>
      <c r="K201" s="21">
        <f>IF(B201="","",J201*(Settings!$C$11+Settings!$C$12+Settings!$C$14)+IF(C201="",Settings!$C$13,IF(COUNTIF($C$5:C201,C201)=1,Settings!$C$13,0))+E201*Settings!$C$15+IF(H201="Yes",J201*Settings!$C$16,0))</f>
        <v/>
      </c>
      <c r="L201" s="21">
        <f>IF(B201="","",IF(Settings!$C$5="Yes",0,K201*Settings!$C$17))</f>
        <v/>
      </c>
      <c r="M201" s="21">
        <f>IF(B201="","",E201*IFERROR(VLOOKUP(D201,Products!$B$5:$F$204,5,FALSE),0))</f>
        <v/>
      </c>
      <c r="N201" s="21">
        <f>IF(B201="","",J201-K201-L201-M201-I201)</f>
        <v/>
      </c>
    </row>
    <row r="202">
      <c r="B202" s="11" t="n"/>
      <c r="C202" s="8" t="n"/>
      <c r="D202" s="8" t="n"/>
      <c r="E202" s="8" t="n"/>
      <c r="F202" s="20" t="n"/>
      <c r="G202" s="20" t="n"/>
      <c r="H202" s="8" t="n"/>
      <c r="I202" s="20" t="n"/>
      <c r="J202" s="21">
        <f>IF(B202="","",F202+G202)</f>
        <v/>
      </c>
      <c r="K202" s="21">
        <f>IF(B202="","",J202*(Settings!$C$11+Settings!$C$12+Settings!$C$14)+IF(C202="",Settings!$C$13,IF(COUNTIF($C$5:C202,C202)=1,Settings!$C$13,0))+E202*Settings!$C$15+IF(H202="Yes",J202*Settings!$C$16,0))</f>
        <v/>
      </c>
      <c r="L202" s="21">
        <f>IF(B202="","",IF(Settings!$C$5="Yes",0,K202*Settings!$C$17))</f>
        <v/>
      </c>
      <c r="M202" s="21">
        <f>IF(B202="","",E202*IFERROR(VLOOKUP(D202,Products!$B$5:$F$204,5,FALSE),0))</f>
        <v/>
      </c>
      <c r="N202" s="21">
        <f>IF(B202="","",J202-K202-L202-M202-I202)</f>
        <v/>
      </c>
    </row>
    <row r="203">
      <c r="B203" s="11" t="n"/>
      <c r="C203" s="8" t="n"/>
      <c r="D203" s="8" t="n"/>
      <c r="E203" s="8" t="n"/>
      <c r="F203" s="20" t="n"/>
      <c r="G203" s="20" t="n"/>
      <c r="H203" s="8" t="n"/>
      <c r="I203" s="20" t="n"/>
      <c r="J203" s="21">
        <f>IF(B203="","",F203+G203)</f>
        <v/>
      </c>
      <c r="K203" s="21">
        <f>IF(B203="","",J203*(Settings!$C$11+Settings!$C$12+Settings!$C$14)+IF(C203="",Settings!$C$13,IF(COUNTIF($C$5:C203,C203)=1,Settings!$C$13,0))+E203*Settings!$C$15+IF(H203="Yes",J203*Settings!$C$16,0))</f>
        <v/>
      </c>
      <c r="L203" s="21">
        <f>IF(B203="","",IF(Settings!$C$5="Yes",0,K203*Settings!$C$17))</f>
        <v/>
      </c>
      <c r="M203" s="21">
        <f>IF(B203="","",E203*IFERROR(VLOOKUP(D203,Products!$B$5:$F$204,5,FALSE),0))</f>
        <v/>
      </c>
      <c r="N203" s="21">
        <f>IF(B203="","",J203-K203-L203-M203-I203)</f>
        <v/>
      </c>
    </row>
    <row r="204">
      <c r="B204" s="11" t="n"/>
      <c r="C204" s="8" t="n"/>
      <c r="D204" s="8" t="n"/>
      <c r="E204" s="8" t="n"/>
      <c r="F204" s="20" t="n"/>
      <c r="G204" s="20" t="n"/>
      <c r="H204" s="8" t="n"/>
      <c r="I204" s="20" t="n"/>
      <c r="J204" s="21">
        <f>IF(B204="","",F204+G204)</f>
        <v/>
      </c>
      <c r="K204" s="21">
        <f>IF(B204="","",J204*(Settings!$C$11+Settings!$C$12+Settings!$C$14)+IF(C204="",Settings!$C$13,IF(COUNTIF($C$5:C204,C204)=1,Settings!$C$13,0))+E204*Settings!$C$15+IF(H204="Yes",J204*Settings!$C$16,0))</f>
        <v/>
      </c>
      <c r="L204" s="21">
        <f>IF(B204="","",IF(Settings!$C$5="Yes",0,K204*Settings!$C$17))</f>
        <v/>
      </c>
      <c r="M204" s="21">
        <f>IF(B204="","",E204*IFERROR(VLOOKUP(D204,Products!$B$5:$F$204,5,FALSE),0))</f>
        <v/>
      </c>
      <c r="N204" s="21">
        <f>IF(B204="","",J204-K204-L204-M204-I204)</f>
        <v/>
      </c>
    </row>
    <row r="205">
      <c r="B205" s="11" t="n"/>
      <c r="C205" s="8" t="n"/>
      <c r="D205" s="8" t="n"/>
      <c r="E205" s="8" t="n"/>
      <c r="F205" s="20" t="n"/>
      <c r="G205" s="20" t="n"/>
      <c r="H205" s="8" t="n"/>
      <c r="I205" s="20" t="n"/>
      <c r="J205" s="21">
        <f>IF(B205="","",F205+G205)</f>
        <v/>
      </c>
      <c r="K205" s="21">
        <f>IF(B205="","",J205*(Settings!$C$11+Settings!$C$12+Settings!$C$14)+IF(C205="",Settings!$C$13,IF(COUNTIF($C$5:C205,C205)=1,Settings!$C$13,0))+E205*Settings!$C$15+IF(H205="Yes",J205*Settings!$C$16,0))</f>
        <v/>
      </c>
      <c r="L205" s="21">
        <f>IF(B205="","",IF(Settings!$C$5="Yes",0,K205*Settings!$C$17))</f>
        <v/>
      </c>
      <c r="M205" s="21">
        <f>IF(B205="","",E205*IFERROR(VLOOKUP(D205,Products!$B$5:$F$204,5,FALSE),0))</f>
        <v/>
      </c>
      <c r="N205" s="21">
        <f>IF(B205="","",J205-K205-L205-M205-I205)</f>
        <v/>
      </c>
    </row>
    <row r="206">
      <c r="B206" s="11" t="n"/>
      <c r="C206" s="8" t="n"/>
      <c r="D206" s="8" t="n"/>
      <c r="E206" s="8" t="n"/>
      <c r="F206" s="20" t="n"/>
      <c r="G206" s="20" t="n"/>
      <c r="H206" s="8" t="n"/>
      <c r="I206" s="20" t="n"/>
      <c r="J206" s="21">
        <f>IF(B206="","",F206+G206)</f>
        <v/>
      </c>
      <c r="K206" s="21">
        <f>IF(B206="","",J206*(Settings!$C$11+Settings!$C$12+Settings!$C$14)+IF(C206="",Settings!$C$13,IF(COUNTIF($C$5:C206,C206)=1,Settings!$C$13,0))+E206*Settings!$C$15+IF(H206="Yes",J206*Settings!$C$16,0))</f>
        <v/>
      </c>
      <c r="L206" s="21">
        <f>IF(B206="","",IF(Settings!$C$5="Yes",0,K206*Settings!$C$17))</f>
        <v/>
      </c>
      <c r="M206" s="21">
        <f>IF(B206="","",E206*IFERROR(VLOOKUP(D206,Products!$B$5:$F$204,5,FALSE),0))</f>
        <v/>
      </c>
      <c r="N206" s="21">
        <f>IF(B206="","",J206-K206-L206-M206-I206)</f>
        <v/>
      </c>
    </row>
    <row r="207">
      <c r="B207" s="11" t="n"/>
      <c r="C207" s="8" t="n"/>
      <c r="D207" s="8" t="n"/>
      <c r="E207" s="8" t="n"/>
      <c r="F207" s="20" t="n"/>
      <c r="G207" s="20" t="n"/>
      <c r="H207" s="8" t="n"/>
      <c r="I207" s="20" t="n"/>
      <c r="J207" s="21">
        <f>IF(B207="","",F207+G207)</f>
        <v/>
      </c>
      <c r="K207" s="21">
        <f>IF(B207="","",J207*(Settings!$C$11+Settings!$C$12+Settings!$C$14)+IF(C207="",Settings!$C$13,IF(COUNTIF($C$5:C207,C207)=1,Settings!$C$13,0))+E207*Settings!$C$15+IF(H207="Yes",J207*Settings!$C$16,0))</f>
        <v/>
      </c>
      <c r="L207" s="21">
        <f>IF(B207="","",IF(Settings!$C$5="Yes",0,K207*Settings!$C$17))</f>
        <v/>
      </c>
      <c r="M207" s="21">
        <f>IF(B207="","",E207*IFERROR(VLOOKUP(D207,Products!$B$5:$F$204,5,FALSE),0))</f>
        <v/>
      </c>
      <c r="N207" s="21">
        <f>IF(B207="","",J207-K207-L207-M207-I207)</f>
        <v/>
      </c>
    </row>
    <row r="208">
      <c r="B208" s="11" t="n"/>
      <c r="C208" s="8" t="n"/>
      <c r="D208" s="8" t="n"/>
      <c r="E208" s="8" t="n"/>
      <c r="F208" s="20" t="n"/>
      <c r="G208" s="20" t="n"/>
      <c r="H208" s="8" t="n"/>
      <c r="I208" s="20" t="n"/>
      <c r="J208" s="21">
        <f>IF(B208="","",F208+G208)</f>
        <v/>
      </c>
      <c r="K208" s="21">
        <f>IF(B208="","",J208*(Settings!$C$11+Settings!$C$12+Settings!$C$14)+IF(C208="",Settings!$C$13,IF(COUNTIF($C$5:C208,C208)=1,Settings!$C$13,0))+E208*Settings!$C$15+IF(H208="Yes",J208*Settings!$C$16,0))</f>
        <v/>
      </c>
      <c r="L208" s="21">
        <f>IF(B208="","",IF(Settings!$C$5="Yes",0,K208*Settings!$C$17))</f>
        <v/>
      </c>
      <c r="M208" s="21">
        <f>IF(B208="","",E208*IFERROR(VLOOKUP(D208,Products!$B$5:$F$204,5,FALSE),0))</f>
        <v/>
      </c>
      <c r="N208" s="21">
        <f>IF(B208="","",J208-K208-L208-M208-I208)</f>
        <v/>
      </c>
    </row>
    <row r="209">
      <c r="B209" s="11" t="n"/>
      <c r="C209" s="8" t="n"/>
      <c r="D209" s="8" t="n"/>
      <c r="E209" s="8" t="n"/>
      <c r="F209" s="20" t="n"/>
      <c r="G209" s="20" t="n"/>
      <c r="H209" s="8" t="n"/>
      <c r="I209" s="20" t="n"/>
      <c r="J209" s="21">
        <f>IF(B209="","",F209+G209)</f>
        <v/>
      </c>
      <c r="K209" s="21">
        <f>IF(B209="","",J209*(Settings!$C$11+Settings!$C$12+Settings!$C$14)+IF(C209="",Settings!$C$13,IF(COUNTIF($C$5:C209,C209)=1,Settings!$C$13,0))+E209*Settings!$C$15+IF(H209="Yes",J209*Settings!$C$16,0))</f>
        <v/>
      </c>
      <c r="L209" s="21">
        <f>IF(B209="","",IF(Settings!$C$5="Yes",0,K209*Settings!$C$17))</f>
        <v/>
      </c>
      <c r="M209" s="21">
        <f>IF(B209="","",E209*IFERROR(VLOOKUP(D209,Products!$B$5:$F$204,5,FALSE),0))</f>
        <v/>
      </c>
      <c r="N209" s="21">
        <f>IF(B209="","",J209-K209-L209-M209-I209)</f>
        <v/>
      </c>
    </row>
    <row r="210">
      <c r="B210" s="11" t="n"/>
      <c r="C210" s="8" t="n"/>
      <c r="D210" s="8" t="n"/>
      <c r="E210" s="8" t="n"/>
      <c r="F210" s="20" t="n"/>
      <c r="G210" s="20" t="n"/>
      <c r="H210" s="8" t="n"/>
      <c r="I210" s="20" t="n"/>
      <c r="J210" s="21">
        <f>IF(B210="","",F210+G210)</f>
        <v/>
      </c>
      <c r="K210" s="21">
        <f>IF(B210="","",J210*(Settings!$C$11+Settings!$C$12+Settings!$C$14)+IF(C210="",Settings!$C$13,IF(COUNTIF($C$5:C210,C210)=1,Settings!$C$13,0))+E210*Settings!$C$15+IF(H210="Yes",J210*Settings!$C$16,0))</f>
        <v/>
      </c>
      <c r="L210" s="21">
        <f>IF(B210="","",IF(Settings!$C$5="Yes",0,K210*Settings!$C$17))</f>
        <v/>
      </c>
      <c r="M210" s="21">
        <f>IF(B210="","",E210*IFERROR(VLOOKUP(D210,Products!$B$5:$F$204,5,FALSE),0))</f>
        <v/>
      </c>
      <c r="N210" s="21">
        <f>IF(B210="","",J210-K210-L210-M210-I210)</f>
        <v/>
      </c>
    </row>
    <row r="211">
      <c r="B211" s="11" t="n"/>
      <c r="C211" s="8" t="n"/>
      <c r="D211" s="8" t="n"/>
      <c r="E211" s="8" t="n"/>
      <c r="F211" s="20" t="n"/>
      <c r="G211" s="20" t="n"/>
      <c r="H211" s="8" t="n"/>
      <c r="I211" s="20" t="n"/>
      <c r="J211" s="21">
        <f>IF(B211="","",F211+G211)</f>
        <v/>
      </c>
      <c r="K211" s="21">
        <f>IF(B211="","",J211*(Settings!$C$11+Settings!$C$12+Settings!$C$14)+IF(C211="",Settings!$C$13,IF(COUNTIF($C$5:C211,C211)=1,Settings!$C$13,0))+E211*Settings!$C$15+IF(H211="Yes",J211*Settings!$C$16,0))</f>
        <v/>
      </c>
      <c r="L211" s="21">
        <f>IF(B211="","",IF(Settings!$C$5="Yes",0,K211*Settings!$C$17))</f>
        <v/>
      </c>
      <c r="M211" s="21">
        <f>IF(B211="","",E211*IFERROR(VLOOKUP(D211,Products!$B$5:$F$204,5,FALSE),0))</f>
        <v/>
      </c>
      <c r="N211" s="21">
        <f>IF(B211="","",J211-K211-L211-M211-I211)</f>
        <v/>
      </c>
    </row>
    <row r="212">
      <c r="B212" s="11" t="n"/>
      <c r="C212" s="8" t="n"/>
      <c r="D212" s="8" t="n"/>
      <c r="E212" s="8" t="n"/>
      <c r="F212" s="20" t="n"/>
      <c r="G212" s="20" t="n"/>
      <c r="H212" s="8" t="n"/>
      <c r="I212" s="20" t="n"/>
      <c r="J212" s="21">
        <f>IF(B212="","",F212+G212)</f>
        <v/>
      </c>
      <c r="K212" s="21">
        <f>IF(B212="","",J212*(Settings!$C$11+Settings!$C$12+Settings!$C$14)+IF(C212="",Settings!$C$13,IF(COUNTIF($C$5:C212,C212)=1,Settings!$C$13,0))+E212*Settings!$C$15+IF(H212="Yes",J212*Settings!$C$16,0))</f>
        <v/>
      </c>
      <c r="L212" s="21">
        <f>IF(B212="","",IF(Settings!$C$5="Yes",0,K212*Settings!$C$17))</f>
        <v/>
      </c>
      <c r="M212" s="21">
        <f>IF(B212="","",E212*IFERROR(VLOOKUP(D212,Products!$B$5:$F$204,5,FALSE),0))</f>
        <v/>
      </c>
      <c r="N212" s="21">
        <f>IF(B212="","",J212-K212-L212-M212-I212)</f>
        <v/>
      </c>
    </row>
    <row r="213">
      <c r="B213" s="11" t="n"/>
      <c r="C213" s="8" t="n"/>
      <c r="D213" s="8" t="n"/>
      <c r="E213" s="8" t="n"/>
      <c r="F213" s="20" t="n"/>
      <c r="G213" s="20" t="n"/>
      <c r="H213" s="8" t="n"/>
      <c r="I213" s="20" t="n"/>
      <c r="J213" s="21">
        <f>IF(B213="","",F213+G213)</f>
        <v/>
      </c>
      <c r="K213" s="21">
        <f>IF(B213="","",J213*(Settings!$C$11+Settings!$C$12+Settings!$C$14)+IF(C213="",Settings!$C$13,IF(COUNTIF($C$5:C213,C213)=1,Settings!$C$13,0))+E213*Settings!$C$15+IF(H213="Yes",J213*Settings!$C$16,0))</f>
        <v/>
      </c>
      <c r="L213" s="21">
        <f>IF(B213="","",IF(Settings!$C$5="Yes",0,K213*Settings!$C$17))</f>
        <v/>
      </c>
      <c r="M213" s="21">
        <f>IF(B213="","",E213*IFERROR(VLOOKUP(D213,Products!$B$5:$F$204,5,FALSE),0))</f>
        <v/>
      </c>
      <c r="N213" s="21">
        <f>IF(B213="","",J213-K213-L213-M213-I213)</f>
        <v/>
      </c>
    </row>
    <row r="214">
      <c r="B214" s="11" t="n"/>
      <c r="C214" s="8" t="n"/>
      <c r="D214" s="8" t="n"/>
      <c r="E214" s="8" t="n"/>
      <c r="F214" s="20" t="n"/>
      <c r="G214" s="20" t="n"/>
      <c r="H214" s="8" t="n"/>
      <c r="I214" s="20" t="n"/>
      <c r="J214" s="21">
        <f>IF(B214="","",F214+G214)</f>
        <v/>
      </c>
      <c r="K214" s="21">
        <f>IF(B214="","",J214*(Settings!$C$11+Settings!$C$12+Settings!$C$14)+IF(C214="",Settings!$C$13,IF(COUNTIF($C$5:C214,C214)=1,Settings!$C$13,0))+E214*Settings!$C$15+IF(H214="Yes",J214*Settings!$C$16,0))</f>
        <v/>
      </c>
      <c r="L214" s="21">
        <f>IF(B214="","",IF(Settings!$C$5="Yes",0,K214*Settings!$C$17))</f>
        <v/>
      </c>
      <c r="M214" s="21">
        <f>IF(B214="","",E214*IFERROR(VLOOKUP(D214,Products!$B$5:$F$204,5,FALSE),0))</f>
        <v/>
      </c>
      <c r="N214" s="21">
        <f>IF(B214="","",J214-K214-L214-M214-I214)</f>
        <v/>
      </c>
    </row>
    <row r="215">
      <c r="B215" s="11" t="n"/>
      <c r="C215" s="8" t="n"/>
      <c r="D215" s="8" t="n"/>
      <c r="E215" s="8" t="n"/>
      <c r="F215" s="20" t="n"/>
      <c r="G215" s="20" t="n"/>
      <c r="H215" s="8" t="n"/>
      <c r="I215" s="20" t="n"/>
      <c r="J215" s="21">
        <f>IF(B215="","",F215+G215)</f>
        <v/>
      </c>
      <c r="K215" s="21">
        <f>IF(B215="","",J215*(Settings!$C$11+Settings!$C$12+Settings!$C$14)+IF(C215="",Settings!$C$13,IF(COUNTIF($C$5:C215,C215)=1,Settings!$C$13,0))+E215*Settings!$C$15+IF(H215="Yes",J215*Settings!$C$16,0))</f>
        <v/>
      </c>
      <c r="L215" s="21">
        <f>IF(B215="","",IF(Settings!$C$5="Yes",0,K215*Settings!$C$17))</f>
        <v/>
      </c>
      <c r="M215" s="21">
        <f>IF(B215="","",E215*IFERROR(VLOOKUP(D215,Products!$B$5:$F$204,5,FALSE),0))</f>
        <v/>
      </c>
      <c r="N215" s="21">
        <f>IF(B215="","",J215-K215-L215-M215-I215)</f>
        <v/>
      </c>
    </row>
    <row r="216">
      <c r="B216" s="11" t="n"/>
      <c r="C216" s="8" t="n"/>
      <c r="D216" s="8" t="n"/>
      <c r="E216" s="8" t="n"/>
      <c r="F216" s="20" t="n"/>
      <c r="G216" s="20" t="n"/>
      <c r="H216" s="8" t="n"/>
      <c r="I216" s="20" t="n"/>
      <c r="J216" s="21">
        <f>IF(B216="","",F216+G216)</f>
        <v/>
      </c>
      <c r="K216" s="21">
        <f>IF(B216="","",J216*(Settings!$C$11+Settings!$C$12+Settings!$C$14)+IF(C216="",Settings!$C$13,IF(COUNTIF($C$5:C216,C216)=1,Settings!$C$13,0))+E216*Settings!$C$15+IF(H216="Yes",J216*Settings!$C$16,0))</f>
        <v/>
      </c>
      <c r="L216" s="21">
        <f>IF(B216="","",IF(Settings!$C$5="Yes",0,K216*Settings!$C$17))</f>
        <v/>
      </c>
      <c r="M216" s="21">
        <f>IF(B216="","",E216*IFERROR(VLOOKUP(D216,Products!$B$5:$F$204,5,FALSE),0))</f>
        <v/>
      </c>
      <c r="N216" s="21">
        <f>IF(B216="","",J216-K216-L216-M216-I216)</f>
        <v/>
      </c>
    </row>
    <row r="217">
      <c r="B217" s="11" t="n"/>
      <c r="C217" s="8" t="n"/>
      <c r="D217" s="8" t="n"/>
      <c r="E217" s="8" t="n"/>
      <c r="F217" s="20" t="n"/>
      <c r="G217" s="20" t="n"/>
      <c r="H217" s="8" t="n"/>
      <c r="I217" s="20" t="n"/>
      <c r="J217" s="21">
        <f>IF(B217="","",F217+G217)</f>
        <v/>
      </c>
      <c r="K217" s="21">
        <f>IF(B217="","",J217*(Settings!$C$11+Settings!$C$12+Settings!$C$14)+IF(C217="",Settings!$C$13,IF(COUNTIF($C$5:C217,C217)=1,Settings!$C$13,0))+E217*Settings!$C$15+IF(H217="Yes",J217*Settings!$C$16,0))</f>
        <v/>
      </c>
      <c r="L217" s="21">
        <f>IF(B217="","",IF(Settings!$C$5="Yes",0,K217*Settings!$C$17))</f>
        <v/>
      </c>
      <c r="M217" s="21">
        <f>IF(B217="","",E217*IFERROR(VLOOKUP(D217,Products!$B$5:$F$204,5,FALSE),0))</f>
        <v/>
      </c>
      <c r="N217" s="21">
        <f>IF(B217="","",J217-K217-L217-M217-I217)</f>
        <v/>
      </c>
    </row>
    <row r="218">
      <c r="B218" s="11" t="n"/>
      <c r="C218" s="8" t="n"/>
      <c r="D218" s="8" t="n"/>
      <c r="E218" s="8" t="n"/>
      <c r="F218" s="20" t="n"/>
      <c r="G218" s="20" t="n"/>
      <c r="H218" s="8" t="n"/>
      <c r="I218" s="20" t="n"/>
      <c r="J218" s="21">
        <f>IF(B218="","",F218+G218)</f>
        <v/>
      </c>
      <c r="K218" s="21">
        <f>IF(B218="","",J218*(Settings!$C$11+Settings!$C$12+Settings!$C$14)+IF(C218="",Settings!$C$13,IF(COUNTIF($C$5:C218,C218)=1,Settings!$C$13,0))+E218*Settings!$C$15+IF(H218="Yes",J218*Settings!$C$16,0))</f>
        <v/>
      </c>
      <c r="L218" s="21">
        <f>IF(B218="","",IF(Settings!$C$5="Yes",0,K218*Settings!$C$17))</f>
        <v/>
      </c>
      <c r="M218" s="21">
        <f>IF(B218="","",E218*IFERROR(VLOOKUP(D218,Products!$B$5:$F$204,5,FALSE),0))</f>
        <v/>
      </c>
      <c r="N218" s="21">
        <f>IF(B218="","",J218-K218-L218-M218-I218)</f>
        <v/>
      </c>
    </row>
    <row r="219">
      <c r="B219" s="11" t="n"/>
      <c r="C219" s="8" t="n"/>
      <c r="D219" s="8" t="n"/>
      <c r="E219" s="8" t="n"/>
      <c r="F219" s="20" t="n"/>
      <c r="G219" s="20" t="n"/>
      <c r="H219" s="8" t="n"/>
      <c r="I219" s="20" t="n"/>
      <c r="J219" s="21">
        <f>IF(B219="","",F219+G219)</f>
        <v/>
      </c>
      <c r="K219" s="21">
        <f>IF(B219="","",J219*(Settings!$C$11+Settings!$C$12+Settings!$C$14)+IF(C219="",Settings!$C$13,IF(COUNTIF($C$5:C219,C219)=1,Settings!$C$13,0))+E219*Settings!$C$15+IF(H219="Yes",J219*Settings!$C$16,0))</f>
        <v/>
      </c>
      <c r="L219" s="21">
        <f>IF(B219="","",IF(Settings!$C$5="Yes",0,K219*Settings!$C$17))</f>
        <v/>
      </c>
      <c r="M219" s="21">
        <f>IF(B219="","",E219*IFERROR(VLOOKUP(D219,Products!$B$5:$F$204,5,FALSE),0))</f>
        <v/>
      </c>
      <c r="N219" s="21">
        <f>IF(B219="","",J219-K219-L219-M219-I219)</f>
        <v/>
      </c>
    </row>
    <row r="220">
      <c r="B220" s="11" t="n"/>
      <c r="C220" s="8" t="n"/>
      <c r="D220" s="8" t="n"/>
      <c r="E220" s="8" t="n"/>
      <c r="F220" s="20" t="n"/>
      <c r="G220" s="20" t="n"/>
      <c r="H220" s="8" t="n"/>
      <c r="I220" s="20" t="n"/>
      <c r="J220" s="21">
        <f>IF(B220="","",F220+G220)</f>
        <v/>
      </c>
      <c r="K220" s="21">
        <f>IF(B220="","",J220*(Settings!$C$11+Settings!$C$12+Settings!$C$14)+IF(C220="",Settings!$C$13,IF(COUNTIF($C$5:C220,C220)=1,Settings!$C$13,0))+E220*Settings!$C$15+IF(H220="Yes",J220*Settings!$C$16,0))</f>
        <v/>
      </c>
      <c r="L220" s="21">
        <f>IF(B220="","",IF(Settings!$C$5="Yes",0,K220*Settings!$C$17))</f>
        <v/>
      </c>
      <c r="M220" s="21">
        <f>IF(B220="","",E220*IFERROR(VLOOKUP(D220,Products!$B$5:$F$204,5,FALSE),0))</f>
        <v/>
      </c>
      <c r="N220" s="21">
        <f>IF(B220="","",J220-K220-L220-M220-I220)</f>
        <v/>
      </c>
    </row>
    <row r="221">
      <c r="B221" s="11" t="n"/>
      <c r="C221" s="8" t="n"/>
      <c r="D221" s="8" t="n"/>
      <c r="E221" s="8" t="n"/>
      <c r="F221" s="20" t="n"/>
      <c r="G221" s="20" t="n"/>
      <c r="H221" s="8" t="n"/>
      <c r="I221" s="20" t="n"/>
      <c r="J221" s="21">
        <f>IF(B221="","",F221+G221)</f>
        <v/>
      </c>
      <c r="K221" s="21">
        <f>IF(B221="","",J221*(Settings!$C$11+Settings!$C$12+Settings!$C$14)+IF(C221="",Settings!$C$13,IF(COUNTIF($C$5:C221,C221)=1,Settings!$C$13,0))+E221*Settings!$C$15+IF(H221="Yes",J221*Settings!$C$16,0))</f>
        <v/>
      </c>
      <c r="L221" s="21">
        <f>IF(B221="","",IF(Settings!$C$5="Yes",0,K221*Settings!$C$17))</f>
        <v/>
      </c>
      <c r="M221" s="21">
        <f>IF(B221="","",E221*IFERROR(VLOOKUP(D221,Products!$B$5:$F$204,5,FALSE),0))</f>
        <v/>
      </c>
      <c r="N221" s="21">
        <f>IF(B221="","",J221-K221-L221-M221-I221)</f>
        <v/>
      </c>
    </row>
    <row r="222">
      <c r="B222" s="11" t="n"/>
      <c r="C222" s="8" t="n"/>
      <c r="D222" s="8" t="n"/>
      <c r="E222" s="8" t="n"/>
      <c r="F222" s="20" t="n"/>
      <c r="G222" s="20" t="n"/>
      <c r="H222" s="8" t="n"/>
      <c r="I222" s="20" t="n"/>
      <c r="J222" s="21">
        <f>IF(B222="","",F222+G222)</f>
        <v/>
      </c>
      <c r="K222" s="21">
        <f>IF(B222="","",J222*(Settings!$C$11+Settings!$C$12+Settings!$C$14)+IF(C222="",Settings!$C$13,IF(COUNTIF($C$5:C222,C222)=1,Settings!$C$13,0))+E222*Settings!$C$15+IF(H222="Yes",J222*Settings!$C$16,0))</f>
        <v/>
      </c>
      <c r="L222" s="21">
        <f>IF(B222="","",IF(Settings!$C$5="Yes",0,K222*Settings!$C$17))</f>
        <v/>
      </c>
      <c r="M222" s="21">
        <f>IF(B222="","",E222*IFERROR(VLOOKUP(D222,Products!$B$5:$F$204,5,FALSE),0))</f>
        <v/>
      </c>
      <c r="N222" s="21">
        <f>IF(B222="","",J222-K222-L222-M222-I222)</f>
        <v/>
      </c>
    </row>
    <row r="223">
      <c r="B223" s="11" t="n"/>
      <c r="C223" s="8" t="n"/>
      <c r="D223" s="8" t="n"/>
      <c r="E223" s="8" t="n"/>
      <c r="F223" s="20" t="n"/>
      <c r="G223" s="20" t="n"/>
      <c r="H223" s="8" t="n"/>
      <c r="I223" s="20" t="n"/>
      <c r="J223" s="21">
        <f>IF(B223="","",F223+G223)</f>
        <v/>
      </c>
      <c r="K223" s="21">
        <f>IF(B223="","",J223*(Settings!$C$11+Settings!$C$12+Settings!$C$14)+IF(C223="",Settings!$C$13,IF(COUNTIF($C$5:C223,C223)=1,Settings!$C$13,0))+E223*Settings!$C$15+IF(H223="Yes",J223*Settings!$C$16,0))</f>
        <v/>
      </c>
      <c r="L223" s="21">
        <f>IF(B223="","",IF(Settings!$C$5="Yes",0,K223*Settings!$C$17))</f>
        <v/>
      </c>
      <c r="M223" s="21">
        <f>IF(B223="","",E223*IFERROR(VLOOKUP(D223,Products!$B$5:$F$204,5,FALSE),0))</f>
        <v/>
      </c>
      <c r="N223" s="21">
        <f>IF(B223="","",J223-K223-L223-M223-I223)</f>
        <v/>
      </c>
    </row>
    <row r="224">
      <c r="B224" s="11" t="n"/>
      <c r="C224" s="8" t="n"/>
      <c r="D224" s="8" t="n"/>
      <c r="E224" s="8" t="n"/>
      <c r="F224" s="20" t="n"/>
      <c r="G224" s="20" t="n"/>
      <c r="H224" s="8" t="n"/>
      <c r="I224" s="20" t="n"/>
      <c r="J224" s="21">
        <f>IF(B224="","",F224+G224)</f>
        <v/>
      </c>
      <c r="K224" s="21">
        <f>IF(B224="","",J224*(Settings!$C$11+Settings!$C$12+Settings!$C$14)+IF(C224="",Settings!$C$13,IF(COUNTIF($C$5:C224,C224)=1,Settings!$C$13,0))+E224*Settings!$C$15+IF(H224="Yes",J224*Settings!$C$16,0))</f>
        <v/>
      </c>
      <c r="L224" s="21">
        <f>IF(B224="","",IF(Settings!$C$5="Yes",0,K224*Settings!$C$17))</f>
        <v/>
      </c>
      <c r="M224" s="21">
        <f>IF(B224="","",E224*IFERROR(VLOOKUP(D224,Products!$B$5:$F$204,5,FALSE),0))</f>
        <v/>
      </c>
      <c r="N224" s="21">
        <f>IF(B224="","",J224-K224-L224-M224-I224)</f>
        <v/>
      </c>
    </row>
    <row r="225">
      <c r="B225" s="11" t="n"/>
      <c r="C225" s="8" t="n"/>
      <c r="D225" s="8" t="n"/>
      <c r="E225" s="8" t="n"/>
      <c r="F225" s="20" t="n"/>
      <c r="G225" s="20" t="n"/>
      <c r="H225" s="8" t="n"/>
      <c r="I225" s="20" t="n"/>
      <c r="J225" s="21">
        <f>IF(B225="","",F225+G225)</f>
        <v/>
      </c>
      <c r="K225" s="21">
        <f>IF(B225="","",J225*(Settings!$C$11+Settings!$C$12+Settings!$C$14)+IF(C225="",Settings!$C$13,IF(COUNTIF($C$5:C225,C225)=1,Settings!$C$13,0))+E225*Settings!$C$15+IF(H225="Yes",J225*Settings!$C$16,0))</f>
        <v/>
      </c>
      <c r="L225" s="21">
        <f>IF(B225="","",IF(Settings!$C$5="Yes",0,K225*Settings!$C$17))</f>
        <v/>
      </c>
      <c r="M225" s="21">
        <f>IF(B225="","",E225*IFERROR(VLOOKUP(D225,Products!$B$5:$F$204,5,FALSE),0))</f>
        <v/>
      </c>
      <c r="N225" s="21">
        <f>IF(B225="","",J225-K225-L225-M225-I225)</f>
        <v/>
      </c>
    </row>
    <row r="226">
      <c r="B226" s="11" t="n"/>
      <c r="C226" s="8" t="n"/>
      <c r="D226" s="8" t="n"/>
      <c r="E226" s="8" t="n"/>
      <c r="F226" s="20" t="n"/>
      <c r="G226" s="20" t="n"/>
      <c r="H226" s="8" t="n"/>
      <c r="I226" s="20" t="n"/>
      <c r="J226" s="21">
        <f>IF(B226="","",F226+G226)</f>
        <v/>
      </c>
      <c r="K226" s="21">
        <f>IF(B226="","",J226*(Settings!$C$11+Settings!$C$12+Settings!$C$14)+IF(C226="",Settings!$C$13,IF(COUNTIF($C$5:C226,C226)=1,Settings!$C$13,0))+E226*Settings!$C$15+IF(H226="Yes",J226*Settings!$C$16,0))</f>
        <v/>
      </c>
      <c r="L226" s="21">
        <f>IF(B226="","",IF(Settings!$C$5="Yes",0,K226*Settings!$C$17))</f>
        <v/>
      </c>
      <c r="M226" s="21">
        <f>IF(B226="","",E226*IFERROR(VLOOKUP(D226,Products!$B$5:$F$204,5,FALSE),0))</f>
        <v/>
      </c>
      <c r="N226" s="21">
        <f>IF(B226="","",J226-K226-L226-M226-I226)</f>
        <v/>
      </c>
    </row>
    <row r="227">
      <c r="B227" s="11" t="n"/>
      <c r="C227" s="8" t="n"/>
      <c r="D227" s="8" t="n"/>
      <c r="E227" s="8" t="n"/>
      <c r="F227" s="20" t="n"/>
      <c r="G227" s="20" t="n"/>
      <c r="H227" s="8" t="n"/>
      <c r="I227" s="20" t="n"/>
      <c r="J227" s="21">
        <f>IF(B227="","",F227+G227)</f>
        <v/>
      </c>
      <c r="K227" s="21">
        <f>IF(B227="","",J227*(Settings!$C$11+Settings!$C$12+Settings!$C$14)+IF(C227="",Settings!$C$13,IF(COUNTIF($C$5:C227,C227)=1,Settings!$C$13,0))+E227*Settings!$C$15+IF(H227="Yes",J227*Settings!$C$16,0))</f>
        <v/>
      </c>
      <c r="L227" s="21">
        <f>IF(B227="","",IF(Settings!$C$5="Yes",0,K227*Settings!$C$17))</f>
        <v/>
      </c>
      <c r="M227" s="21">
        <f>IF(B227="","",E227*IFERROR(VLOOKUP(D227,Products!$B$5:$F$204,5,FALSE),0))</f>
        <v/>
      </c>
      <c r="N227" s="21">
        <f>IF(B227="","",J227-K227-L227-M227-I227)</f>
        <v/>
      </c>
    </row>
    <row r="228">
      <c r="B228" s="11" t="n"/>
      <c r="C228" s="8" t="n"/>
      <c r="D228" s="8" t="n"/>
      <c r="E228" s="8" t="n"/>
      <c r="F228" s="20" t="n"/>
      <c r="G228" s="20" t="n"/>
      <c r="H228" s="8" t="n"/>
      <c r="I228" s="20" t="n"/>
      <c r="J228" s="21">
        <f>IF(B228="","",F228+G228)</f>
        <v/>
      </c>
      <c r="K228" s="21">
        <f>IF(B228="","",J228*(Settings!$C$11+Settings!$C$12+Settings!$C$14)+IF(C228="",Settings!$C$13,IF(COUNTIF($C$5:C228,C228)=1,Settings!$C$13,0))+E228*Settings!$C$15+IF(H228="Yes",J228*Settings!$C$16,0))</f>
        <v/>
      </c>
      <c r="L228" s="21">
        <f>IF(B228="","",IF(Settings!$C$5="Yes",0,K228*Settings!$C$17))</f>
        <v/>
      </c>
      <c r="M228" s="21">
        <f>IF(B228="","",E228*IFERROR(VLOOKUP(D228,Products!$B$5:$F$204,5,FALSE),0))</f>
        <v/>
      </c>
      <c r="N228" s="21">
        <f>IF(B228="","",J228-K228-L228-M228-I228)</f>
        <v/>
      </c>
    </row>
    <row r="229">
      <c r="B229" s="11" t="n"/>
      <c r="C229" s="8" t="n"/>
      <c r="D229" s="8" t="n"/>
      <c r="E229" s="8" t="n"/>
      <c r="F229" s="20" t="n"/>
      <c r="G229" s="20" t="n"/>
      <c r="H229" s="8" t="n"/>
      <c r="I229" s="20" t="n"/>
      <c r="J229" s="21">
        <f>IF(B229="","",F229+G229)</f>
        <v/>
      </c>
      <c r="K229" s="21">
        <f>IF(B229="","",J229*(Settings!$C$11+Settings!$C$12+Settings!$C$14)+IF(C229="",Settings!$C$13,IF(COUNTIF($C$5:C229,C229)=1,Settings!$C$13,0))+E229*Settings!$C$15+IF(H229="Yes",J229*Settings!$C$16,0))</f>
        <v/>
      </c>
      <c r="L229" s="21">
        <f>IF(B229="","",IF(Settings!$C$5="Yes",0,K229*Settings!$C$17))</f>
        <v/>
      </c>
      <c r="M229" s="21">
        <f>IF(B229="","",E229*IFERROR(VLOOKUP(D229,Products!$B$5:$F$204,5,FALSE),0))</f>
        <v/>
      </c>
      <c r="N229" s="21">
        <f>IF(B229="","",J229-K229-L229-M229-I229)</f>
        <v/>
      </c>
    </row>
    <row r="230">
      <c r="B230" s="11" t="n"/>
      <c r="C230" s="8" t="n"/>
      <c r="D230" s="8" t="n"/>
      <c r="E230" s="8" t="n"/>
      <c r="F230" s="20" t="n"/>
      <c r="G230" s="20" t="n"/>
      <c r="H230" s="8" t="n"/>
      <c r="I230" s="20" t="n"/>
      <c r="J230" s="21">
        <f>IF(B230="","",F230+G230)</f>
        <v/>
      </c>
      <c r="K230" s="21">
        <f>IF(B230="","",J230*(Settings!$C$11+Settings!$C$12+Settings!$C$14)+IF(C230="",Settings!$C$13,IF(COUNTIF($C$5:C230,C230)=1,Settings!$C$13,0))+E230*Settings!$C$15+IF(H230="Yes",J230*Settings!$C$16,0))</f>
        <v/>
      </c>
      <c r="L230" s="21">
        <f>IF(B230="","",IF(Settings!$C$5="Yes",0,K230*Settings!$C$17))</f>
        <v/>
      </c>
      <c r="M230" s="21">
        <f>IF(B230="","",E230*IFERROR(VLOOKUP(D230,Products!$B$5:$F$204,5,FALSE),0))</f>
        <v/>
      </c>
      <c r="N230" s="21">
        <f>IF(B230="","",J230-K230-L230-M230-I230)</f>
        <v/>
      </c>
    </row>
    <row r="231">
      <c r="B231" s="11" t="n"/>
      <c r="C231" s="8" t="n"/>
      <c r="D231" s="8" t="n"/>
      <c r="E231" s="8" t="n"/>
      <c r="F231" s="20" t="n"/>
      <c r="G231" s="20" t="n"/>
      <c r="H231" s="8" t="n"/>
      <c r="I231" s="20" t="n"/>
      <c r="J231" s="21">
        <f>IF(B231="","",F231+G231)</f>
        <v/>
      </c>
      <c r="K231" s="21">
        <f>IF(B231="","",J231*(Settings!$C$11+Settings!$C$12+Settings!$C$14)+IF(C231="",Settings!$C$13,IF(COUNTIF($C$5:C231,C231)=1,Settings!$C$13,0))+E231*Settings!$C$15+IF(H231="Yes",J231*Settings!$C$16,0))</f>
        <v/>
      </c>
      <c r="L231" s="21">
        <f>IF(B231="","",IF(Settings!$C$5="Yes",0,K231*Settings!$C$17))</f>
        <v/>
      </c>
      <c r="M231" s="21">
        <f>IF(B231="","",E231*IFERROR(VLOOKUP(D231,Products!$B$5:$F$204,5,FALSE),0))</f>
        <v/>
      </c>
      <c r="N231" s="21">
        <f>IF(B231="","",J231-K231-L231-M231-I231)</f>
        <v/>
      </c>
    </row>
    <row r="232">
      <c r="B232" s="11" t="n"/>
      <c r="C232" s="8" t="n"/>
      <c r="D232" s="8" t="n"/>
      <c r="E232" s="8" t="n"/>
      <c r="F232" s="20" t="n"/>
      <c r="G232" s="20" t="n"/>
      <c r="H232" s="8" t="n"/>
      <c r="I232" s="20" t="n"/>
      <c r="J232" s="21">
        <f>IF(B232="","",F232+G232)</f>
        <v/>
      </c>
      <c r="K232" s="21">
        <f>IF(B232="","",J232*(Settings!$C$11+Settings!$C$12+Settings!$C$14)+IF(C232="",Settings!$C$13,IF(COUNTIF($C$5:C232,C232)=1,Settings!$C$13,0))+E232*Settings!$C$15+IF(H232="Yes",J232*Settings!$C$16,0))</f>
        <v/>
      </c>
      <c r="L232" s="21">
        <f>IF(B232="","",IF(Settings!$C$5="Yes",0,K232*Settings!$C$17))</f>
        <v/>
      </c>
      <c r="M232" s="21">
        <f>IF(B232="","",E232*IFERROR(VLOOKUP(D232,Products!$B$5:$F$204,5,FALSE),0))</f>
        <v/>
      </c>
      <c r="N232" s="21">
        <f>IF(B232="","",J232-K232-L232-M232-I232)</f>
        <v/>
      </c>
    </row>
    <row r="233">
      <c r="B233" s="11" t="n"/>
      <c r="C233" s="8" t="n"/>
      <c r="D233" s="8" t="n"/>
      <c r="E233" s="8" t="n"/>
      <c r="F233" s="20" t="n"/>
      <c r="G233" s="20" t="n"/>
      <c r="H233" s="8" t="n"/>
      <c r="I233" s="20" t="n"/>
      <c r="J233" s="21">
        <f>IF(B233="","",F233+G233)</f>
        <v/>
      </c>
      <c r="K233" s="21">
        <f>IF(B233="","",J233*(Settings!$C$11+Settings!$C$12+Settings!$C$14)+IF(C233="",Settings!$C$13,IF(COUNTIF($C$5:C233,C233)=1,Settings!$C$13,0))+E233*Settings!$C$15+IF(H233="Yes",J233*Settings!$C$16,0))</f>
        <v/>
      </c>
      <c r="L233" s="21">
        <f>IF(B233="","",IF(Settings!$C$5="Yes",0,K233*Settings!$C$17))</f>
        <v/>
      </c>
      <c r="M233" s="21">
        <f>IF(B233="","",E233*IFERROR(VLOOKUP(D233,Products!$B$5:$F$204,5,FALSE),0))</f>
        <v/>
      </c>
      <c r="N233" s="21">
        <f>IF(B233="","",J233-K233-L233-M233-I233)</f>
        <v/>
      </c>
    </row>
    <row r="234">
      <c r="B234" s="11" t="n"/>
      <c r="C234" s="8" t="n"/>
      <c r="D234" s="8" t="n"/>
      <c r="E234" s="8" t="n"/>
      <c r="F234" s="20" t="n"/>
      <c r="G234" s="20" t="n"/>
      <c r="H234" s="8" t="n"/>
      <c r="I234" s="20" t="n"/>
      <c r="J234" s="21">
        <f>IF(B234="","",F234+G234)</f>
        <v/>
      </c>
      <c r="K234" s="21">
        <f>IF(B234="","",J234*(Settings!$C$11+Settings!$C$12+Settings!$C$14)+IF(C234="",Settings!$C$13,IF(COUNTIF($C$5:C234,C234)=1,Settings!$C$13,0))+E234*Settings!$C$15+IF(H234="Yes",J234*Settings!$C$16,0))</f>
        <v/>
      </c>
      <c r="L234" s="21">
        <f>IF(B234="","",IF(Settings!$C$5="Yes",0,K234*Settings!$C$17))</f>
        <v/>
      </c>
      <c r="M234" s="21">
        <f>IF(B234="","",E234*IFERROR(VLOOKUP(D234,Products!$B$5:$F$204,5,FALSE),0))</f>
        <v/>
      </c>
      <c r="N234" s="21">
        <f>IF(B234="","",J234-K234-L234-M234-I234)</f>
        <v/>
      </c>
    </row>
    <row r="235">
      <c r="B235" s="11" t="n"/>
      <c r="C235" s="8" t="n"/>
      <c r="D235" s="8" t="n"/>
      <c r="E235" s="8" t="n"/>
      <c r="F235" s="20" t="n"/>
      <c r="G235" s="20" t="n"/>
      <c r="H235" s="8" t="n"/>
      <c r="I235" s="20" t="n"/>
      <c r="J235" s="21">
        <f>IF(B235="","",F235+G235)</f>
        <v/>
      </c>
      <c r="K235" s="21">
        <f>IF(B235="","",J235*(Settings!$C$11+Settings!$C$12+Settings!$C$14)+IF(C235="",Settings!$C$13,IF(COUNTIF($C$5:C235,C235)=1,Settings!$C$13,0))+E235*Settings!$C$15+IF(H235="Yes",J235*Settings!$C$16,0))</f>
        <v/>
      </c>
      <c r="L235" s="21">
        <f>IF(B235="","",IF(Settings!$C$5="Yes",0,K235*Settings!$C$17))</f>
        <v/>
      </c>
      <c r="M235" s="21">
        <f>IF(B235="","",E235*IFERROR(VLOOKUP(D235,Products!$B$5:$F$204,5,FALSE),0))</f>
        <v/>
      </c>
      <c r="N235" s="21">
        <f>IF(B235="","",J235-K235-L235-M235-I235)</f>
        <v/>
      </c>
    </row>
    <row r="236">
      <c r="B236" s="11" t="n"/>
      <c r="C236" s="8" t="n"/>
      <c r="D236" s="8" t="n"/>
      <c r="E236" s="8" t="n"/>
      <c r="F236" s="20" t="n"/>
      <c r="G236" s="20" t="n"/>
      <c r="H236" s="8" t="n"/>
      <c r="I236" s="20" t="n"/>
      <c r="J236" s="21">
        <f>IF(B236="","",F236+G236)</f>
        <v/>
      </c>
      <c r="K236" s="21">
        <f>IF(B236="","",J236*(Settings!$C$11+Settings!$C$12+Settings!$C$14)+IF(C236="",Settings!$C$13,IF(COUNTIF($C$5:C236,C236)=1,Settings!$C$13,0))+E236*Settings!$C$15+IF(H236="Yes",J236*Settings!$C$16,0))</f>
        <v/>
      </c>
      <c r="L236" s="21">
        <f>IF(B236="","",IF(Settings!$C$5="Yes",0,K236*Settings!$C$17))</f>
        <v/>
      </c>
      <c r="M236" s="21">
        <f>IF(B236="","",E236*IFERROR(VLOOKUP(D236,Products!$B$5:$F$204,5,FALSE),0))</f>
        <v/>
      </c>
      <c r="N236" s="21">
        <f>IF(B236="","",J236-K236-L236-M236-I236)</f>
        <v/>
      </c>
    </row>
    <row r="237">
      <c r="B237" s="11" t="n"/>
      <c r="C237" s="8" t="n"/>
      <c r="D237" s="8" t="n"/>
      <c r="E237" s="8" t="n"/>
      <c r="F237" s="20" t="n"/>
      <c r="G237" s="20" t="n"/>
      <c r="H237" s="8" t="n"/>
      <c r="I237" s="20" t="n"/>
      <c r="J237" s="21">
        <f>IF(B237="","",F237+G237)</f>
        <v/>
      </c>
      <c r="K237" s="21">
        <f>IF(B237="","",J237*(Settings!$C$11+Settings!$C$12+Settings!$C$14)+IF(C237="",Settings!$C$13,IF(COUNTIF($C$5:C237,C237)=1,Settings!$C$13,0))+E237*Settings!$C$15+IF(H237="Yes",J237*Settings!$C$16,0))</f>
        <v/>
      </c>
      <c r="L237" s="21">
        <f>IF(B237="","",IF(Settings!$C$5="Yes",0,K237*Settings!$C$17))</f>
        <v/>
      </c>
      <c r="M237" s="21">
        <f>IF(B237="","",E237*IFERROR(VLOOKUP(D237,Products!$B$5:$F$204,5,FALSE),0))</f>
        <v/>
      </c>
      <c r="N237" s="21">
        <f>IF(B237="","",J237-K237-L237-M237-I237)</f>
        <v/>
      </c>
    </row>
    <row r="238">
      <c r="B238" s="11" t="n"/>
      <c r="C238" s="8" t="n"/>
      <c r="D238" s="8" t="n"/>
      <c r="E238" s="8" t="n"/>
      <c r="F238" s="20" t="n"/>
      <c r="G238" s="20" t="n"/>
      <c r="H238" s="8" t="n"/>
      <c r="I238" s="20" t="n"/>
      <c r="J238" s="21">
        <f>IF(B238="","",F238+G238)</f>
        <v/>
      </c>
      <c r="K238" s="21">
        <f>IF(B238="","",J238*(Settings!$C$11+Settings!$C$12+Settings!$C$14)+IF(C238="",Settings!$C$13,IF(COUNTIF($C$5:C238,C238)=1,Settings!$C$13,0))+E238*Settings!$C$15+IF(H238="Yes",J238*Settings!$C$16,0))</f>
        <v/>
      </c>
      <c r="L238" s="21">
        <f>IF(B238="","",IF(Settings!$C$5="Yes",0,K238*Settings!$C$17))</f>
        <v/>
      </c>
      <c r="M238" s="21">
        <f>IF(B238="","",E238*IFERROR(VLOOKUP(D238,Products!$B$5:$F$204,5,FALSE),0))</f>
        <v/>
      </c>
      <c r="N238" s="21">
        <f>IF(B238="","",J238-K238-L238-M238-I238)</f>
        <v/>
      </c>
    </row>
    <row r="239">
      <c r="B239" s="11" t="n"/>
      <c r="C239" s="8" t="n"/>
      <c r="D239" s="8" t="n"/>
      <c r="E239" s="8" t="n"/>
      <c r="F239" s="20" t="n"/>
      <c r="G239" s="20" t="n"/>
      <c r="H239" s="8" t="n"/>
      <c r="I239" s="20" t="n"/>
      <c r="J239" s="21">
        <f>IF(B239="","",F239+G239)</f>
        <v/>
      </c>
      <c r="K239" s="21">
        <f>IF(B239="","",J239*(Settings!$C$11+Settings!$C$12+Settings!$C$14)+IF(C239="",Settings!$C$13,IF(COUNTIF($C$5:C239,C239)=1,Settings!$C$13,0))+E239*Settings!$C$15+IF(H239="Yes",J239*Settings!$C$16,0))</f>
        <v/>
      </c>
      <c r="L239" s="21">
        <f>IF(B239="","",IF(Settings!$C$5="Yes",0,K239*Settings!$C$17))</f>
        <v/>
      </c>
      <c r="M239" s="21">
        <f>IF(B239="","",E239*IFERROR(VLOOKUP(D239,Products!$B$5:$F$204,5,FALSE),0))</f>
        <v/>
      </c>
      <c r="N239" s="21">
        <f>IF(B239="","",J239-K239-L239-M239-I239)</f>
        <v/>
      </c>
    </row>
    <row r="240">
      <c r="B240" s="11" t="n"/>
      <c r="C240" s="8" t="n"/>
      <c r="D240" s="8" t="n"/>
      <c r="E240" s="8" t="n"/>
      <c r="F240" s="20" t="n"/>
      <c r="G240" s="20" t="n"/>
      <c r="H240" s="8" t="n"/>
      <c r="I240" s="20" t="n"/>
      <c r="J240" s="21">
        <f>IF(B240="","",F240+G240)</f>
        <v/>
      </c>
      <c r="K240" s="21">
        <f>IF(B240="","",J240*(Settings!$C$11+Settings!$C$12+Settings!$C$14)+IF(C240="",Settings!$C$13,IF(COUNTIF($C$5:C240,C240)=1,Settings!$C$13,0))+E240*Settings!$C$15+IF(H240="Yes",J240*Settings!$C$16,0))</f>
        <v/>
      </c>
      <c r="L240" s="21">
        <f>IF(B240="","",IF(Settings!$C$5="Yes",0,K240*Settings!$C$17))</f>
        <v/>
      </c>
      <c r="M240" s="21">
        <f>IF(B240="","",E240*IFERROR(VLOOKUP(D240,Products!$B$5:$F$204,5,FALSE),0))</f>
        <v/>
      </c>
      <c r="N240" s="21">
        <f>IF(B240="","",J240-K240-L240-M240-I240)</f>
        <v/>
      </c>
    </row>
    <row r="241">
      <c r="B241" s="11" t="n"/>
      <c r="C241" s="8" t="n"/>
      <c r="D241" s="8" t="n"/>
      <c r="E241" s="8" t="n"/>
      <c r="F241" s="20" t="n"/>
      <c r="G241" s="20" t="n"/>
      <c r="H241" s="8" t="n"/>
      <c r="I241" s="20" t="n"/>
      <c r="J241" s="21">
        <f>IF(B241="","",F241+G241)</f>
        <v/>
      </c>
      <c r="K241" s="21">
        <f>IF(B241="","",J241*(Settings!$C$11+Settings!$C$12+Settings!$C$14)+IF(C241="",Settings!$C$13,IF(COUNTIF($C$5:C241,C241)=1,Settings!$C$13,0))+E241*Settings!$C$15+IF(H241="Yes",J241*Settings!$C$16,0))</f>
        <v/>
      </c>
      <c r="L241" s="21">
        <f>IF(B241="","",IF(Settings!$C$5="Yes",0,K241*Settings!$C$17))</f>
        <v/>
      </c>
      <c r="M241" s="21">
        <f>IF(B241="","",E241*IFERROR(VLOOKUP(D241,Products!$B$5:$F$204,5,FALSE),0))</f>
        <v/>
      </c>
      <c r="N241" s="21">
        <f>IF(B241="","",J241-K241-L241-M241-I241)</f>
        <v/>
      </c>
    </row>
    <row r="242">
      <c r="B242" s="11" t="n"/>
      <c r="C242" s="8" t="n"/>
      <c r="D242" s="8" t="n"/>
      <c r="E242" s="8" t="n"/>
      <c r="F242" s="20" t="n"/>
      <c r="G242" s="20" t="n"/>
      <c r="H242" s="8" t="n"/>
      <c r="I242" s="20" t="n"/>
      <c r="J242" s="21">
        <f>IF(B242="","",F242+G242)</f>
        <v/>
      </c>
      <c r="K242" s="21">
        <f>IF(B242="","",J242*(Settings!$C$11+Settings!$C$12+Settings!$C$14)+IF(C242="",Settings!$C$13,IF(COUNTIF($C$5:C242,C242)=1,Settings!$C$13,0))+E242*Settings!$C$15+IF(H242="Yes",J242*Settings!$C$16,0))</f>
        <v/>
      </c>
      <c r="L242" s="21">
        <f>IF(B242="","",IF(Settings!$C$5="Yes",0,K242*Settings!$C$17))</f>
        <v/>
      </c>
      <c r="M242" s="21">
        <f>IF(B242="","",E242*IFERROR(VLOOKUP(D242,Products!$B$5:$F$204,5,FALSE),0))</f>
        <v/>
      </c>
      <c r="N242" s="21">
        <f>IF(B242="","",J242-K242-L242-M242-I242)</f>
        <v/>
      </c>
    </row>
    <row r="243">
      <c r="B243" s="11" t="n"/>
      <c r="C243" s="8" t="n"/>
      <c r="D243" s="8" t="n"/>
      <c r="E243" s="8" t="n"/>
      <c r="F243" s="20" t="n"/>
      <c r="G243" s="20" t="n"/>
      <c r="H243" s="8" t="n"/>
      <c r="I243" s="20" t="n"/>
      <c r="J243" s="21">
        <f>IF(B243="","",F243+G243)</f>
        <v/>
      </c>
      <c r="K243" s="21">
        <f>IF(B243="","",J243*(Settings!$C$11+Settings!$C$12+Settings!$C$14)+IF(C243="",Settings!$C$13,IF(COUNTIF($C$5:C243,C243)=1,Settings!$C$13,0))+E243*Settings!$C$15+IF(H243="Yes",J243*Settings!$C$16,0))</f>
        <v/>
      </c>
      <c r="L243" s="21">
        <f>IF(B243="","",IF(Settings!$C$5="Yes",0,K243*Settings!$C$17))</f>
        <v/>
      </c>
      <c r="M243" s="21">
        <f>IF(B243="","",E243*IFERROR(VLOOKUP(D243,Products!$B$5:$F$204,5,FALSE),0))</f>
        <v/>
      </c>
      <c r="N243" s="21">
        <f>IF(B243="","",J243-K243-L243-M243-I243)</f>
        <v/>
      </c>
    </row>
    <row r="244">
      <c r="B244" s="11" t="n"/>
      <c r="C244" s="8" t="n"/>
      <c r="D244" s="8" t="n"/>
      <c r="E244" s="8" t="n"/>
      <c r="F244" s="20" t="n"/>
      <c r="G244" s="20" t="n"/>
      <c r="H244" s="8" t="n"/>
      <c r="I244" s="20" t="n"/>
      <c r="J244" s="21">
        <f>IF(B244="","",F244+G244)</f>
        <v/>
      </c>
      <c r="K244" s="21">
        <f>IF(B244="","",J244*(Settings!$C$11+Settings!$C$12+Settings!$C$14)+IF(C244="",Settings!$C$13,IF(COUNTIF($C$5:C244,C244)=1,Settings!$C$13,0))+E244*Settings!$C$15+IF(H244="Yes",J244*Settings!$C$16,0))</f>
        <v/>
      </c>
      <c r="L244" s="21">
        <f>IF(B244="","",IF(Settings!$C$5="Yes",0,K244*Settings!$C$17))</f>
        <v/>
      </c>
      <c r="M244" s="21">
        <f>IF(B244="","",E244*IFERROR(VLOOKUP(D244,Products!$B$5:$F$204,5,FALSE),0))</f>
        <v/>
      </c>
      <c r="N244" s="21">
        <f>IF(B244="","",J244-K244-L244-M244-I244)</f>
        <v/>
      </c>
    </row>
    <row r="245">
      <c r="B245" s="11" t="n"/>
      <c r="C245" s="8" t="n"/>
      <c r="D245" s="8" t="n"/>
      <c r="E245" s="8" t="n"/>
      <c r="F245" s="20" t="n"/>
      <c r="G245" s="20" t="n"/>
      <c r="H245" s="8" t="n"/>
      <c r="I245" s="20" t="n"/>
      <c r="J245" s="21">
        <f>IF(B245="","",F245+G245)</f>
        <v/>
      </c>
      <c r="K245" s="21">
        <f>IF(B245="","",J245*(Settings!$C$11+Settings!$C$12+Settings!$C$14)+IF(C245="",Settings!$C$13,IF(COUNTIF($C$5:C245,C245)=1,Settings!$C$13,0))+E245*Settings!$C$15+IF(H245="Yes",J245*Settings!$C$16,0))</f>
        <v/>
      </c>
      <c r="L245" s="21">
        <f>IF(B245="","",IF(Settings!$C$5="Yes",0,K245*Settings!$C$17))</f>
        <v/>
      </c>
      <c r="M245" s="21">
        <f>IF(B245="","",E245*IFERROR(VLOOKUP(D245,Products!$B$5:$F$204,5,FALSE),0))</f>
        <v/>
      </c>
      <c r="N245" s="21">
        <f>IF(B245="","",J245-K245-L245-M245-I245)</f>
        <v/>
      </c>
    </row>
    <row r="246">
      <c r="B246" s="11" t="n"/>
      <c r="C246" s="8" t="n"/>
      <c r="D246" s="8" t="n"/>
      <c r="E246" s="8" t="n"/>
      <c r="F246" s="20" t="n"/>
      <c r="G246" s="20" t="n"/>
      <c r="H246" s="8" t="n"/>
      <c r="I246" s="20" t="n"/>
      <c r="J246" s="21">
        <f>IF(B246="","",F246+G246)</f>
        <v/>
      </c>
      <c r="K246" s="21">
        <f>IF(B246="","",J246*(Settings!$C$11+Settings!$C$12+Settings!$C$14)+IF(C246="",Settings!$C$13,IF(COUNTIF($C$5:C246,C246)=1,Settings!$C$13,0))+E246*Settings!$C$15+IF(H246="Yes",J246*Settings!$C$16,0))</f>
        <v/>
      </c>
      <c r="L246" s="21">
        <f>IF(B246="","",IF(Settings!$C$5="Yes",0,K246*Settings!$C$17))</f>
        <v/>
      </c>
      <c r="M246" s="21">
        <f>IF(B246="","",E246*IFERROR(VLOOKUP(D246,Products!$B$5:$F$204,5,FALSE),0))</f>
        <v/>
      </c>
      <c r="N246" s="21">
        <f>IF(B246="","",J246-K246-L246-M246-I246)</f>
        <v/>
      </c>
    </row>
    <row r="247">
      <c r="B247" s="11" t="n"/>
      <c r="C247" s="8" t="n"/>
      <c r="D247" s="8" t="n"/>
      <c r="E247" s="8" t="n"/>
      <c r="F247" s="20" t="n"/>
      <c r="G247" s="20" t="n"/>
      <c r="H247" s="8" t="n"/>
      <c r="I247" s="20" t="n"/>
      <c r="J247" s="21">
        <f>IF(B247="","",F247+G247)</f>
        <v/>
      </c>
      <c r="K247" s="21">
        <f>IF(B247="","",J247*(Settings!$C$11+Settings!$C$12+Settings!$C$14)+IF(C247="",Settings!$C$13,IF(COUNTIF($C$5:C247,C247)=1,Settings!$C$13,0))+E247*Settings!$C$15+IF(H247="Yes",J247*Settings!$C$16,0))</f>
        <v/>
      </c>
      <c r="L247" s="21">
        <f>IF(B247="","",IF(Settings!$C$5="Yes",0,K247*Settings!$C$17))</f>
        <v/>
      </c>
      <c r="M247" s="21">
        <f>IF(B247="","",E247*IFERROR(VLOOKUP(D247,Products!$B$5:$F$204,5,FALSE),0))</f>
        <v/>
      </c>
      <c r="N247" s="21">
        <f>IF(B247="","",J247-K247-L247-M247-I247)</f>
        <v/>
      </c>
    </row>
    <row r="248">
      <c r="B248" s="11" t="n"/>
      <c r="C248" s="8" t="n"/>
      <c r="D248" s="8" t="n"/>
      <c r="E248" s="8" t="n"/>
      <c r="F248" s="20" t="n"/>
      <c r="G248" s="20" t="n"/>
      <c r="H248" s="8" t="n"/>
      <c r="I248" s="20" t="n"/>
      <c r="J248" s="21">
        <f>IF(B248="","",F248+G248)</f>
        <v/>
      </c>
      <c r="K248" s="21">
        <f>IF(B248="","",J248*(Settings!$C$11+Settings!$C$12+Settings!$C$14)+IF(C248="",Settings!$C$13,IF(COUNTIF($C$5:C248,C248)=1,Settings!$C$13,0))+E248*Settings!$C$15+IF(H248="Yes",J248*Settings!$C$16,0))</f>
        <v/>
      </c>
      <c r="L248" s="21">
        <f>IF(B248="","",IF(Settings!$C$5="Yes",0,K248*Settings!$C$17))</f>
        <v/>
      </c>
      <c r="M248" s="21">
        <f>IF(B248="","",E248*IFERROR(VLOOKUP(D248,Products!$B$5:$F$204,5,FALSE),0))</f>
        <v/>
      </c>
      <c r="N248" s="21">
        <f>IF(B248="","",J248-K248-L248-M248-I248)</f>
        <v/>
      </c>
    </row>
    <row r="249">
      <c r="B249" s="11" t="n"/>
      <c r="C249" s="8" t="n"/>
      <c r="D249" s="8" t="n"/>
      <c r="E249" s="8" t="n"/>
      <c r="F249" s="20" t="n"/>
      <c r="G249" s="20" t="n"/>
      <c r="H249" s="8" t="n"/>
      <c r="I249" s="20" t="n"/>
      <c r="J249" s="21">
        <f>IF(B249="","",F249+G249)</f>
        <v/>
      </c>
      <c r="K249" s="21">
        <f>IF(B249="","",J249*(Settings!$C$11+Settings!$C$12+Settings!$C$14)+IF(C249="",Settings!$C$13,IF(COUNTIF($C$5:C249,C249)=1,Settings!$C$13,0))+E249*Settings!$C$15+IF(H249="Yes",J249*Settings!$C$16,0))</f>
        <v/>
      </c>
      <c r="L249" s="21">
        <f>IF(B249="","",IF(Settings!$C$5="Yes",0,K249*Settings!$C$17))</f>
        <v/>
      </c>
      <c r="M249" s="21">
        <f>IF(B249="","",E249*IFERROR(VLOOKUP(D249,Products!$B$5:$F$204,5,FALSE),0))</f>
        <v/>
      </c>
      <c r="N249" s="21">
        <f>IF(B249="","",J249-K249-L249-M249-I249)</f>
        <v/>
      </c>
    </row>
    <row r="250">
      <c r="B250" s="11" t="n"/>
      <c r="C250" s="8" t="n"/>
      <c r="D250" s="8" t="n"/>
      <c r="E250" s="8" t="n"/>
      <c r="F250" s="20" t="n"/>
      <c r="G250" s="20" t="n"/>
      <c r="H250" s="8" t="n"/>
      <c r="I250" s="20" t="n"/>
      <c r="J250" s="21">
        <f>IF(B250="","",F250+G250)</f>
        <v/>
      </c>
      <c r="K250" s="21">
        <f>IF(B250="","",J250*(Settings!$C$11+Settings!$C$12+Settings!$C$14)+IF(C250="",Settings!$C$13,IF(COUNTIF($C$5:C250,C250)=1,Settings!$C$13,0))+E250*Settings!$C$15+IF(H250="Yes",J250*Settings!$C$16,0))</f>
        <v/>
      </c>
      <c r="L250" s="21">
        <f>IF(B250="","",IF(Settings!$C$5="Yes",0,K250*Settings!$C$17))</f>
        <v/>
      </c>
      <c r="M250" s="21">
        <f>IF(B250="","",E250*IFERROR(VLOOKUP(D250,Products!$B$5:$F$204,5,FALSE),0))</f>
        <v/>
      </c>
      <c r="N250" s="21">
        <f>IF(B250="","",J250-K250-L250-M250-I250)</f>
        <v/>
      </c>
    </row>
    <row r="251">
      <c r="B251" s="11" t="n"/>
      <c r="C251" s="8" t="n"/>
      <c r="D251" s="8" t="n"/>
      <c r="E251" s="8" t="n"/>
      <c r="F251" s="20" t="n"/>
      <c r="G251" s="20" t="n"/>
      <c r="H251" s="8" t="n"/>
      <c r="I251" s="20" t="n"/>
      <c r="J251" s="21">
        <f>IF(B251="","",F251+G251)</f>
        <v/>
      </c>
      <c r="K251" s="21">
        <f>IF(B251="","",J251*(Settings!$C$11+Settings!$C$12+Settings!$C$14)+IF(C251="",Settings!$C$13,IF(COUNTIF($C$5:C251,C251)=1,Settings!$C$13,0))+E251*Settings!$C$15+IF(H251="Yes",J251*Settings!$C$16,0))</f>
        <v/>
      </c>
      <c r="L251" s="21">
        <f>IF(B251="","",IF(Settings!$C$5="Yes",0,K251*Settings!$C$17))</f>
        <v/>
      </c>
      <c r="M251" s="21">
        <f>IF(B251="","",E251*IFERROR(VLOOKUP(D251,Products!$B$5:$F$204,5,FALSE),0))</f>
        <v/>
      </c>
      <c r="N251" s="21">
        <f>IF(B251="","",J251-K251-L251-M251-I251)</f>
        <v/>
      </c>
    </row>
    <row r="252">
      <c r="B252" s="11" t="n"/>
      <c r="C252" s="8" t="n"/>
      <c r="D252" s="8" t="n"/>
      <c r="E252" s="8" t="n"/>
      <c r="F252" s="20" t="n"/>
      <c r="G252" s="20" t="n"/>
      <c r="H252" s="8" t="n"/>
      <c r="I252" s="20" t="n"/>
      <c r="J252" s="21">
        <f>IF(B252="","",F252+G252)</f>
        <v/>
      </c>
      <c r="K252" s="21">
        <f>IF(B252="","",J252*(Settings!$C$11+Settings!$C$12+Settings!$C$14)+IF(C252="",Settings!$C$13,IF(COUNTIF($C$5:C252,C252)=1,Settings!$C$13,0))+E252*Settings!$C$15+IF(H252="Yes",J252*Settings!$C$16,0))</f>
        <v/>
      </c>
      <c r="L252" s="21">
        <f>IF(B252="","",IF(Settings!$C$5="Yes",0,K252*Settings!$C$17))</f>
        <v/>
      </c>
      <c r="M252" s="21">
        <f>IF(B252="","",E252*IFERROR(VLOOKUP(D252,Products!$B$5:$F$204,5,FALSE),0))</f>
        <v/>
      </c>
      <c r="N252" s="21">
        <f>IF(B252="","",J252-K252-L252-M252-I252)</f>
        <v/>
      </c>
    </row>
    <row r="253">
      <c r="B253" s="11" t="n"/>
      <c r="C253" s="8" t="n"/>
      <c r="D253" s="8" t="n"/>
      <c r="E253" s="8" t="n"/>
      <c r="F253" s="20" t="n"/>
      <c r="G253" s="20" t="n"/>
      <c r="H253" s="8" t="n"/>
      <c r="I253" s="20" t="n"/>
      <c r="J253" s="21">
        <f>IF(B253="","",F253+G253)</f>
        <v/>
      </c>
      <c r="K253" s="21">
        <f>IF(B253="","",J253*(Settings!$C$11+Settings!$C$12+Settings!$C$14)+IF(C253="",Settings!$C$13,IF(COUNTIF($C$5:C253,C253)=1,Settings!$C$13,0))+E253*Settings!$C$15+IF(H253="Yes",J253*Settings!$C$16,0))</f>
        <v/>
      </c>
      <c r="L253" s="21">
        <f>IF(B253="","",IF(Settings!$C$5="Yes",0,K253*Settings!$C$17))</f>
        <v/>
      </c>
      <c r="M253" s="21">
        <f>IF(B253="","",E253*IFERROR(VLOOKUP(D253,Products!$B$5:$F$204,5,FALSE),0))</f>
        <v/>
      </c>
      <c r="N253" s="21">
        <f>IF(B253="","",J253-K253-L253-M253-I253)</f>
        <v/>
      </c>
    </row>
    <row r="254">
      <c r="B254" s="11" t="n"/>
      <c r="C254" s="8" t="n"/>
      <c r="D254" s="8" t="n"/>
      <c r="E254" s="8" t="n"/>
      <c r="F254" s="20" t="n"/>
      <c r="G254" s="20" t="n"/>
      <c r="H254" s="8" t="n"/>
      <c r="I254" s="20" t="n"/>
      <c r="J254" s="21">
        <f>IF(B254="","",F254+G254)</f>
        <v/>
      </c>
      <c r="K254" s="21">
        <f>IF(B254="","",J254*(Settings!$C$11+Settings!$C$12+Settings!$C$14)+IF(C254="",Settings!$C$13,IF(COUNTIF($C$5:C254,C254)=1,Settings!$C$13,0))+E254*Settings!$C$15+IF(H254="Yes",J254*Settings!$C$16,0))</f>
        <v/>
      </c>
      <c r="L254" s="21">
        <f>IF(B254="","",IF(Settings!$C$5="Yes",0,K254*Settings!$C$17))</f>
        <v/>
      </c>
      <c r="M254" s="21">
        <f>IF(B254="","",E254*IFERROR(VLOOKUP(D254,Products!$B$5:$F$204,5,FALSE),0))</f>
        <v/>
      </c>
      <c r="N254" s="21">
        <f>IF(B254="","",J254-K254-L254-M254-I254)</f>
        <v/>
      </c>
    </row>
    <row r="255">
      <c r="B255" s="11" t="n"/>
      <c r="C255" s="8" t="n"/>
      <c r="D255" s="8" t="n"/>
      <c r="E255" s="8" t="n"/>
      <c r="F255" s="20" t="n"/>
      <c r="G255" s="20" t="n"/>
      <c r="H255" s="8" t="n"/>
      <c r="I255" s="20" t="n"/>
      <c r="J255" s="21">
        <f>IF(B255="","",F255+G255)</f>
        <v/>
      </c>
      <c r="K255" s="21">
        <f>IF(B255="","",J255*(Settings!$C$11+Settings!$C$12+Settings!$C$14)+IF(C255="",Settings!$C$13,IF(COUNTIF($C$5:C255,C255)=1,Settings!$C$13,0))+E255*Settings!$C$15+IF(H255="Yes",J255*Settings!$C$16,0))</f>
        <v/>
      </c>
      <c r="L255" s="21">
        <f>IF(B255="","",IF(Settings!$C$5="Yes",0,K255*Settings!$C$17))</f>
        <v/>
      </c>
      <c r="M255" s="21">
        <f>IF(B255="","",E255*IFERROR(VLOOKUP(D255,Products!$B$5:$F$204,5,FALSE),0))</f>
        <v/>
      </c>
      <c r="N255" s="21">
        <f>IF(B255="","",J255-K255-L255-M255-I255)</f>
        <v/>
      </c>
    </row>
    <row r="256">
      <c r="B256" s="11" t="n"/>
      <c r="C256" s="8" t="n"/>
      <c r="D256" s="8" t="n"/>
      <c r="E256" s="8" t="n"/>
      <c r="F256" s="20" t="n"/>
      <c r="G256" s="20" t="n"/>
      <c r="H256" s="8" t="n"/>
      <c r="I256" s="20" t="n"/>
      <c r="J256" s="21">
        <f>IF(B256="","",F256+G256)</f>
        <v/>
      </c>
      <c r="K256" s="21">
        <f>IF(B256="","",J256*(Settings!$C$11+Settings!$C$12+Settings!$C$14)+IF(C256="",Settings!$C$13,IF(COUNTIF($C$5:C256,C256)=1,Settings!$C$13,0))+E256*Settings!$C$15+IF(H256="Yes",J256*Settings!$C$16,0))</f>
        <v/>
      </c>
      <c r="L256" s="21">
        <f>IF(B256="","",IF(Settings!$C$5="Yes",0,K256*Settings!$C$17))</f>
        <v/>
      </c>
      <c r="M256" s="21">
        <f>IF(B256="","",E256*IFERROR(VLOOKUP(D256,Products!$B$5:$F$204,5,FALSE),0))</f>
        <v/>
      </c>
      <c r="N256" s="21">
        <f>IF(B256="","",J256-K256-L256-M256-I256)</f>
        <v/>
      </c>
    </row>
    <row r="257">
      <c r="B257" s="11" t="n"/>
      <c r="C257" s="8" t="n"/>
      <c r="D257" s="8" t="n"/>
      <c r="E257" s="8" t="n"/>
      <c r="F257" s="20" t="n"/>
      <c r="G257" s="20" t="n"/>
      <c r="H257" s="8" t="n"/>
      <c r="I257" s="20" t="n"/>
      <c r="J257" s="21">
        <f>IF(B257="","",F257+G257)</f>
        <v/>
      </c>
      <c r="K257" s="21">
        <f>IF(B257="","",J257*(Settings!$C$11+Settings!$C$12+Settings!$C$14)+IF(C257="",Settings!$C$13,IF(COUNTIF($C$5:C257,C257)=1,Settings!$C$13,0))+E257*Settings!$C$15+IF(H257="Yes",J257*Settings!$C$16,0))</f>
        <v/>
      </c>
      <c r="L257" s="21">
        <f>IF(B257="","",IF(Settings!$C$5="Yes",0,K257*Settings!$C$17))</f>
        <v/>
      </c>
      <c r="M257" s="21">
        <f>IF(B257="","",E257*IFERROR(VLOOKUP(D257,Products!$B$5:$F$204,5,FALSE),0))</f>
        <v/>
      </c>
      <c r="N257" s="21">
        <f>IF(B257="","",J257-K257-L257-M257-I257)</f>
        <v/>
      </c>
    </row>
    <row r="258">
      <c r="B258" s="11" t="n"/>
      <c r="C258" s="8" t="n"/>
      <c r="D258" s="8" t="n"/>
      <c r="E258" s="8" t="n"/>
      <c r="F258" s="20" t="n"/>
      <c r="G258" s="20" t="n"/>
      <c r="H258" s="8" t="n"/>
      <c r="I258" s="20" t="n"/>
      <c r="J258" s="21">
        <f>IF(B258="","",F258+G258)</f>
        <v/>
      </c>
      <c r="K258" s="21">
        <f>IF(B258="","",J258*(Settings!$C$11+Settings!$C$12+Settings!$C$14)+IF(C258="",Settings!$C$13,IF(COUNTIF($C$5:C258,C258)=1,Settings!$C$13,0))+E258*Settings!$C$15+IF(H258="Yes",J258*Settings!$C$16,0))</f>
        <v/>
      </c>
      <c r="L258" s="21">
        <f>IF(B258="","",IF(Settings!$C$5="Yes",0,K258*Settings!$C$17))</f>
        <v/>
      </c>
      <c r="M258" s="21">
        <f>IF(B258="","",E258*IFERROR(VLOOKUP(D258,Products!$B$5:$F$204,5,FALSE),0))</f>
        <v/>
      </c>
      <c r="N258" s="21">
        <f>IF(B258="","",J258-K258-L258-M258-I258)</f>
        <v/>
      </c>
    </row>
    <row r="259">
      <c r="B259" s="11" t="n"/>
      <c r="C259" s="8" t="n"/>
      <c r="D259" s="8" t="n"/>
      <c r="E259" s="8" t="n"/>
      <c r="F259" s="20" t="n"/>
      <c r="G259" s="20" t="n"/>
      <c r="H259" s="8" t="n"/>
      <c r="I259" s="20" t="n"/>
      <c r="J259" s="21">
        <f>IF(B259="","",F259+G259)</f>
        <v/>
      </c>
      <c r="K259" s="21">
        <f>IF(B259="","",J259*(Settings!$C$11+Settings!$C$12+Settings!$C$14)+IF(C259="",Settings!$C$13,IF(COUNTIF($C$5:C259,C259)=1,Settings!$C$13,0))+E259*Settings!$C$15+IF(H259="Yes",J259*Settings!$C$16,0))</f>
        <v/>
      </c>
      <c r="L259" s="21">
        <f>IF(B259="","",IF(Settings!$C$5="Yes",0,K259*Settings!$C$17))</f>
        <v/>
      </c>
      <c r="M259" s="21">
        <f>IF(B259="","",E259*IFERROR(VLOOKUP(D259,Products!$B$5:$F$204,5,FALSE),0))</f>
        <v/>
      </c>
      <c r="N259" s="21">
        <f>IF(B259="","",J259-K259-L259-M259-I259)</f>
        <v/>
      </c>
    </row>
    <row r="260">
      <c r="B260" s="11" t="n"/>
      <c r="C260" s="8" t="n"/>
      <c r="D260" s="8" t="n"/>
      <c r="E260" s="8" t="n"/>
      <c r="F260" s="20" t="n"/>
      <c r="G260" s="20" t="n"/>
      <c r="H260" s="8" t="n"/>
      <c r="I260" s="20" t="n"/>
      <c r="J260" s="21">
        <f>IF(B260="","",F260+G260)</f>
        <v/>
      </c>
      <c r="K260" s="21">
        <f>IF(B260="","",J260*(Settings!$C$11+Settings!$C$12+Settings!$C$14)+IF(C260="",Settings!$C$13,IF(COUNTIF($C$5:C260,C260)=1,Settings!$C$13,0))+E260*Settings!$C$15+IF(H260="Yes",J260*Settings!$C$16,0))</f>
        <v/>
      </c>
      <c r="L260" s="21">
        <f>IF(B260="","",IF(Settings!$C$5="Yes",0,K260*Settings!$C$17))</f>
        <v/>
      </c>
      <c r="M260" s="21">
        <f>IF(B260="","",E260*IFERROR(VLOOKUP(D260,Products!$B$5:$F$204,5,FALSE),0))</f>
        <v/>
      </c>
      <c r="N260" s="21">
        <f>IF(B260="","",J260-K260-L260-M260-I260)</f>
        <v/>
      </c>
    </row>
    <row r="261">
      <c r="B261" s="11" t="n"/>
      <c r="C261" s="8" t="n"/>
      <c r="D261" s="8" t="n"/>
      <c r="E261" s="8" t="n"/>
      <c r="F261" s="20" t="n"/>
      <c r="G261" s="20" t="n"/>
      <c r="H261" s="8" t="n"/>
      <c r="I261" s="20" t="n"/>
      <c r="J261" s="21">
        <f>IF(B261="","",F261+G261)</f>
        <v/>
      </c>
      <c r="K261" s="21">
        <f>IF(B261="","",J261*(Settings!$C$11+Settings!$C$12+Settings!$C$14)+IF(C261="",Settings!$C$13,IF(COUNTIF($C$5:C261,C261)=1,Settings!$C$13,0))+E261*Settings!$C$15+IF(H261="Yes",J261*Settings!$C$16,0))</f>
        <v/>
      </c>
      <c r="L261" s="21">
        <f>IF(B261="","",IF(Settings!$C$5="Yes",0,K261*Settings!$C$17))</f>
        <v/>
      </c>
      <c r="M261" s="21">
        <f>IF(B261="","",E261*IFERROR(VLOOKUP(D261,Products!$B$5:$F$204,5,FALSE),0))</f>
        <v/>
      </c>
      <c r="N261" s="21">
        <f>IF(B261="","",J261-K261-L261-M261-I261)</f>
        <v/>
      </c>
    </row>
    <row r="262">
      <c r="B262" s="11" t="n"/>
      <c r="C262" s="8" t="n"/>
      <c r="D262" s="8" t="n"/>
      <c r="E262" s="8" t="n"/>
      <c r="F262" s="20" t="n"/>
      <c r="G262" s="20" t="n"/>
      <c r="H262" s="8" t="n"/>
      <c r="I262" s="20" t="n"/>
      <c r="J262" s="21">
        <f>IF(B262="","",F262+G262)</f>
        <v/>
      </c>
      <c r="K262" s="21">
        <f>IF(B262="","",J262*(Settings!$C$11+Settings!$C$12+Settings!$C$14)+IF(C262="",Settings!$C$13,IF(COUNTIF($C$5:C262,C262)=1,Settings!$C$13,0))+E262*Settings!$C$15+IF(H262="Yes",J262*Settings!$C$16,0))</f>
        <v/>
      </c>
      <c r="L262" s="21">
        <f>IF(B262="","",IF(Settings!$C$5="Yes",0,K262*Settings!$C$17))</f>
        <v/>
      </c>
      <c r="M262" s="21">
        <f>IF(B262="","",E262*IFERROR(VLOOKUP(D262,Products!$B$5:$F$204,5,FALSE),0))</f>
        <v/>
      </c>
      <c r="N262" s="21">
        <f>IF(B262="","",J262-K262-L262-M262-I262)</f>
        <v/>
      </c>
    </row>
    <row r="263">
      <c r="B263" s="11" t="n"/>
      <c r="C263" s="8" t="n"/>
      <c r="D263" s="8" t="n"/>
      <c r="E263" s="8" t="n"/>
      <c r="F263" s="20" t="n"/>
      <c r="G263" s="20" t="n"/>
      <c r="H263" s="8" t="n"/>
      <c r="I263" s="20" t="n"/>
      <c r="J263" s="21">
        <f>IF(B263="","",F263+G263)</f>
        <v/>
      </c>
      <c r="K263" s="21">
        <f>IF(B263="","",J263*(Settings!$C$11+Settings!$C$12+Settings!$C$14)+IF(C263="",Settings!$C$13,IF(COUNTIF($C$5:C263,C263)=1,Settings!$C$13,0))+E263*Settings!$C$15+IF(H263="Yes",J263*Settings!$C$16,0))</f>
        <v/>
      </c>
      <c r="L263" s="21">
        <f>IF(B263="","",IF(Settings!$C$5="Yes",0,K263*Settings!$C$17))</f>
        <v/>
      </c>
      <c r="M263" s="21">
        <f>IF(B263="","",E263*IFERROR(VLOOKUP(D263,Products!$B$5:$F$204,5,FALSE),0))</f>
        <v/>
      </c>
      <c r="N263" s="21">
        <f>IF(B263="","",J263-K263-L263-M263-I263)</f>
        <v/>
      </c>
    </row>
    <row r="264">
      <c r="B264" s="11" t="n"/>
      <c r="C264" s="8" t="n"/>
      <c r="D264" s="8" t="n"/>
      <c r="E264" s="8" t="n"/>
      <c r="F264" s="20" t="n"/>
      <c r="G264" s="20" t="n"/>
      <c r="H264" s="8" t="n"/>
      <c r="I264" s="20" t="n"/>
      <c r="J264" s="21">
        <f>IF(B264="","",F264+G264)</f>
        <v/>
      </c>
      <c r="K264" s="21">
        <f>IF(B264="","",J264*(Settings!$C$11+Settings!$C$12+Settings!$C$14)+IF(C264="",Settings!$C$13,IF(COUNTIF($C$5:C264,C264)=1,Settings!$C$13,0))+E264*Settings!$C$15+IF(H264="Yes",J264*Settings!$C$16,0))</f>
        <v/>
      </c>
      <c r="L264" s="21">
        <f>IF(B264="","",IF(Settings!$C$5="Yes",0,K264*Settings!$C$17))</f>
        <v/>
      </c>
      <c r="M264" s="21">
        <f>IF(B264="","",E264*IFERROR(VLOOKUP(D264,Products!$B$5:$F$204,5,FALSE),0))</f>
        <v/>
      </c>
      <c r="N264" s="21">
        <f>IF(B264="","",J264-K264-L264-M264-I264)</f>
        <v/>
      </c>
    </row>
    <row r="265">
      <c r="B265" s="11" t="n"/>
      <c r="C265" s="8" t="n"/>
      <c r="D265" s="8" t="n"/>
      <c r="E265" s="8" t="n"/>
      <c r="F265" s="20" t="n"/>
      <c r="G265" s="20" t="n"/>
      <c r="H265" s="8" t="n"/>
      <c r="I265" s="20" t="n"/>
      <c r="J265" s="21">
        <f>IF(B265="","",F265+G265)</f>
        <v/>
      </c>
      <c r="K265" s="21">
        <f>IF(B265="","",J265*(Settings!$C$11+Settings!$C$12+Settings!$C$14)+IF(C265="",Settings!$C$13,IF(COUNTIF($C$5:C265,C265)=1,Settings!$C$13,0))+E265*Settings!$C$15+IF(H265="Yes",J265*Settings!$C$16,0))</f>
        <v/>
      </c>
      <c r="L265" s="21">
        <f>IF(B265="","",IF(Settings!$C$5="Yes",0,K265*Settings!$C$17))</f>
        <v/>
      </c>
      <c r="M265" s="21">
        <f>IF(B265="","",E265*IFERROR(VLOOKUP(D265,Products!$B$5:$F$204,5,FALSE),0))</f>
        <v/>
      </c>
      <c r="N265" s="21">
        <f>IF(B265="","",J265-K265-L265-M265-I265)</f>
        <v/>
      </c>
    </row>
    <row r="266">
      <c r="B266" s="11" t="n"/>
      <c r="C266" s="8" t="n"/>
      <c r="D266" s="8" t="n"/>
      <c r="E266" s="8" t="n"/>
      <c r="F266" s="20" t="n"/>
      <c r="G266" s="20" t="n"/>
      <c r="H266" s="8" t="n"/>
      <c r="I266" s="20" t="n"/>
      <c r="J266" s="21">
        <f>IF(B266="","",F266+G266)</f>
        <v/>
      </c>
      <c r="K266" s="21">
        <f>IF(B266="","",J266*(Settings!$C$11+Settings!$C$12+Settings!$C$14)+IF(C266="",Settings!$C$13,IF(COUNTIF($C$5:C266,C266)=1,Settings!$C$13,0))+E266*Settings!$C$15+IF(H266="Yes",J266*Settings!$C$16,0))</f>
        <v/>
      </c>
      <c r="L266" s="21">
        <f>IF(B266="","",IF(Settings!$C$5="Yes",0,K266*Settings!$C$17))</f>
        <v/>
      </c>
      <c r="M266" s="21">
        <f>IF(B266="","",E266*IFERROR(VLOOKUP(D266,Products!$B$5:$F$204,5,FALSE),0))</f>
        <v/>
      </c>
      <c r="N266" s="21">
        <f>IF(B266="","",J266-K266-L266-M266-I266)</f>
        <v/>
      </c>
    </row>
    <row r="267">
      <c r="B267" s="11" t="n"/>
      <c r="C267" s="8" t="n"/>
      <c r="D267" s="8" t="n"/>
      <c r="E267" s="8" t="n"/>
      <c r="F267" s="20" t="n"/>
      <c r="G267" s="20" t="n"/>
      <c r="H267" s="8" t="n"/>
      <c r="I267" s="20" t="n"/>
      <c r="J267" s="21">
        <f>IF(B267="","",F267+G267)</f>
        <v/>
      </c>
      <c r="K267" s="21">
        <f>IF(B267="","",J267*(Settings!$C$11+Settings!$C$12+Settings!$C$14)+IF(C267="",Settings!$C$13,IF(COUNTIF($C$5:C267,C267)=1,Settings!$C$13,0))+E267*Settings!$C$15+IF(H267="Yes",J267*Settings!$C$16,0))</f>
        <v/>
      </c>
      <c r="L267" s="21">
        <f>IF(B267="","",IF(Settings!$C$5="Yes",0,K267*Settings!$C$17))</f>
        <v/>
      </c>
      <c r="M267" s="21">
        <f>IF(B267="","",E267*IFERROR(VLOOKUP(D267,Products!$B$5:$F$204,5,FALSE),0))</f>
        <v/>
      </c>
      <c r="N267" s="21">
        <f>IF(B267="","",J267-K267-L267-M267-I267)</f>
        <v/>
      </c>
    </row>
    <row r="268">
      <c r="B268" s="11" t="n"/>
      <c r="C268" s="8" t="n"/>
      <c r="D268" s="8" t="n"/>
      <c r="E268" s="8" t="n"/>
      <c r="F268" s="20" t="n"/>
      <c r="G268" s="20" t="n"/>
      <c r="H268" s="8" t="n"/>
      <c r="I268" s="20" t="n"/>
      <c r="J268" s="21">
        <f>IF(B268="","",F268+G268)</f>
        <v/>
      </c>
      <c r="K268" s="21">
        <f>IF(B268="","",J268*(Settings!$C$11+Settings!$C$12+Settings!$C$14)+IF(C268="",Settings!$C$13,IF(COUNTIF($C$5:C268,C268)=1,Settings!$C$13,0))+E268*Settings!$C$15+IF(H268="Yes",J268*Settings!$C$16,0))</f>
        <v/>
      </c>
      <c r="L268" s="21">
        <f>IF(B268="","",IF(Settings!$C$5="Yes",0,K268*Settings!$C$17))</f>
        <v/>
      </c>
      <c r="M268" s="21">
        <f>IF(B268="","",E268*IFERROR(VLOOKUP(D268,Products!$B$5:$F$204,5,FALSE),0))</f>
        <v/>
      </c>
      <c r="N268" s="21">
        <f>IF(B268="","",J268-K268-L268-M268-I268)</f>
        <v/>
      </c>
    </row>
    <row r="269">
      <c r="B269" s="11" t="n"/>
      <c r="C269" s="8" t="n"/>
      <c r="D269" s="8" t="n"/>
      <c r="E269" s="8" t="n"/>
      <c r="F269" s="20" t="n"/>
      <c r="G269" s="20" t="n"/>
      <c r="H269" s="8" t="n"/>
      <c r="I269" s="20" t="n"/>
      <c r="J269" s="21">
        <f>IF(B269="","",F269+G269)</f>
        <v/>
      </c>
      <c r="K269" s="21">
        <f>IF(B269="","",J269*(Settings!$C$11+Settings!$C$12+Settings!$C$14)+IF(C269="",Settings!$C$13,IF(COUNTIF($C$5:C269,C269)=1,Settings!$C$13,0))+E269*Settings!$C$15+IF(H269="Yes",J269*Settings!$C$16,0))</f>
        <v/>
      </c>
      <c r="L269" s="21">
        <f>IF(B269="","",IF(Settings!$C$5="Yes",0,K269*Settings!$C$17))</f>
        <v/>
      </c>
      <c r="M269" s="21">
        <f>IF(B269="","",E269*IFERROR(VLOOKUP(D269,Products!$B$5:$F$204,5,FALSE),0))</f>
        <v/>
      </c>
      <c r="N269" s="21">
        <f>IF(B269="","",J269-K269-L269-M269-I269)</f>
        <v/>
      </c>
    </row>
    <row r="270">
      <c r="B270" s="11" t="n"/>
      <c r="C270" s="8" t="n"/>
      <c r="D270" s="8" t="n"/>
      <c r="E270" s="8" t="n"/>
      <c r="F270" s="20" t="n"/>
      <c r="G270" s="20" t="n"/>
      <c r="H270" s="8" t="n"/>
      <c r="I270" s="20" t="n"/>
      <c r="J270" s="21">
        <f>IF(B270="","",F270+G270)</f>
        <v/>
      </c>
      <c r="K270" s="21">
        <f>IF(B270="","",J270*(Settings!$C$11+Settings!$C$12+Settings!$C$14)+IF(C270="",Settings!$C$13,IF(COUNTIF($C$5:C270,C270)=1,Settings!$C$13,0))+E270*Settings!$C$15+IF(H270="Yes",J270*Settings!$C$16,0))</f>
        <v/>
      </c>
      <c r="L270" s="21">
        <f>IF(B270="","",IF(Settings!$C$5="Yes",0,K270*Settings!$C$17))</f>
        <v/>
      </c>
      <c r="M270" s="21">
        <f>IF(B270="","",E270*IFERROR(VLOOKUP(D270,Products!$B$5:$F$204,5,FALSE),0))</f>
        <v/>
      </c>
      <c r="N270" s="21">
        <f>IF(B270="","",J270-K270-L270-M270-I270)</f>
        <v/>
      </c>
    </row>
    <row r="271">
      <c r="B271" s="11" t="n"/>
      <c r="C271" s="8" t="n"/>
      <c r="D271" s="8" t="n"/>
      <c r="E271" s="8" t="n"/>
      <c r="F271" s="20" t="n"/>
      <c r="G271" s="20" t="n"/>
      <c r="H271" s="8" t="n"/>
      <c r="I271" s="20" t="n"/>
      <c r="J271" s="21">
        <f>IF(B271="","",F271+G271)</f>
        <v/>
      </c>
      <c r="K271" s="21">
        <f>IF(B271="","",J271*(Settings!$C$11+Settings!$C$12+Settings!$C$14)+IF(C271="",Settings!$C$13,IF(COUNTIF($C$5:C271,C271)=1,Settings!$C$13,0))+E271*Settings!$C$15+IF(H271="Yes",J271*Settings!$C$16,0))</f>
        <v/>
      </c>
      <c r="L271" s="21">
        <f>IF(B271="","",IF(Settings!$C$5="Yes",0,K271*Settings!$C$17))</f>
        <v/>
      </c>
      <c r="M271" s="21">
        <f>IF(B271="","",E271*IFERROR(VLOOKUP(D271,Products!$B$5:$F$204,5,FALSE),0))</f>
        <v/>
      </c>
      <c r="N271" s="21">
        <f>IF(B271="","",J271-K271-L271-M271-I271)</f>
        <v/>
      </c>
    </row>
    <row r="272">
      <c r="B272" s="11" t="n"/>
      <c r="C272" s="8" t="n"/>
      <c r="D272" s="8" t="n"/>
      <c r="E272" s="8" t="n"/>
      <c r="F272" s="20" t="n"/>
      <c r="G272" s="20" t="n"/>
      <c r="H272" s="8" t="n"/>
      <c r="I272" s="20" t="n"/>
      <c r="J272" s="21">
        <f>IF(B272="","",F272+G272)</f>
        <v/>
      </c>
      <c r="K272" s="21">
        <f>IF(B272="","",J272*(Settings!$C$11+Settings!$C$12+Settings!$C$14)+IF(C272="",Settings!$C$13,IF(COUNTIF($C$5:C272,C272)=1,Settings!$C$13,0))+E272*Settings!$C$15+IF(H272="Yes",J272*Settings!$C$16,0))</f>
        <v/>
      </c>
      <c r="L272" s="21">
        <f>IF(B272="","",IF(Settings!$C$5="Yes",0,K272*Settings!$C$17))</f>
        <v/>
      </c>
      <c r="M272" s="21">
        <f>IF(B272="","",E272*IFERROR(VLOOKUP(D272,Products!$B$5:$F$204,5,FALSE),0))</f>
        <v/>
      </c>
      <c r="N272" s="21">
        <f>IF(B272="","",J272-K272-L272-M272-I272)</f>
        <v/>
      </c>
    </row>
    <row r="273">
      <c r="B273" s="11" t="n"/>
      <c r="C273" s="8" t="n"/>
      <c r="D273" s="8" t="n"/>
      <c r="E273" s="8" t="n"/>
      <c r="F273" s="20" t="n"/>
      <c r="G273" s="20" t="n"/>
      <c r="H273" s="8" t="n"/>
      <c r="I273" s="20" t="n"/>
      <c r="J273" s="21">
        <f>IF(B273="","",F273+G273)</f>
        <v/>
      </c>
      <c r="K273" s="21">
        <f>IF(B273="","",J273*(Settings!$C$11+Settings!$C$12+Settings!$C$14)+IF(C273="",Settings!$C$13,IF(COUNTIF($C$5:C273,C273)=1,Settings!$C$13,0))+E273*Settings!$C$15+IF(H273="Yes",J273*Settings!$C$16,0))</f>
        <v/>
      </c>
      <c r="L273" s="21">
        <f>IF(B273="","",IF(Settings!$C$5="Yes",0,K273*Settings!$C$17))</f>
        <v/>
      </c>
      <c r="M273" s="21">
        <f>IF(B273="","",E273*IFERROR(VLOOKUP(D273,Products!$B$5:$F$204,5,FALSE),0))</f>
        <v/>
      </c>
      <c r="N273" s="21">
        <f>IF(B273="","",J273-K273-L273-M273-I273)</f>
        <v/>
      </c>
    </row>
    <row r="274">
      <c r="B274" s="11" t="n"/>
      <c r="C274" s="8" t="n"/>
      <c r="D274" s="8" t="n"/>
      <c r="E274" s="8" t="n"/>
      <c r="F274" s="20" t="n"/>
      <c r="G274" s="20" t="n"/>
      <c r="H274" s="8" t="n"/>
      <c r="I274" s="20" t="n"/>
      <c r="J274" s="21">
        <f>IF(B274="","",F274+G274)</f>
        <v/>
      </c>
      <c r="K274" s="21">
        <f>IF(B274="","",J274*(Settings!$C$11+Settings!$C$12+Settings!$C$14)+IF(C274="",Settings!$C$13,IF(COUNTIF($C$5:C274,C274)=1,Settings!$C$13,0))+E274*Settings!$C$15+IF(H274="Yes",J274*Settings!$C$16,0))</f>
        <v/>
      </c>
      <c r="L274" s="21">
        <f>IF(B274="","",IF(Settings!$C$5="Yes",0,K274*Settings!$C$17))</f>
        <v/>
      </c>
      <c r="M274" s="21">
        <f>IF(B274="","",E274*IFERROR(VLOOKUP(D274,Products!$B$5:$F$204,5,FALSE),0))</f>
        <v/>
      </c>
      <c r="N274" s="21">
        <f>IF(B274="","",J274-K274-L274-M274-I274)</f>
        <v/>
      </c>
    </row>
    <row r="275">
      <c r="B275" s="11" t="n"/>
      <c r="C275" s="8" t="n"/>
      <c r="D275" s="8" t="n"/>
      <c r="E275" s="8" t="n"/>
      <c r="F275" s="20" t="n"/>
      <c r="G275" s="20" t="n"/>
      <c r="H275" s="8" t="n"/>
      <c r="I275" s="20" t="n"/>
      <c r="J275" s="21">
        <f>IF(B275="","",F275+G275)</f>
        <v/>
      </c>
      <c r="K275" s="21">
        <f>IF(B275="","",J275*(Settings!$C$11+Settings!$C$12+Settings!$C$14)+IF(C275="",Settings!$C$13,IF(COUNTIF($C$5:C275,C275)=1,Settings!$C$13,0))+E275*Settings!$C$15+IF(H275="Yes",J275*Settings!$C$16,0))</f>
        <v/>
      </c>
      <c r="L275" s="21">
        <f>IF(B275="","",IF(Settings!$C$5="Yes",0,K275*Settings!$C$17))</f>
        <v/>
      </c>
      <c r="M275" s="21">
        <f>IF(B275="","",E275*IFERROR(VLOOKUP(D275,Products!$B$5:$F$204,5,FALSE),0))</f>
        <v/>
      </c>
      <c r="N275" s="21">
        <f>IF(B275="","",J275-K275-L275-M275-I275)</f>
        <v/>
      </c>
    </row>
    <row r="276">
      <c r="B276" s="11" t="n"/>
      <c r="C276" s="8" t="n"/>
      <c r="D276" s="8" t="n"/>
      <c r="E276" s="8" t="n"/>
      <c r="F276" s="20" t="n"/>
      <c r="G276" s="20" t="n"/>
      <c r="H276" s="8" t="n"/>
      <c r="I276" s="20" t="n"/>
      <c r="J276" s="21">
        <f>IF(B276="","",F276+G276)</f>
        <v/>
      </c>
      <c r="K276" s="21">
        <f>IF(B276="","",J276*(Settings!$C$11+Settings!$C$12+Settings!$C$14)+IF(C276="",Settings!$C$13,IF(COUNTIF($C$5:C276,C276)=1,Settings!$C$13,0))+E276*Settings!$C$15+IF(H276="Yes",J276*Settings!$C$16,0))</f>
        <v/>
      </c>
      <c r="L276" s="21">
        <f>IF(B276="","",IF(Settings!$C$5="Yes",0,K276*Settings!$C$17))</f>
        <v/>
      </c>
      <c r="M276" s="21">
        <f>IF(B276="","",E276*IFERROR(VLOOKUP(D276,Products!$B$5:$F$204,5,FALSE),0))</f>
        <v/>
      </c>
      <c r="N276" s="21">
        <f>IF(B276="","",J276-K276-L276-M276-I276)</f>
        <v/>
      </c>
    </row>
    <row r="277">
      <c r="B277" s="11" t="n"/>
      <c r="C277" s="8" t="n"/>
      <c r="D277" s="8" t="n"/>
      <c r="E277" s="8" t="n"/>
      <c r="F277" s="20" t="n"/>
      <c r="G277" s="20" t="n"/>
      <c r="H277" s="8" t="n"/>
      <c r="I277" s="20" t="n"/>
      <c r="J277" s="21">
        <f>IF(B277="","",F277+G277)</f>
        <v/>
      </c>
      <c r="K277" s="21">
        <f>IF(B277="","",J277*(Settings!$C$11+Settings!$C$12+Settings!$C$14)+IF(C277="",Settings!$C$13,IF(COUNTIF($C$5:C277,C277)=1,Settings!$C$13,0))+E277*Settings!$C$15+IF(H277="Yes",J277*Settings!$C$16,0))</f>
        <v/>
      </c>
      <c r="L277" s="21">
        <f>IF(B277="","",IF(Settings!$C$5="Yes",0,K277*Settings!$C$17))</f>
        <v/>
      </c>
      <c r="M277" s="21">
        <f>IF(B277="","",E277*IFERROR(VLOOKUP(D277,Products!$B$5:$F$204,5,FALSE),0))</f>
        <v/>
      </c>
      <c r="N277" s="21">
        <f>IF(B277="","",J277-K277-L277-M277-I277)</f>
        <v/>
      </c>
    </row>
    <row r="278">
      <c r="B278" s="11" t="n"/>
      <c r="C278" s="8" t="n"/>
      <c r="D278" s="8" t="n"/>
      <c r="E278" s="8" t="n"/>
      <c r="F278" s="20" t="n"/>
      <c r="G278" s="20" t="n"/>
      <c r="H278" s="8" t="n"/>
      <c r="I278" s="20" t="n"/>
      <c r="J278" s="21">
        <f>IF(B278="","",F278+G278)</f>
        <v/>
      </c>
      <c r="K278" s="21">
        <f>IF(B278="","",J278*(Settings!$C$11+Settings!$C$12+Settings!$C$14)+IF(C278="",Settings!$C$13,IF(COUNTIF($C$5:C278,C278)=1,Settings!$C$13,0))+E278*Settings!$C$15+IF(H278="Yes",J278*Settings!$C$16,0))</f>
        <v/>
      </c>
      <c r="L278" s="21">
        <f>IF(B278="","",IF(Settings!$C$5="Yes",0,K278*Settings!$C$17))</f>
        <v/>
      </c>
      <c r="M278" s="21">
        <f>IF(B278="","",E278*IFERROR(VLOOKUP(D278,Products!$B$5:$F$204,5,FALSE),0))</f>
        <v/>
      </c>
      <c r="N278" s="21">
        <f>IF(B278="","",J278-K278-L278-M278-I278)</f>
        <v/>
      </c>
    </row>
    <row r="279">
      <c r="B279" s="11" t="n"/>
      <c r="C279" s="8" t="n"/>
      <c r="D279" s="8" t="n"/>
      <c r="E279" s="8" t="n"/>
      <c r="F279" s="20" t="n"/>
      <c r="G279" s="20" t="n"/>
      <c r="H279" s="8" t="n"/>
      <c r="I279" s="20" t="n"/>
      <c r="J279" s="21">
        <f>IF(B279="","",F279+G279)</f>
        <v/>
      </c>
      <c r="K279" s="21">
        <f>IF(B279="","",J279*(Settings!$C$11+Settings!$C$12+Settings!$C$14)+IF(C279="",Settings!$C$13,IF(COUNTIF($C$5:C279,C279)=1,Settings!$C$13,0))+E279*Settings!$C$15+IF(H279="Yes",J279*Settings!$C$16,0))</f>
        <v/>
      </c>
      <c r="L279" s="21">
        <f>IF(B279="","",IF(Settings!$C$5="Yes",0,K279*Settings!$C$17))</f>
        <v/>
      </c>
      <c r="M279" s="21">
        <f>IF(B279="","",E279*IFERROR(VLOOKUP(D279,Products!$B$5:$F$204,5,FALSE),0))</f>
        <v/>
      </c>
      <c r="N279" s="21">
        <f>IF(B279="","",J279-K279-L279-M279-I279)</f>
        <v/>
      </c>
    </row>
    <row r="280">
      <c r="B280" s="11" t="n"/>
      <c r="C280" s="8" t="n"/>
      <c r="D280" s="8" t="n"/>
      <c r="E280" s="8" t="n"/>
      <c r="F280" s="20" t="n"/>
      <c r="G280" s="20" t="n"/>
      <c r="H280" s="8" t="n"/>
      <c r="I280" s="20" t="n"/>
      <c r="J280" s="21">
        <f>IF(B280="","",F280+G280)</f>
        <v/>
      </c>
      <c r="K280" s="21">
        <f>IF(B280="","",J280*(Settings!$C$11+Settings!$C$12+Settings!$C$14)+IF(C280="",Settings!$C$13,IF(COUNTIF($C$5:C280,C280)=1,Settings!$C$13,0))+E280*Settings!$C$15+IF(H280="Yes",J280*Settings!$C$16,0))</f>
        <v/>
      </c>
      <c r="L280" s="21">
        <f>IF(B280="","",IF(Settings!$C$5="Yes",0,K280*Settings!$C$17))</f>
        <v/>
      </c>
      <c r="M280" s="21">
        <f>IF(B280="","",E280*IFERROR(VLOOKUP(D280,Products!$B$5:$F$204,5,FALSE),0))</f>
        <v/>
      </c>
      <c r="N280" s="21">
        <f>IF(B280="","",J280-K280-L280-M280-I280)</f>
        <v/>
      </c>
    </row>
    <row r="281">
      <c r="B281" s="11" t="n"/>
      <c r="C281" s="8" t="n"/>
      <c r="D281" s="8" t="n"/>
      <c r="E281" s="8" t="n"/>
      <c r="F281" s="20" t="n"/>
      <c r="G281" s="20" t="n"/>
      <c r="H281" s="8" t="n"/>
      <c r="I281" s="20" t="n"/>
      <c r="J281" s="21">
        <f>IF(B281="","",F281+G281)</f>
        <v/>
      </c>
      <c r="K281" s="21">
        <f>IF(B281="","",J281*(Settings!$C$11+Settings!$C$12+Settings!$C$14)+IF(C281="",Settings!$C$13,IF(COUNTIF($C$5:C281,C281)=1,Settings!$C$13,0))+E281*Settings!$C$15+IF(H281="Yes",J281*Settings!$C$16,0))</f>
        <v/>
      </c>
      <c r="L281" s="21">
        <f>IF(B281="","",IF(Settings!$C$5="Yes",0,K281*Settings!$C$17))</f>
        <v/>
      </c>
      <c r="M281" s="21">
        <f>IF(B281="","",E281*IFERROR(VLOOKUP(D281,Products!$B$5:$F$204,5,FALSE),0))</f>
        <v/>
      </c>
      <c r="N281" s="21">
        <f>IF(B281="","",J281-K281-L281-M281-I281)</f>
        <v/>
      </c>
    </row>
    <row r="282">
      <c r="B282" s="11" t="n"/>
      <c r="C282" s="8" t="n"/>
      <c r="D282" s="8" t="n"/>
      <c r="E282" s="8" t="n"/>
      <c r="F282" s="20" t="n"/>
      <c r="G282" s="20" t="n"/>
      <c r="H282" s="8" t="n"/>
      <c r="I282" s="20" t="n"/>
      <c r="J282" s="21">
        <f>IF(B282="","",F282+G282)</f>
        <v/>
      </c>
      <c r="K282" s="21">
        <f>IF(B282="","",J282*(Settings!$C$11+Settings!$C$12+Settings!$C$14)+IF(C282="",Settings!$C$13,IF(COUNTIF($C$5:C282,C282)=1,Settings!$C$13,0))+E282*Settings!$C$15+IF(H282="Yes",J282*Settings!$C$16,0))</f>
        <v/>
      </c>
      <c r="L282" s="21">
        <f>IF(B282="","",IF(Settings!$C$5="Yes",0,K282*Settings!$C$17))</f>
        <v/>
      </c>
      <c r="M282" s="21">
        <f>IF(B282="","",E282*IFERROR(VLOOKUP(D282,Products!$B$5:$F$204,5,FALSE),0))</f>
        <v/>
      </c>
      <c r="N282" s="21">
        <f>IF(B282="","",J282-K282-L282-M282-I282)</f>
        <v/>
      </c>
    </row>
    <row r="283">
      <c r="B283" s="11" t="n"/>
      <c r="C283" s="8" t="n"/>
      <c r="D283" s="8" t="n"/>
      <c r="E283" s="8" t="n"/>
      <c r="F283" s="20" t="n"/>
      <c r="G283" s="20" t="n"/>
      <c r="H283" s="8" t="n"/>
      <c r="I283" s="20" t="n"/>
      <c r="J283" s="21">
        <f>IF(B283="","",F283+G283)</f>
        <v/>
      </c>
      <c r="K283" s="21">
        <f>IF(B283="","",J283*(Settings!$C$11+Settings!$C$12+Settings!$C$14)+IF(C283="",Settings!$C$13,IF(COUNTIF($C$5:C283,C283)=1,Settings!$C$13,0))+E283*Settings!$C$15+IF(H283="Yes",J283*Settings!$C$16,0))</f>
        <v/>
      </c>
      <c r="L283" s="21">
        <f>IF(B283="","",IF(Settings!$C$5="Yes",0,K283*Settings!$C$17))</f>
        <v/>
      </c>
      <c r="M283" s="21">
        <f>IF(B283="","",E283*IFERROR(VLOOKUP(D283,Products!$B$5:$F$204,5,FALSE),0))</f>
        <v/>
      </c>
      <c r="N283" s="21">
        <f>IF(B283="","",J283-K283-L283-M283-I283)</f>
        <v/>
      </c>
    </row>
    <row r="284">
      <c r="B284" s="11" t="n"/>
      <c r="C284" s="8" t="n"/>
      <c r="D284" s="8" t="n"/>
      <c r="E284" s="8" t="n"/>
      <c r="F284" s="20" t="n"/>
      <c r="G284" s="20" t="n"/>
      <c r="H284" s="8" t="n"/>
      <c r="I284" s="20" t="n"/>
      <c r="J284" s="21">
        <f>IF(B284="","",F284+G284)</f>
        <v/>
      </c>
      <c r="K284" s="21">
        <f>IF(B284="","",J284*(Settings!$C$11+Settings!$C$12+Settings!$C$14)+IF(C284="",Settings!$C$13,IF(COUNTIF($C$5:C284,C284)=1,Settings!$C$13,0))+E284*Settings!$C$15+IF(H284="Yes",J284*Settings!$C$16,0))</f>
        <v/>
      </c>
      <c r="L284" s="21">
        <f>IF(B284="","",IF(Settings!$C$5="Yes",0,K284*Settings!$C$17))</f>
        <v/>
      </c>
      <c r="M284" s="21">
        <f>IF(B284="","",E284*IFERROR(VLOOKUP(D284,Products!$B$5:$F$204,5,FALSE),0))</f>
        <v/>
      </c>
      <c r="N284" s="21">
        <f>IF(B284="","",J284-K284-L284-M284-I284)</f>
        <v/>
      </c>
    </row>
    <row r="285">
      <c r="B285" s="11" t="n"/>
      <c r="C285" s="8" t="n"/>
      <c r="D285" s="8" t="n"/>
      <c r="E285" s="8" t="n"/>
      <c r="F285" s="20" t="n"/>
      <c r="G285" s="20" t="n"/>
      <c r="H285" s="8" t="n"/>
      <c r="I285" s="20" t="n"/>
      <c r="J285" s="21">
        <f>IF(B285="","",F285+G285)</f>
        <v/>
      </c>
      <c r="K285" s="21">
        <f>IF(B285="","",J285*(Settings!$C$11+Settings!$C$12+Settings!$C$14)+IF(C285="",Settings!$C$13,IF(COUNTIF($C$5:C285,C285)=1,Settings!$C$13,0))+E285*Settings!$C$15+IF(H285="Yes",J285*Settings!$C$16,0))</f>
        <v/>
      </c>
      <c r="L285" s="21">
        <f>IF(B285="","",IF(Settings!$C$5="Yes",0,K285*Settings!$C$17))</f>
        <v/>
      </c>
      <c r="M285" s="21">
        <f>IF(B285="","",E285*IFERROR(VLOOKUP(D285,Products!$B$5:$F$204,5,FALSE),0))</f>
        <v/>
      </c>
      <c r="N285" s="21">
        <f>IF(B285="","",J285-K285-L285-M285-I285)</f>
        <v/>
      </c>
    </row>
    <row r="286">
      <c r="B286" s="11" t="n"/>
      <c r="C286" s="8" t="n"/>
      <c r="D286" s="8" t="n"/>
      <c r="E286" s="8" t="n"/>
      <c r="F286" s="20" t="n"/>
      <c r="G286" s="20" t="n"/>
      <c r="H286" s="8" t="n"/>
      <c r="I286" s="20" t="n"/>
      <c r="J286" s="21">
        <f>IF(B286="","",F286+G286)</f>
        <v/>
      </c>
      <c r="K286" s="21">
        <f>IF(B286="","",J286*(Settings!$C$11+Settings!$C$12+Settings!$C$14)+IF(C286="",Settings!$C$13,IF(COUNTIF($C$5:C286,C286)=1,Settings!$C$13,0))+E286*Settings!$C$15+IF(H286="Yes",J286*Settings!$C$16,0))</f>
        <v/>
      </c>
      <c r="L286" s="21">
        <f>IF(B286="","",IF(Settings!$C$5="Yes",0,K286*Settings!$C$17))</f>
        <v/>
      </c>
      <c r="M286" s="21">
        <f>IF(B286="","",E286*IFERROR(VLOOKUP(D286,Products!$B$5:$F$204,5,FALSE),0))</f>
        <v/>
      </c>
      <c r="N286" s="21">
        <f>IF(B286="","",J286-K286-L286-M286-I286)</f>
        <v/>
      </c>
    </row>
    <row r="287">
      <c r="B287" s="11" t="n"/>
      <c r="C287" s="8" t="n"/>
      <c r="D287" s="8" t="n"/>
      <c r="E287" s="8" t="n"/>
      <c r="F287" s="20" t="n"/>
      <c r="G287" s="20" t="n"/>
      <c r="H287" s="8" t="n"/>
      <c r="I287" s="20" t="n"/>
      <c r="J287" s="21">
        <f>IF(B287="","",F287+G287)</f>
        <v/>
      </c>
      <c r="K287" s="21">
        <f>IF(B287="","",J287*(Settings!$C$11+Settings!$C$12+Settings!$C$14)+IF(C287="",Settings!$C$13,IF(COUNTIF($C$5:C287,C287)=1,Settings!$C$13,0))+E287*Settings!$C$15+IF(H287="Yes",J287*Settings!$C$16,0))</f>
        <v/>
      </c>
      <c r="L287" s="21">
        <f>IF(B287="","",IF(Settings!$C$5="Yes",0,K287*Settings!$C$17))</f>
        <v/>
      </c>
      <c r="M287" s="21">
        <f>IF(B287="","",E287*IFERROR(VLOOKUP(D287,Products!$B$5:$F$204,5,FALSE),0))</f>
        <v/>
      </c>
      <c r="N287" s="21">
        <f>IF(B287="","",J287-K287-L287-M287-I287)</f>
        <v/>
      </c>
    </row>
    <row r="288">
      <c r="B288" s="11" t="n"/>
      <c r="C288" s="8" t="n"/>
      <c r="D288" s="8" t="n"/>
      <c r="E288" s="8" t="n"/>
      <c r="F288" s="20" t="n"/>
      <c r="G288" s="20" t="n"/>
      <c r="H288" s="8" t="n"/>
      <c r="I288" s="20" t="n"/>
      <c r="J288" s="21">
        <f>IF(B288="","",F288+G288)</f>
        <v/>
      </c>
      <c r="K288" s="21">
        <f>IF(B288="","",J288*(Settings!$C$11+Settings!$C$12+Settings!$C$14)+IF(C288="",Settings!$C$13,IF(COUNTIF($C$5:C288,C288)=1,Settings!$C$13,0))+E288*Settings!$C$15+IF(H288="Yes",J288*Settings!$C$16,0))</f>
        <v/>
      </c>
      <c r="L288" s="21">
        <f>IF(B288="","",IF(Settings!$C$5="Yes",0,K288*Settings!$C$17))</f>
        <v/>
      </c>
      <c r="M288" s="21">
        <f>IF(B288="","",E288*IFERROR(VLOOKUP(D288,Products!$B$5:$F$204,5,FALSE),0))</f>
        <v/>
      </c>
      <c r="N288" s="21">
        <f>IF(B288="","",J288-K288-L288-M288-I288)</f>
        <v/>
      </c>
    </row>
    <row r="289">
      <c r="B289" s="11" t="n"/>
      <c r="C289" s="8" t="n"/>
      <c r="D289" s="8" t="n"/>
      <c r="E289" s="8" t="n"/>
      <c r="F289" s="20" t="n"/>
      <c r="G289" s="20" t="n"/>
      <c r="H289" s="8" t="n"/>
      <c r="I289" s="20" t="n"/>
      <c r="J289" s="21">
        <f>IF(B289="","",F289+G289)</f>
        <v/>
      </c>
      <c r="K289" s="21">
        <f>IF(B289="","",J289*(Settings!$C$11+Settings!$C$12+Settings!$C$14)+IF(C289="",Settings!$C$13,IF(COUNTIF($C$5:C289,C289)=1,Settings!$C$13,0))+E289*Settings!$C$15+IF(H289="Yes",J289*Settings!$C$16,0))</f>
        <v/>
      </c>
      <c r="L289" s="21">
        <f>IF(B289="","",IF(Settings!$C$5="Yes",0,K289*Settings!$C$17))</f>
        <v/>
      </c>
      <c r="M289" s="21">
        <f>IF(B289="","",E289*IFERROR(VLOOKUP(D289,Products!$B$5:$F$204,5,FALSE),0))</f>
        <v/>
      </c>
      <c r="N289" s="21">
        <f>IF(B289="","",J289-K289-L289-M289-I289)</f>
        <v/>
      </c>
    </row>
    <row r="290">
      <c r="B290" s="11" t="n"/>
      <c r="C290" s="8" t="n"/>
      <c r="D290" s="8" t="n"/>
      <c r="E290" s="8" t="n"/>
      <c r="F290" s="20" t="n"/>
      <c r="G290" s="20" t="n"/>
      <c r="H290" s="8" t="n"/>
      <c r="I290" s="20" t="n"/>
      <c r="J290" s="21">
        <f>IF(B290="","",F290+G290)</f>
        <v/>
      </c>
      <c r="K290" s="21">
        <f>IF(B290="","",J290*(Settings!$C$11+Settings!$C$12+Settings!$C$14)+IF(C290="",Settings!$C$13,IF(COUNTIF($C$5:C290,C290)=1,Settings!$C$13,0))+E290*Settings!$C$15+IF(H290="Yes",J290*Settings!$C$16,0))</f>
        <v/>
      </c>
      <c r="L290" s="21">
        <f>IF(B290="","",IF(Settings!$C$5="Yes",0,K290*Settings!$C$17))</f>
        <v/>
      </c>
      <c r="M290" s="21">
        <f>IF(B290="","",E290*IFERROR(VLOOKUP(D290,Products!$B$5:$F$204,5,FALSE),0))</f>
        <v/>
      </c>
      <c r="N290" s="21">
        <f>IF(B290="","",J290-K290-L290-M290-I290)</f>
        <v/>
      </c>
    </row>
    <row r="291">
      <c r="B291" s="11" t="n"/>
      <c r="C291" s="8" t="n"/>
      <c r="D291" s="8" t="n"/>
      <c r="E291" s="8" t="n"/>
      <c r="F291" s="20" t="n"/>
      <c r="G291" s="20" t="n"/>
      <c r="H291" s="8" t="n"/>
      <c r="I291" s="20" t="n"/>
      <c r="J291" s="21">
        <f>IF(B291="","",F291+G291)</f>
        <v/>
      </c>
      <c r="K291" s="21">
        <f>IF(B291="","",J291*(Settings!$C$11+Settings!$C$12+Settings!$C$14)+IF(C291="",Settings!$C$13,IF(COUNTIF($C$5:C291,C291)=1,Settings!$C$13,0))+E291*Settings!$C$15+IF(H291="Yes",J291*Settings!$C$16,0))</f>
        <v/>
      </c>
      <c r="L291" s="21">
        <f>IF(B291="","",IF(Settings!$C$5="Yes",0,K291*Settings!$C$17))</f>
        <v/>
      </c>
      <c r="M291" s="21">
        <f>IF(B291="","",E291*IFERROR(VLOOKUP(D291,Products!$B$5:$F$204,5,FALSE),0))</f>
        <v/>
      </c>
      <c r="N291" s="21">
        <f>IF(B291="","",J291-K291-L291-M291-I291)</f>
        <v/>
      </c>
    </row>
    <row r="292">
      <c r="B292" s="11" t="n"/>
      <c r="C292" s="8" t="n"/>
      <c r="D292" s="8" t="n"/>
      <c r="E292" s="8" t="n"/>
      <c r="F292" s="20" t="n"/>
      <c r="G292" s="20" t="n"/>
      <c r="H292" s="8" t="n"/>
      <c r="I292" s="20" t="n"/>
      <c r="J292" s="21">
        <f>IF(B292="","",F292+G292)</f>
        <v/>
      </c>
      <c r="K292" s="21">
        <f>IF(B292="","",J292*(Settings!$C$11+Settings!$C$12+Settings!$C$14)+IF(C292="",Settings!$C$13,IF(COUNTIF($C$5:C292,C292)=1,Settings!$C$13,0))+E292*Settings!$C$15+IF(H292="Yes",J292*Settings!$C$16,0))</f>
        <v/>
      </c>
      <c r="L292" s="21">
        <f>IF(B292="","",IF(Settings!$C$5="Yes",0,K292*Settings!$C$17))</f>
        <v/>
      </c>
      <c r="M292" s="21">
        <f>IF(B292="","",E292*IFERROR(VLOOKUP(D292,Products!$B$5:$F$204,5,FALSE),0))</f>
        <v/>
      </c>
      <c r="N292" s="21">
        <f>IF(B292="","",J292-K292-L292-M292-I292)</f>
        <v/>
      </c>
    </row>
    <row r="293">
      <c r="B293" s="11" t="n"/>
      <c r="C293" s="8" t="n"/>
      <c r="D293" s="8" t="n"/>
      <c r="E293" s="8" t="n"/>
      <c r="F293" s="20" t="n"/>
      <c r="G293" s="20" t="n"/>
      <c r="H293" s="8" t="n"/>
      <c r="I293" s="20" t="n"/>
      <c r="J293" s="21">
        <f>IF(B293="","",F293+G293)</f>
        <v/>
      </c>
      <c r="K293" s="21">
        <f>IF(B293="","",J293*(Settings!$C$11+Settings!$C$12+Settings!$C$14)+IF(C293="",Settings!$C$13,IF(COUNTIF($C$5:C293,C293)=1,Settings!$C$13,0))+E293*Settings!$C$15+IF(H293="Yes",J293*Settings!$C$16,0))</f>
        <v/>
      </c>
      <c r="L293" s="21">
        <f>IF(B293="","",IF(Settings!$C$5="Yes",0,K293*Settings!$C$17))</f>
        <v/>
      </c>
      <c r="M293" s="21">
        <f>IF(B293="","",E293*IFERROR(VLOOKUP(D293,Products!$B$5:$F$204,5,FALSE),0))</f>
        <v/>
      </c>
      <c r="N293" s="21">
        <f>IF(B293="","",J293-K293-L293-M293-I293)</f>
        <v/>
      </c>
    </row>
    <row r="294">
      <c r="B294" s="11" t="n"/>
      <c r="C294" s="8" t="n"/>
      <c r="D294" s="8" t="n"/>
      <c r="E294" s="8" t="n"/>
      <c r="F294" s="20" t="n"/>
      <c r="G294" s="20" t="n"/>
      <c r="H294" s="8" t="n"/>
      <c r="I294" s="20" t="n"/>
      <c r="J294" s="21">
        <f>IF(B294="","",F294+G294)</f>
        <v/>
      </c>
      <c r="K294" s="21">
        <f>IF(B294="","",J294*(Settings!$C$11+Settings!$C$12+Settings!$C$14)+IF(C294="",Settings!$C$13,IF(COUNTIF($C$5:C294,C294)=1,Settings!$C$13,0))+E294*Settings!$C$15+IF(H294="Yes",J294*Settings!$C$16,0))</f>
        <v/>
      </c>
      <c r="L294" s="21">
        <f>IF(B294="","",IF(Settings!$C$5="Yes",0,K294*Settings!$C$17))</f>
        <v/>
      </c>
      <c r="M294" s="21">
        <f>IF(B294="","",E294*IFERROR(VLOOKUP(D294,Products!$B$5:$F$204,5,FALSE),0))</f>
        <v/>
      </c>
      <c r="N294" s="21">
        <f>IF(B294="","",J294-K294-L294-M294-I294)</f>
        <v/>
      </c>
    </row>
    <row r="295">
      <c r="B295" s="11" t="n"/>
      <c r="C295" s="8" t="n"/>
      <c r="D295" s="8" t="n"/>
      <c r="E295" s="8" t="n"/>
      <c r="F295" s="20" t="n"/>
      <c r="G295" s="20" t="n"/>
      <c r="H295" s="8" t="n"/>
      <c r="I295" s="20" t="n"/>
      <c r="J295" s="21">
        <f>IF(B295="","",F295+G295)</f>
        <v/>
      </c>
      <c r="K295" s="21">
        <f>IF(B295="","",J295*(Settings!$C$11+Settings!$C$12+Settings!$C$14)+IF(C295="",Settings!$C$13,IF(COUNTIF($C$5:C295,C295)=1,Settings!$C$13,0))+E295*Settings!$C$15+IF(H295="Yes",J295*Settings!$C$16,0))</f>
        <v/>
      </c>
      <c r="L295" s="21">
        <f>IF(B295="","",IF(Settings!$C$5="Yes",0,K295*Settings!$C$17))</f>
        <v/>
      </c>
      <c r="M295" s="21">
        <f>IF(B295="","",E295*IFERROR(VLOOKUP(D295,Products!$B$5:$F$204,5,FALSE),0))</f>
        <v/>
      </c>
      <c r="N295" s="21">
        <f>IF(B295="","",J295-K295-L295-M295-I295)</f>
        <v/>
      </c>
    </row>
    <row r="296">
      <c r="B296" s="11" t="n"/>
      <c r="C296" s="8" t="n"/>
      <c r="D296" s="8" t="n"/>
      <c r="E296" s="8" t="n"/>
      <c r="F296" s="20" t="n"/>
      <c r="G296" s="20" t="n"/>
      <c r="H296" s="8" t="n"/>
      <c r="I296" s="20" t="n"/>
      <c r="J296" s="21">
        <f>IF(B296="","",F296+G296)</f>
        <v/>
      </c>
      <c r="K296" s="21">
        <f>IF(B296="","",J296*(Settings!$C$11+Settings!$C$12+Settings!$C$14)+IF(C296="",Settings!$C$13,IF(COUNTIF($C$5:C296,C296)=1,Settings!$C$13,0))+E296*Settings!$C$15+IF(H296="Yes",J296*Settings!$C$16,0))</f>
        <v/>
      </c>
      <c r="L296" s="21">
        <f>IF(B296="","",IF(Settings!$C$5="Yes",0,K296*Settings!$C$17))</f>
        <v/>
      </c>
      <c r="M296" s="21">
        <f>IF(B296="","",E296*IFERROR(VLOOKUP(D296,Products!$B$5:$F$204,5,FALSE),0))</f>
        <v/>
      </c>
      <c r="N296" s="21">
        <f>IF(B296="","",J296-K296-L296-M296-I296)</f>
        <v/>
      </c>
    </row>
    <row r="297">
      <c r="B297" s="11" t="n"/>
      <c r="C297" s="8" t="n"/>
      <c r="D297" s="8" t="n"/>
      <c r="E297" s="8" t="n"/>
      <c r="F297" s="20" t="n"/>
      <c r="G297" s="20" t="n"/>
      <c r="H297" s="8" t="n"/>
      <c r="I297" s="20" t="n"/>
      <c r="J297" s="21">
        <f>IF(B297="","",F297+G297)</f>
        <v/>
      </c>
      <c r="K297" s="21">
        <f>IF(B297="","",J297*(Settings!$C$11+Settings!$C$12+Settings!$C$14)+IF(C297="",Settings!$C$13,IF(COUNTIF($C$5:C297,C297)=1,Settings!$C$13,0))+E297*Settings!$C$15+IF(H297="Yes",J297*Settings!$C$16,0))</f>
        <v/>
      </c>
      <c r="L297" s="21">
        <f>IF(B297="","",IF(Settings!$C$5="Yes",0,K297*Settings!$C$17))</f>
        <v/>
      </c>
      <c r="M297" s="21">
        <f>IF(B297="","",E297*IFERROR(VLOOKUP(D297,Products!$B$5:$F$204,5,FALSE),0))</f>
        <v/>
      </c>
      <c r="N297" s="21">
        <f>IF(B297="","",J297-K297-L297-M297-I297)</f>
        <v/>
      </c>
    </row>
    <row r="298">
      <c r="B298" s="11" t="n"/>
      <c r="C298" s="8" t="n"/>
      <c r="D298" s="8" t="n"/>
      <c r="E298" s="8" t="n"/>
      <c r="F298" s="20" t="n"/>
      <c r="G298" s="20" t="n"/>
      <c r="H298" s="8" t="n"/>
      <c r="I298" s="20" t="n"/>
      <c r="J298" s="21">
        <f>IF(B298="","",F298+G298)</f>
        <v/>
      </c>
      <c r="K298" s="21">
        <f>IF(B298="","",J298*(Settings!$C$11+Settings!$C$12+Settings!$C$14)+IF(C298="",Settings!$C$13,IF(COUNTIF($C$5:C298,C298)=1,Settings!$C$13,0))+E298*Settings!$C$15+IF(H298="Yes",J298*Settings!$C$16,0))</f>
        <v/>
      </c>
      <c r="L298" s="21">
        <f>IF(B298="","",IF(Settings!$C$5="Yes",0,K298*Settings!$C$17))</f>
        <v/>
      </c>
      <c r="M298" s="21">
        <f>IF(B298="","",E298*IFERROR(VLOOKUP(D298,Products!$B$5:$F$204,5,FALSE),0))</f>
        <v/>
      </c>
      <c r="N298" s="21">
        <f>IF(B298="","",J298-K298-L298-M298-I298)</f>
        <v/>
      </c>
    </row>
    <row r="299">
      <c r="B299" s="11" t="n"/>
      <c r="C299" s="8" t="n"/>
      <c r="D299" s="8" t="n"/>
      <c r="E299" s="8" t="n"/>
      <c r="F299" s="20" t="n"/>
      <c r="G299" s="20" t="n"/>
      <c r="H299" s="8" t="n"/>
      <c r="I299" s="20" t="n"/>
      <c r="J299" s="21">
        <f>IF(B299="","",F299+G299)</f>
        <v/>
      </c>
      <c r="K299" s="21">
        <f>IF(B299="","",J299*(Settings!$C$11+Settings!$C$12+Settings!$C$14)+IF(C299="",Settings!$C$13,IF(COUNTIF($C$5:C299,C299)=1,Settings!$C$13,0))+E299*Settings!$C$15+IF(H299="Yes",J299*Settings!$C$16,0))</f>
        <v/>
      </c>
      <c r="L299" s="21">
        <f>IF(B299="","",IF(Settings!$C$5="Yes",0,K299*Settings!$C$17))</f>
        <v/>
      </c>
      <c r="M299" s="21">
        <f>IF(B299="","",E299*IFERROR(VLOOKUP(D299,Products!$B$5:$F$204,5,FALSE),0))</f>
        <v/>
      </c>
      <c r="N299" s="21">
        <f>IF(B299="","",J299-K299-L299-M299-I299)</f>
        <v/>
      </c>
    </row>
    <row r="300">
      <c r="B300" s="11" t="n"/>
      <c r="C300" s="8" t="n"/>
      <c r="D300" s="8" t="n"/>
      <c r="E300" s="8" t="n"/>
      <c r="F300" s="20" t="n"/>
      <c r="G300" s="20" t="n"/>
      <c r="H300" s="8" t="n"/>
      <c r="I300" s="20" t="n"/>
      <c r="J300" s="21">
        <f>IF(B300="","",F300+G300)</f>
        <v/>
      </c>
      <c r="K300" s="21">
        <f>IF(B300="","",J300*(Settings!$C$11+Settings!$C$12+Settings!$C$14)+IF(C300="",Settings!$C$13,IF(COUNTIF($C$5:C300,C300)=1,Settings!$C$13,0))+E300*Settings!$C$15+IF(H300="Yes",J300*Settings!$C$16,0))</f>
        <v/>
      </c>
      <c r="L300" s="21">
        <f>IF(B300="","",IF(Settings!$C$5="Yes",0,K300*Settings!$C$17))</f>
        <v/>
      </c>
      <c r="M300" s="21">
        <f>IF(B300="","",E300*IFERROR(VLOOKUP(D300,Products!$B$5:$F$204,5,FALSE),0))</f>
        <v/>
      </c>
      <c r="N300" s="21">
        <f>IF(B300="","",J300-K300-L300-M300-I300)</f>
        <v/>
      </c>
    </row>
    <row r="301">
      <c r="B301" s="11" t="n"/>
      <c r="C301" s="8" t="n"/>
      <c r="D301" s="8" t="n"/>
      <c r="E301" s="8" t="n"/>
      <c r="F301" s="20" t="n"/>
      <c r="G301" s="20" t="n"/>
      <c r="H301" s="8" t="n"/>
      <c r="I301" s="20" t="n"/>
      <c r="J301" s="21">
        <f>IF(B301="","",F301+G301)</f>
        <v/>
      </c>
      <c r="K301" s="21">
        <f>IF(B301="","",J301*(Settings!$C$11+Settings!$C$12+Settings!$C$14)+IF(C301="",Settings!$C$13,IF(COUNTIF($C$5:C301,C301)=1,Settings!$C$13,0))+E301*Settings!$C$15+IF(H301="Yes",J301*Settings!$C$16,0))</f>
        <v/>
      </c>
      <c r="L301" s="21">
        <f>IF(B301="","",IF(Settings!$C$5="Yes",0,K301*Settings!$C$17))</f>
        <v/>
      </c>
      <c r="M301" s="21">
        <f>IF(B301="","",E301*IFERROR(VLOOKUP(D301,Products!$B$5:$F$204,5,FALSE),0))</f>
        <v/>
      </c>
      <c r="N301" s="21">
        <f>IF(B301="","",J301-K301-L301-M301-I301)</f>
        <v/>
      </c>
    </row>
    <row r="302">
      <c r="B302" s="11" t="n"/>
      <c r="C302" s="8" t="n"/>
      <c r="D302" s="8" t="n"/>
      <c r="E302" s="8" t="n"/>
      <c r="F302" s="20" t="n"/>
      <c r="G302" s="20" t="n"/>
      <c r="H302" s="8" t="n"/>
      <c r="I302" s="20" t="n"/>
      <c r="J302" s="21">
        <f>IF(B302="","",F302+G302)</f>
        <v/>
      </c>
      <c r="K302" s="21">
        <f>IF(B302="","",J302*(Settings!$C$11+Settings!$C$12+Settings!$C$14)+IF(C302="",Settings!$C$13,IF(COUNTIF($C$5:C302,C302)=1,Settings!$C$13,0))+E302*Settings!$C$15+IF(H302="Yes",J302*Settings!$C$16,0))</f>
        <v/>
      </c>
      <c r="L302" s="21">
        <f>IF(B302="","",IF(Settings!$C$5="Yes",0,K302*Settings!$C$17))</f>
        <v/>
      </c>
      <c r="M302" s="21">
        <f>IF(B302="","",E302*IFERROR(VLOOKUP(D302,Products!$B$5:$F$204,5,FALSE),0))</f>
        <v/>
      </c>
      <c r="N302" s="21">
        <f>IF(B302="","",J302-K302-L302-M302-I302)</f>
        <v/>
      </c>
    </row>
    <row r="303">
      <c r="B303" s="11" t="n"/>
      <c r="C303" s="8" t="n"/>
      <c r="D303" s="8" t="n"/>
      <c r="E303" s="8" t="n"/>
      <c r="F303" s="20" t="n"/>
      <c r="G303" s="20" t="n"/>
      <c r="H303" s="8" t="n"/>
      <c r="I303" s="20" t="n"/>
      <c r="J303" s="21">
        <f>IF(B303="","",F303+G303)</f>
        <v/>
      </c>
      <c r="K303" s="21">
        <f>IF(B303="","",J303*(Settings!$C$11+Settings!$C$12+Settings!$C$14)+IF(C303="",Settings!$C$13,IF(COUNTIF($C$5:C303,C303)=1,Settings!$C$13,0))+E303*Settings!$C$15+IF(H303="Yes",J303*Settings!$C$16,0))</f>
        <v/>
      </c>
      <c r="L303" s="21">
        <f>IF(B303="","",IF(Settings!$C$5="Yes",0,K303*Settings!$C$17))</f>
        <v/>
      </c>
      <c r="M303" s="21">
        <f>IF(B303="","",E303*IFERROR(VLOOKUP(D303,Products!$B$5:$F$204,5,FALSE),0))</f>
        <v/>
      </c>
      <c r="N303" s="21">
        <f>IF(B303="","",J303-K303-L303-M303-I303)</f>
        <v/>
      </c>
    </row>
    <row r="304">
      <c r="B304" s="11" t="n"/>
      <c r="C304" s="8" t="n"/>
      <c r="D304" s="8" t="n"/>
      <c r="E304" s="8" t="n"/>
      <c r="F304" s="20" t="n"/>
      <c r="G304" s="20" t="n"/>
      <c r="H304" s="8" t="n"/>
      <c r="I304" s="20" t="n"/>
      <c r="J304" s="21">
        <f>IF(B304="","",F304+G304)</f>
        <v/>
      </c>
      <c r="K304" s="21">
        <f>IF(B304="","",J304*(Settings!$C$11+Settings!$C$12+Settings!$C$14)+IF(C304="",Settings!$C$13,IF(COUNTIF($C$5:C304,C304)=1,Settings!$C$13,0))+E304*Settings!$C$15+IF(H304="Yes",J304*Settings!$C$16,0))</f>
        <v/>
      </c>
      <c r="L304" s="21">
        <f>IF(B304="","",IF(Settings!$C$5="Yes",0,K304*Settings!$C$17))</f>
        <v/>
      </c>
      <c r="M304" s="21">
        <f>IF(B304="","",E304*IFERROR(VLOOKUP(D304,Products!$B$5:$F$204,5,FALSE),0))</f>
        <v/>
      </c>
      <c r="N304" s="21">
        <f>IF(B304="","",J304-K304-L304-M304-I304)</f>
        <v/>
      </c>
    </row>
    <row r="305">
      <c r="B305" s="11" t="n"/>
      <c r="C305" s="8" t="n"/>
      <c r="D305" s="8" t="n"/>
      <c r="E305" s="8" t="n"/>
      <c r="F305" s="20" t="n"/>
      <c r="G305" s="20" t="n"/>
      <c r="H305" s="8" t="n"/>
      <c r="I305" s="20" t="n"/>
      <c r="J305" s="21">
        <f>IF(B305="","",F305+G305)</f>
        <v/>
      </c>
      <c r="K305" s="21">
        <f>IF(B305="","",J305*(Settings!$C$11+Settings!$C$12+Settings!$C$14)+IF(C305="",Settings!$C$13,IF(COUNTIF($C$5:C305,C305)=1,Settings!$C$13,0))+E305*Settings!$C$15+IF(H305="Yes",J305*Settings!$C$16,0))</f>
        <v/>
      </c>
      <c r="L305" s="21">
        <f>IF(B305="","",IF(Settings!$C$5="Yes",0,K305*Settings!$C$17))</f>
        <v/>
      </c>
      <c r="M305" s="21">
        <f>IF(B305="","",E305*IFERROR(VLOOKUP(D305,Products!$B$5:$F$204,5,FALSE),0))</f>
        <v/>
      </c>
      <c r="N305" s="21">
        <f>IF(B305="","",J305-K305-L305-M305-I305)</f>
        <v/>
      </c>
    </row>
    <row r="306">
      <c r="B306" s="11" t="n"/>
      <c r="C306" s="8" t="n"/>
      <c r="D306" s="8" t="n"/>
      <c r="E306" s="8" t="n"/>
      <c r="F306" s="20" t="n"/>
      <c r="G306" s="20" t="n"/>
      <c r="H306" s="8" t="n"/>
      <c r="I306" s="20" t="n"/>
      <c r="J306" s="21">
        <f>IF(B306="","",F306+G306)</f>
        <v/>
      </c>
      <c r="K306" s="21">
        <f>IF(B306="","",J306*(Settings!$C$11+Settings!$C$12+Settings!$C$14)+IF(C306="",Settings!$C$13,IF(COUNTIF($C$5:C306,C306)=1,Settings!$C$13,0))+E306*Settings!$C$15+IF(H306="Yes",J306*Settings!$C$16,0))</f>
        <v/>
      </c>
      <c r="L306" s="21">
        <f>IF(B306="","",IF(Settings!$C$5="Yes",0,K306*Settings!$C$17))</f>
        <v/>
      </c>
      <c r="M306" s="21">
        <f>IF(B306="","",E306*IFERROR(VLOOKUP(D306,Products!$B$5:$F$204,5,FALSE),0))</f>
        <v/>
      </c>
      <c r="N306" s="21">
        <f>IF(B306="","",J306-K306-L306-M306-I306)</f>
        <v/>
      </c>
    </row>
    <row r="307">
      <c r="B307" s="11" t="n"/>
      <c r="C307" s="8" t="n"/>
      <c r="D307" s="8" t="n"/>
      <c r="E307" s="8" t="n"/>
      <c r="F307" s="20" t="n"/>
      <c r="G307" s="20" t="n"/>
      <c r="H307" s="8" t="n"/>
      <c r="I307" s="20" t="n"/>
      <c r="J307" s="21">
        <f>IF(B307="","",F307+G307)</f>
        <v/>
      </c>
      <c r="K307" s="21">
        <f>IF(B307="","",J307*(Settings!$C$11+Settings!$C$12+Settings!$C$14)+IF(C307="",Settings!$C$13,IF(COUNTIF($C$5:C307,C307)=1,Settings!$C$13,0))+E307*Settings!$C$15+IF(H307="Yes",J307*Settings!$C$16,0))</f>
        <v/>
      </c>
      <c r="L307" s="21">
        <f>IF(B307="","",IF(Settings!$C$5="Yes",0,K307*Settings!$C$17))</f>
        <v/>
      </c>
      <c r="M307" s="21">
        <f>IF(B307="","",E307*IFERROR(VLOOKUP(D307,Products!$B$5:$F$204,5,FALSE),0))</f>
        <v/>
      </c>
      <c r="N307" s="21">
        <f>IF(B307="","",J307-K307-L307-M307-I307)</f>
        <v/>
      </c>
    </row>
    <row r="308">
      <c r="B308" s="11" t="n"/>
      <c r="C308" s="8" t="n"/>
      <c r="D308" s="8" t="n"/>
      <c r="E308" s="8" t="n"/>
      <c r="F308" s="20" t="n"/>
      <c r="G308" s="20" t="n"/>
      <c r="H308" s="8" t="n"/>
      <c r="I308" s="20" t="n"/>
      <c r="J308" s="21">
        <f>IF(B308="","",F308+G308)</f>
        <v/>
      </c>
      <c r="K308" s="21">
        <f>IF(B308="","",J308*(Settings!$C$11+Settings!$C$12+Settings!$C$14)+IF(C308="",Settings!$C$13,IF(COUNTIF($C$5:C308,C308)=1,Settings!$C$13,0))+E308*Settings!$C$15+IF(H308="Yes",J308*Settings!$C$16,0))</f>
        <v/>
      </c>
      <c r="L308" s="21">
        <f>IF(B308="","",IF(Settings!$C$5="Yes",0,K308*Settings!$C$17))</f>
        <v/>
      </c>
      <c r="M308" s="21">
        <f>IF(B308="","",E308*IFERROR(VLOOKUP(D308,Products!$B$5:$F$204,5,FALSE),0))</f>
        <v/>
      </c>
      <c r="N308" s="21">
        <f>IF(B308="","",J308-K308-L308-M308-I308)</f>
        <v/>
      </c>
    </row>
    <row r="309">
      <c r="B309" s="11" t="n"/>
      <c r="C309" s="8" t="n"/>
      <c r="D309" s="8" t="n"/>
      <c r="E309" s="8" t="n"/>
      <c r="F309" s="20" t="n"/>
      <c r="G309" s="20" t="n"/>
      <c r="H309" s="8" t="n"/>
      <c r="I309" s="20" t="n"/>
      <c r="J309" s="21">
        <f>IF(B309="","",F309+G309)</f>
        <v/>
      </c>
      <c r="K309" s="21">
        <f>IF(B309="","",J309*(Settings!$C$11+Settings!$C$12+Settings!$C$14)+IF(C309="",Settings!$C$13,IF(COUNTIF($C$5:C309,C309)=1,Settings!$C$13,0))+E309*Settings!$C$15+IF(H309="Yes",J309*Settings!$C$16,0))</f>
        <v/>
      </c>
      <c r="L309" s="21">
        <f>IF(B309="","",IF(Settings!$C$5="Yes",0,K309*Settings!$C$17))</f>
        <v/>
      </c>
      <c r="M309" s="21">
        <f>IF(B309="","",E309*IFERROR(VLOOKUP(D309,Products!$B$5:$F$204,5,FALSE),0))</f>
        <v/>
      </c>
      <c r="N309" s="21">
        <f>IF(B309="","",J309-K309-L309-M309-I309)</f>
        <v/>
      </c>
    </row>
    <row r="310">
      <c r="B310" s="11" t="n"/>
      <c r="C310" s="8" t="n"/>
      <c r="D310" s="8" t="n"/>
      <c r="E310" s="8" t="n"/>
      <c r="F310" s="20" t="n"/>
      <c r="G310" s="20" t="n"/>
      <c r="H310" s="8" t="n"/>
      <c r="I310" s="20" t="n"/>
      <c r="J310" s="21">
        <f>IF(B310="","",F310+G310)</f>
        <v/>
      </c>
      <c r="K310" s="21">
        <f>IF(B310="","",J310*(Settings!$C$11+Settings!$C$12+Settings!$C$14)+IF(C310="",Settings!$C$13,IF(COUNTIF($C$5:C310,C310)=1,Settings!$C$13,0))+E310*Settings!$C$15+IF(H310="Yes",J310*Settings!$C$16,0))</f>
        <v/>
      </c>
      <c r="L310" s="21">
        <f>IF(B310="","",IF(Settings!$C$5="Yes",0,K310*Settings!$C$17))</f>
        <v/>
      </c>
      <c r="M310" s="21">
        <f>IF(B310="","",E310*IFERROR(VLOOKUP(D310,Products!$B$5:$F$204,5,FALSE),0))</f>
        <v/>
      </c>
      <c r="N310" s="21">
        <f>IF(B310="","",J310-K310-L310-M310-I310)</f>
        <v/>
      </c>
    </row>
    <row r="311">
      <c r="B311" s="11" t="n"/>
      <c r="C311" s="8" t="n"/>
      <c r="D311" s="8" t="n"/>
      <c r="E311" s="8" t="n"/>
      <c r="F311" s="20" t="n"/>
      <c r="G311" s="20" t="n"/>
      <c r="H311" s="8" t="n"/>
      <c r="I311" s="20" t="n"/>
      <c r="J311" s="21">
        <f>IF(B311="","",F311+G311)</f>
        <v/>
      </c>
      <c r="K311" s="21">
        <f>IF(B311="","",J311*(Settings!$C$11+Settings!$C$12+Settings!$C$14)+IF(C311="",Settings!$C$13,IF(COUNTIF($C$5:C311,C311)=1,Settings!$C$13,0))+E311*Settings!$C$15+IF(H311="Yes",J311*Settings!$C$16,0))</f>
        <v/>
      </c>
      <c r="L311" s="21">
        <f>IF(B311="","",IF(Settings!$C$5="Yes",0,K311*Settings!$C$17))</f>
        <v/>
      </c>
      <c r="M311" s="21">
        <f>IF(B311="","",E311*IFERROR(VLOOKUP(D311,Products!$B$5:$F$204,5,FALSE),0))</f>
        <v/>
      </c>
      <c r="N311" s="21">
        <f>IF(B311="","",J311-K311-L311-M311-I311)</f>
        <v/>
      </c>
    </row>
    <row r="312">
      <c r="B312" s="11" t="n"/>
      <c r="C312" s="8" t="n"/>
      <c r="D312" s="8" t="n"/>
      <c r="E312" s="8" t="n"/>
      <c r="F312" s="20" t="n"/>
      <c r="G312" s="20" t="n"/>
      <c r="H312" s="8" t="n"/>
      <c r="I312" s="20" t="n"/>
      <c r="J312" s="21">
        <f>IF(B312="","",F312+G312)</f>
        <v/>
      </c>
      <c r="K312" s="21">
        <f>IF(B312="","",J312*(Settings!$C$11+Settings!$C$12+Settings!$C$14)+IF(C312="",Settings!$C$13,IF(COUNTIF($C$5:C312,C312)=1,Settings!$C$13,0))+E312*Settings!$C$15+IF(H312="Yes",J312*Settings!$C$16,0))</f>
        <v/>
      </c>
      <c r="L312" s="21">
        <f>IF(B312="","",IF(Settings!$C$5="Yes",0,K312*Settings!$C$17))</f>
        <v/>
      </c>
      <c r="M312" s="21">
        <f>IF(B312="","",E312*IFERROR(VLOOKUP(D312,Products!$B$5:$F$204,5,FALSE),0))</f>
        <v/>
      </c>
      <c r="N312" s="21">
        <f>IF(B312="","",J312-K312-L312-M312-I312)</f>
        <v/>
      </c>
    </row>
    <row r="313">
      <c r="B313" s="11" t="n"/>
      <c r="C313" s="8" t="n"/>
      <c r="D313" s="8" t="n"/>
      <c r="E313" s="8" t="n"/>
      <c r="F313" s="20" t="n"/>
      <c r="G313" s="20" t="n"/>
      <c r="H313" s="8" t="n"/>
      <c r="I313" s="20" t="n"/>
      <c r="J313" s="21">
        <f>IF(B313="","",F313+G313)</f>
        <v/>
      </c>
      <c r="K313" s="21">
        <f>IF(B313="","",J313*(Settings!$C$11+Settings!$C$12+Settings!$C$14)+IF(C313="",Settings!$C$13,IF(COUNTIF($C$5:C313,C313)=1,Settings!$C$13,0))+E313*Settings!$C$15+IF(H313="Yes",J313*Settings!$C$16,0))</f>
        <v/>
      </c>
      <c r="L313" s="21">
        <f>IF(B313="","",IF(Settings!$C$5="Yes",0,K313*Settings!$C$17))</f>
        <v/>
      </c>
      <c r="M313" s="21">
        <f>IF(B313="","",E313*IFERROR(VLOOKUP(D313,Products!$B$5:$F$204,5,FALSE),0))</f>
        <v/>
      </c>
      <c r="N313" s="21">
        <f>IF(B313="","",J313-K313-L313-M313-I313)</f>
        <v/>
      </c>
    </row>
    <row r="314">
      <c r="B314" s="11" t="n"/>
      <c r="C314" s="8" t="n"/>
      <c r="D314" s="8" t="n"/>
      <c r="E314" s="8" t="n"/>
      <c r="F314" s="20" t="n"/>
      <c r="G314" s="20" t="n"/>
      <c r="H314" s="8" t="n"/>
      <c r="I314" s="20" t="n"/>
      <c r="J314" s="21">
        <f>IF(B314="","",F314+G314)</f>
        <v/>
      </c>
      <c r="K314" s="21">
        <f>IF(B314="","",J314*(Settings!$C$11+Settings!$C$12+Settings!$C$14)+IF(C314="",Settings!$C$13,IF(COUNTIF($C$5:C314,C314)=1,Settings!$C$13,0))+E314*Settings!$C$15+IF(H314="Yes",J314*Settings!$C$16,0))</f>
        <v/>
      </c>
      <c r="L314" s="21">
        <f>IF(B314="","",IF(Settings!$C$5="Yes",0,K314*Settings!$C$17))</f>
        <v/>
      </c>
      <c r="M314" s="21">
        <f>IF(B314="","",E314*IFERROR(VLOOKUP(D314,Products!$B$5:$F$204,5,FALSE),0))</f>
        <v/>
      </c>
      <c r="N314" s="21">
        <f>IF(B314="","",J314-K314-L314-M314-I314)</f>
        <v/>
      </c>
    </row>
    <row r="315">
      <c r="B315" s="11" t="n"/>
      <c r="C315" s="8" t="n"/>
      <c r="D315" s="8" t="n"/>
      <c r="E315" s="8" t="n"/>
      <c r="F315" s="20" t="n"/>
      <c r="G315" s="20" t="n"/>
      <c r="H315" s="8" t="n"/>
      <c r="I315" s="20" t="n"/>
      <c r="J315" s="21">
        <f>IF(B315="","",F315+G315)</f>
        <v/>
      </c>
      <c r="K315" s="21">
        <f>IF(B315="","",J315*(Settings!$C$11+Settings!$C$12+Settings!$C$14)+IF(C315="",Settings!$C$13,IF(COUNTIF($C$5:C315,C315)=1,Settings!$C$13,0))+E315*Settings!$C$15+IF(H315="Yes",J315*Settings!$C$16,0))</f>
        <v/>
      </c>
      <c r="L315" s="21">
        <f>IF(B315="","",IF(Settings!$C$5="Yes",0,K315*Settings!$C$17))</f>
        <v/>
      </c>
      <c r="M315" s="21">
        <f>IF(B315="","",E315*IFERROR(VLOOKUP(D315,Products!$B$5:$F$204,5,FALSE),0))</f>
        <v/>
      </c>
      <c r="N315" s="21">
        <f>IF(B315="","",J315-K315-L315-M315-I315)</f>
        <v/>
      </c>
    </row>
    <row r="316">
      <c r="B316" s="11" t="n"/>
      <c r="C316" s="8" t="n"/>
      <c r="D316" s="8" t="n"/>
      <c r="E316" s="8" t="n"/>
      <c r="F316" s="20" t="n"/>
      <c r="G316" s="20" t="n"/>
      <c r="H316" s="8" t="n"/>
      <c r="I316" s="20" t="n"/>
      <c r="J316" s="21">
        <f>IF(B316="","",F316+G316)</f>
        <v/>
      </c>
      <c r="K316" s="21">
        <f>IF(B316="","",J316*(Settings!$C$11+Settings!$C$12+Settings!$C$14)+IF(C316="",Settings!$C$13,IF(COUNTIF($C$5:C316,C316)=1,Settings!$C$13,0))+E316*Settings!$C$15+IF(H316="Yes",J316*Settings!$C$16,0))</f>
        <v/>
      </c>
      <c r="L316" s="21">
        <f>IF(B316="","",IF(Settings!$C$5="Yes",0,K316*Settings!$C$17))</f>
        <v/>
      </c>
      <c r="M316" s="21">
        <f>IF(B316="","",E316*IFERROR(VLOOKUP(D316,Products!$B$5:$F$204,5,FALSE),0))</f>
        <v/>
      </c>
      <c r="N316" s="21">
        <f>IF(B316="","",J316-K316-L316-M316-I316)</f>
        <v/>
      </c>
    </row>
    <row r="317">
      <c r="B317" s="11" t="n"/>
      <c r="C317" s="8" t="n"/>
      <c r="D317" s="8" t="n"/>
      <c r="E317" s="8" t="n"/>
      <c r="F317" s="20" t="n"/>
      <c r="G317" s="20" t="n"/>
      <c r="H317" s="8" t="n"/>
      <c r="I317" s="20" t="n"/>
      <c r="J317" s="21">
        <f>IF(B317="","",F317+G317)</f>
        <v/>
      </c>
      <c r="K317" s="21">
        <f>IF(B317="","",J317*(Settings!$C$11+Settings!$C$12+Settings!$C$14)+IF(C317="",Settings!$C$13,IF(COUNTIF($C$5:C317,C317)=1,Settings!$C$13,0))+E317*Settings!$C$15+IF(H317="Yes",J317*Settings!$C$16,0))</f>
        <v/>
      </c>
      <c r="L317" s="21">
        <f>IF(B317="","",IF(Settings!$C$5="Yes",0,K317*Settings!$C$17))</f>
        <v/>
      </c>
      <c r="M317" s="21">
        <f>IF(B317="","",E317*IFERROR(VLOOKUP(D317,Products!$B$5:$F$204,5,FALSE),0))</f>
        <v/>
      </c>
      <c r="N317" s="21">
        <f>IF(B317="","",J317-K317-L317-M317-I317)</f>
        <v/>
      </c>
    </row>
    <row r="318">
      <c r="B318" s="11" t="n"/>
      <c r="C318" s="8" t="n"/>
      <c r="D318" s="8" t="n"/>
      <c r="E318" s="8" t="n"/>
      <c r="F318" s="20" t="n"/>
      <c r="G318" s="20" t="n"/>
      <c r="H318" s="8" t="n"/>
      <c r="I318" s="20" t="n"/>
      <c r="J318" s="21">
        <f>IF(B318="","",F318+G318)</f>
        <v/>
      </c>
      <c r="K318" s="21">
        <f>IF(B318="","",J318*(Settings!$C$11+Settings!$C$12+Settings!$C$14)+IF(C318="",Settings!$C$13,IF(COUNTIF($C$5:C318,C318)=1,Settings!$C$13,0))+E318*Settings!$C$15+IF(H318="Yes",J318*Settings!$C$16,0))</f>
        <v/>
      </c>
      <c r="L318" s="21">
        <f>IF(B318="","",IF(Settings!$C$5="Yes",0,K318*Settings!$C$17))</f>
        <v/>
      </c>
      <c r="M318" s="21">
        <f>IF(B318="","",E318*IFERROR(VLOOKUP(D318,Products!$B$5:$F$204,5,FALSE),0))</f>
        <v/>
      </c>
      <c r="N318" s="21">
        <f>IF(B318="","",J318-K318-L318-M318-I318)</f>
        <v/>
      </c>
    </row>
    <row r="319">
      <c r="B319" s="11" t="n"/>
      <c r="C319" s="8" t="n"/>
      <c r="D319" s="8" t="n"/>
      <c r="E319" s="8" t="n"/>
      <c r="F319" s="20" t="n"/>
      <c r="G319" s="20" t="n"/>
      <c r="H319" s="8" t="n"/>
      <c r="I319" s="20" t="n"/>
      <c r="J319" s="21">
        <f>IF(B319="","",F319+G319)</f>
        <v/>
      </c>
      <c r="K319" s="21">
        <f>IF(B319="","",J319*(Settings!$C$11+Settings!$C$12+Settings!$C$14)+IF(C319="",Settings!$C$13,IF(COUNTIF($C$5:C319,C319)=1,Settings!$C$13,0))+E319*Settings!$C$15+IF(H319="Yes",J319*Settings!$C$16,0))</f>
        <v/>
      </c>
      <c r="L319" s="21">
        <f>IF(B319="","",IF(Settings!$C$5="Yes",0,K319*Settings!$C$17))</f>
        <v/>
      </c>
      <c r="M319" s="21">
        <f>IF(B319="","",E319*IFERROR(VLOOKUP(D319,Products!$B$5:$F$204,5,FALSE),0))</f>
        <v/>
      </c>
      <c r="N319" s="21">
        <f>IF(B319="","",J319-K319-L319-M319-I319)</f>
        <v/>
      </c>
    </row>
    <row r="320">
      <c r="B320" s="11" t="n"/>
      <c r="C320" s="8" t="n"/>
      <c r="D320" s="8" t="n"/>
      <c r="E320" s="8" t="n"/>
      <c r="F320" s="20" t="n"/>
      <c r="G320" s="20" t="n"/>
      <c r="H320" s="8" t="n"/>
      <c r="I320" s="20" t="n"/>
      <c r="J320" s="21">
        <f>IF(B320="","",F320+G320)</f>
        <v/>
      </c>
      <c r="K320" s="21">
        <f>IF(B320="","",J320*(Settings!$C$11+Settings!$C$12+Settings!$C$14)+IF(C320="",Settings!$C$13,IF(COUNTIF($C$5:C320,C320)=1,Settings!$C$13,0))+E320*Settings!$C$15+IF(H320="Yes",J320*Settings!$C$16,0))</f>
        <v/>
      </c>
      <c r="L320" s="21">
        <f>IF(B320="","",IF(Settings!$C$5="Yes",0,K320*Settings!$C$17))</f>
        <v/>
      </c>
      <c r="M320" s="21">
        <f>IF(B320="","",E320*IFERROR(VLOOKUP(D320,Products!$B$5:$F$204,5,FALSE),0))</f>
        <v/>
      </c>
      <c r="N320" s="21">
        <f>IF(B320="","",J320-K320-L320-M320-I320)</f>
        <v/>
      </c>
    </row>
    <row r="321">
      <c r="B321" s="11" t="n"/>
      <c r="C321" s="8" t="n"/>
      <c r="D321" s="8" t="n"/>
      <c r="E321" s="8" t="n"/>
      <c r="F321" s="20" t="n"/>
      <c r="G321" s="20" t="n"/>
      <c r="H321" s="8" t="n"/>
      <c r="I321" s="20" t="n"/>
      <c r="J321" s="21">
        <f>IF(B321="","",F321+G321)</f>
        <v/>
      </c>
      <c r="K321" s="21">
        <f>IF(B321="","",J321*(Settings!$C$11+Settings!$C$12+Settings!$C$14)+IF(C321="",Settings!$C$13,IF(COUNTIF($C$5:C321,C321)=1,Settings!$C$13,0))+E321*Settings!$C$15+IF(H321="Yes",J321*Settings!$C$16,0))</f>
        <v/>
      </c>
      <c r="L321" s="21">
        <f>IF(B321="","",IF(Settings!$C$5="Yes",0,K321*Settings!$C$17))</f>
        <v/>
      </c>
      <c r="M321" s="21">
        <f>IF(B321="","",E321*IFERROR(VLOOKUP(D321,Products!$B$5:$F$204,5,FALSE),0))</f>
        <v/>
      </c>
      <c r="N321" s="21">
        <f>IF(B321="","",J321-K321-L321-M321-I321)</f>
        <v/>
      </c>
    </row>
    <row r="322">
      <c r="B322" s="11" t="n"/>
      <c r="C322" s="8" t="n"/>
      <c r="D322" s="8" t="n"/>
      <c r="E322" s="8" t="n"/>
      <c r="F322" s="20" t="n"/>
      <c r="G322" s="20" t="n"/>
      <c r="H322" s="8" t="n"/>
      <c r="I322" s="20" t="n"/>
      <c r="J322" s="21">
        <f>IF(B322="","",F322+G322)</f>
        <v/>
      </c>
      <c r="K322" s="21">
        <f>IF(B322="","",J322*(Settings!$C$11+Settings!$C$12+Settings!$C$14)+IF(C322="",Settings!$C$13,IF(COUNTIF($C$5:C322,C322)=1,Settings!$C$13,0))+E322*Settings!$C$15+IF(H322="Yes",J322*Settings!$C$16,0))</f>
        <v/>
      </c>
      <c r="L322" s="21">
        <f>IF(B322="","",IF(Settings!$C$5="Yes",0,K322*Settings!$C$17))</f>
        <v/>
      </c>
      <c r="M322" s="21">
        <f>IF(B322="","",E322*IFERROR(VLOOKUP(D322,Products!$B$5:$F$204,5,FALSE),0))</f>
        <v/>
      </c>
      <c r="N322" s="21">
        <f>IF(B322="","",J322-K322-L322-M322-I322)</f>
        <v/>
      </c>
    </row>
    <row r="323">
      <c r="B323" s="11" t="n"/>
      <c r="C323" s="8" t="n"/>
      <c r="D323" s="8" t="n"/>
      <c r="E323" s="8" t="n"/>
      <c r="F323" s="20" t="n"/>
      <c r="G323" s="20" t="n"/>
      <c r="H323" s="8" t="n"/>
      <c r="I323" s="20" t="n"/>
      <c r="J323" s="21">
        <f>IF(B323="","",F323+G323)</f>
        <v/>
      </c>
      <c r="K323" s="21">
        <f>IF(B323="","",J323*(Settings!$C$11+Settings!$C$12+Settings!$C$14)+IF(C323="",Settings!$C$13,IF(COUNTIF($C$5:C323,C323)=1,Settings!$C$13,0))+E323*Settings!$C$15+IF(H323="Yes",J323*Settings!$C$16,0))</f>
        <v/>
      </c>
      <c r="L323" s="21">
        <f>IF(B323="","",IF(Settings!$C$5="Yes",0,K323*Settings!$C$17))</f>
        <v/>
      </c>
      <c r="M323" s="21">
        <f>IF(B323="","",E323*IFERROR(VLOOKUP(D323,Products!$B$5:$F$204,5,FALSE),0))</f>
        <v/>
      </c>
      <c r="N323" s="21">
        <f>IF(B323="","",J323-K323-L323-M323-I323)</f>
        <v/>
      </c>
    </row>
    <row r="324">
      <c r="B324" s="11" t="n"/>
      <c r="C324" s="8" t="n"/>
      <c r="D324" s="8" t="n"/>
      <c r="E324" s="8" t="n"/>
      <c r="F324" s="20" t="n"/>
      <c r="G324" s="20" t="n"/>
      <c r="H324" s="8" t="n"/>
      <c r="I324" s="20" t="n"/>
      <c r="J324" s="21">
        <f>IF(B324="","",F324+G324)</f>
        <v/>
      </c>
      <c r="K324" s="21">
        <f>IF(B324="","",J324*(Settings!$C$11+Settings!$C$12+Settings!$C$14)+IF(C324="",Settings!$C$13,IF(COUNTIF($C$5:C324,C324)=1,Settings!$C$13,0))+E324*Settings!$C$15+IF(H324="Yes",J324*Settings!$C$16,0))</f>
        <v/>
      </c>
      <c r="L324" s="21">
        <f>IF(B324="","",IF(Settings!$C$5="Yes",0,K324*Settings!$C$17))</f>
        <v/>
      </c>
      <c r="M324" s="21">
        <f>IF(B324="","",E324*IFERROR(VLOOKUP(D324,Products!$B$5:$F$204,5,FALSE),0))</f>
        <v/>
      </c>
      <c r="N324" s="21">
        <f>IF(B324="","",J324-K324-L324-M324-I324)</f>
        <v/>
      </c>
    </row>
    <row r="325">
      <c r="B325" s="11" t="n"/>
      <c r="C325" s="8" t="n"/>
      <c r="D325" s="8" t="n"/>
      <c r="E325" s="8" t="n"/>
      <c r="F325" s="20" t="n"/>
      <c r="G325" s="20" t="n"/>
      <c r="H325" s="8" t="n"/>
      <c r="I325" s="20" t="n"/>
      <c r="J325" s="21">
        <f>IF(B325="","",F325+G325)</f>
        <v/>
      </c>
      <c r="K325" s="21">
        <f>IF(B325="","",J325*(Settings!$C$11+Settings!$C$12+Settings!$C$14)+IF(C325="",Settings!$C$13,IF(COUNTIF($C$5:C325,C325)=1,Settings!$C$13,0))+E325*Settings!$C$15+IF(H325="Yes",J325*Settings!$C$16,0))</f>
        <v/>
      </c>
      <c r="L325" s="21">
        <f>IF(B325="","",IF(Settings!$C$5="Yes",0,K325*Settings!$C$17))</f>
        <v/>
      </c>
      <c r="M325" s="21">
        <f>IF(B325="","",E325*IFERROR(VLOOKUP(D325,Products!$B$5:$F$204,5,FALSE),0))</f>
        <v/>
      </c>
      <c r="N325" s="21">
        <f>IF(B325="","",J325-K325-L325-M325-I325)</f>
        <v/>
      </c>
    </row>
    <row r="326">
      <c r="B326" s="11" t="n"/>
      <c r="C326" s="8" t="n"/>
      <c r="D326" s="8" t="n"/>
      <c r="E326" s="8" t="n"/>
      <c r="F326" s="20" t="n"/>
      <c r="G326" s="20" t="n"/>
      <c r="H326" s="8" t="n"/>
      <c r="I326" s="20" t="n"/>
      <c r="J326" s="21">
        <f>IF(B326="","",F326+G326)</f>
        <v/>
      </c>
      <c r="K326" s="21">
        <f>IF(B326="","",J326*(Settings!$C$11+Settings!$C$12+Settings!$C$14)+IF(C326="",Settings!$C$13,IF(COUNTIF($C$5:C326,C326)=1,Settings!$C$13,0))+E326*Settings!$C$15+IF(H326="Yes",J326*Settings!$C$16,0))</f>
        <v/>
      </c>
      <c r="L326" s="21">
        <f>IF(B326="","",IF(Settings!$C$5="Yes",0,K326*Settings!$C$17))</f>
        <v/>
      </c>
      <c r="M326" s="21">
        <f>IF(B326="","",E326*IFERROR(VLOOKUP(D326,Products!$B$5:$F$204,5,FALSE),0))</f>
        <v/>
      </c>
      <c r="N326" s="21">
        <f>IF(B326="","",J326-K326-L326-M326-I326)</f>
        <v/>
      </c>
    </row>
    <row r="327">
      <c r="B327" s="11" t="n"/>
      <c r="C327" s="8" t="n"/>
      <c r="D327" s="8" t="n"/>
      <c r="E327" s="8" t="n"/>
      <c r="F327" s="20" t="n"/>
      <c r="G327" s="20" t="n"/>
      <c r="H327" s="8" t="n"/>
      <c r="I327" s="20" t="n"/>
      <c r="J327" s="21">
        <f>IF(B327="","",F327+G327)</f>
        <v/>
      </c>
      <c r="K327" s="21">
        <f>IF(B327="","",J327*(Settings!$C$11+Settings!$C$12+Settings!$C$14)+IF(C327="",Settings!$C$13,IF(COUNTIF($C$5:C327,C327)=1,Settings!$C$13,0))+E327*Settings!$C$15+IF(H327="Yes",J327*Settings!$C$16,0))</f>
        <v/>
      </c>
      <c r="L327" s="21">
        <f>IF(B327="","",IF(Settings!$C$5="Yes",0,K327*Settings!$C$17))</f>
        <v/>
      </c>
      <c r="M327" s="21">
        <f>IF(B327="","",E327*IFERROR(VLOOKUP(D327,Products!$B$5:$F$204,5,FALSE),0))</f>
        <v/>
      </c>
      <c r="N327" s="21">
        <f>IF(B327="","",J327-K327-L327-M327-I327)</f>
        <v/>
      </c>
    </row>
    <row r="328">
      <c r="B328" s="11" t="n"/>
      <c r="C328" s="8" t="n"/>
      <c r="D328" s="8" t="n"/>
      <c r="E328" s="8" t="n"/>
      <c r="F328" s="20" t="n"/>
      <c r="G328" s="20" t="n"/>
      <c r="H328" s="8" t="n"/>
      <c r="I328" s="20" t="n"/>
      <c r="J328" s="21">
        <f>IF(B328="","",F328+G328)</f>
        <v/>
      </c>
      <c r="K328" s="21">
        <f>IF(B328="","",J328*(Settings!$C$11+Settings!$C$12+Settings!$C$14)+IF(C328="",Settings!$C$13,IF(COUNTIF($C$5:C328,C328)=1,Settings!$C$13,0))+E328*Settings!$C$15+IF(H328="Yes",J328*Settings!$C$16,0))</f>
        <v/>
      </c>
      <c r="L328" s="21">
        <f>IF(B328="","",IF(Settings!$C$5="Yes",0,K328*Settings!$C$17))</f>
        <v/>
      </c>
      <c r="M328" s="21">
        <f>IF(B328="","",E328*IFERROR(VLOOKUP(D328,Products!$B$5:$F$204,5,FALSE),0))</f>
        <v/>
      </c>
      <c r="N328" s="21">
        <f>IF(B328="","",J328-K328-L328-M328-I328)</f>
        <v/>
      </c>
    </row>
    <row r="329">
      <c r="B329" s="11" t="n"/>
      <c r="C329" s="8" t="n"/>
      <c r="D329" s="8" t="n"/>
      <c r="E329" s="8" t="n"/>
      <c r="F329" s="20" t="n"/>
      <c r="G329" s="20" t="n"/>
      <c r="H329" s="8" t="n"/>
      <c r="I329" s="20" t="n"/>
      <c r="J329" s="21">
        <f>IF(B329="","",F329+G329)</f>
        <v/>
      </c>
      <c r="K329" s="21">
        <f>IF(B329="","",J329*(Settings!$C$11+Settings!$C$12+Settings!$C$14)+IF(C329="",Settings!$C$13,IF(COUNTIF($C$5:C329,C329)=1,Settings!$C$13,0))+E329*Settings!$C$15+IF(H329="Yes",J329*Settings!$C$16,0))</f>
        <v/>
      </c>
      <c r="L329" s="21">
        <f>IF(B329="","",IF(Settings!$C$5="Yes",0,K329*Settings!$C$17))</f>
        <v/>
      </c>
      <c r="M329" s="21">
        <f>IF(B329="","",E329*IFERROR(VLOOKUP(D329,Products!$B$5:$F$204,5,FALSE),0))</f>
        <v/>
      </c>
      <c r="N329" s="21">
        <f>IF(B329="","",J329-K329-L329-M329-I329)</f>
        <v/>
      </c>
    </row>
    <row r="330">
      <c r="B330" s="11" t="n"/>
      <c r="C330" s="8" t="n"/>
      <c r="D330" s="8" t="n"/>
      <c r="E330" s="8" t="n"/>
      <c r="F330" s="20" t="n"/>
      <c r="G330" s="20" t="n"/>
      <c r="H330" s="8" t="n"/>
      <c r="I330" s="20" t="n"/>
      <c r="J330" s="21">
        <f>IF(B330="","",F330+G330)</f>
        <v/>
      </c>
      <c r="K330" s="21">
        <f>IF(B330="","",J330*(Settings!$C$11+Settings!$C$12+Settings!$C$14)+IF(C330="",Settings!$C$13,IF(COUNTIF($C$5:C330,C330)=1,Settings!$C$13,0))+E330*Settings!$C$15+IF(H330="Yes",J330*Settings!$C$16,0))</f>
        <v/>
      </c>
      <c r="L330" s="21">
        <f>IF(B330="","",IF(Settings!$C$5="Yes",0,K330*Settings!$C$17))</f>
        <v/>
      </c>
      <c r="M330" s="21">
        <f>IF(B330="","",E330*IFERROR(VLOOKUP(D330,Products!$B$5:$F$204,5,FALSE),0))</f>
        <v/>
      </c>
      <c r="N330" s="21">
        <f>IF(B330="","",J330-K330-L330-M330-I330)</f>
        <v/>
      </c>
    </row>
    <row r="331">
      <c r="B331" s="11" t="n"/>
      <c r="C331" s="8" t="n"/>
      <c r="D331" s="8" t="n"/>
      <c r="E331" s="8" t="n"/>
      <c r="F331" s="20" t="n"/>
      <c r="G331" s="20" t="n"/>
      <c r="H331" s="8" t="n"/>
      <c r="I331" s="20" t="n"/>
      <c r="J331" s="21">
        <f>IF(B331="","",F331+G331)</f>
        <v/>
      </c>
      <c r="K331" s="21">
        <f>IF(B331="","",J331*(Settings!$C$11+Settings!$C$12+Settings!$C$14)+IF(C331="",Settings!$C$13,IF(COUNTIF($C$5:C331,C331)=1,Settings!$C$13,0))+E331*Settings!$C$15+IF(H331="Yes",J331*Settings!$C$16,0))</f>
        <v/>
      </c>
      <c r="L331" s="21">
        <f>IF(B331="","",IF(Settings!$C$5="Yes",0,K331*Settings!$C$17))</f>
        <v/>
      </c>
      <c r="M331" s="21">
        <f>IF(B331="","",E331*IFERROR(VLOOKUP(D331,Products!$B$5:$F$204,5,FALSE),0))</f>
        <v/>
      </c>
      <c r="N331" s="21">
        <f>IF(B331="","",J331-K331-L331-M331-I331)</f>
        <v/>
      </c>
    </row>
    <row r="332">
      <c r="B332" s="11" t="n"/>
      <c r="C332" s="8" t="n"/>
      <c r="D332" s="8" t="n"/>
      <c r="E332" s="8" t="n"/>
      <c r="F332" s="20" t="n"/>
      <c r="G332" s="20" t="n"/>
      <c r="H332" s="8" t="n"/>
      <c r="I332" s="20" t="n"/>
      <c r="J332" s="21">
        <f>IF(B332="","",F332+G332)</f>
        <v/>
      </c>
      <c r="K332" s="21">
        <f>IF(B332="","",J332*(Settings!$C$11+Settings!$C$12+Settings!$C$14)+IF(C332="",Settings!$C$13,IF(COUNTIF($C$5:C332,C332)=1,Settings!$C$13,0))+E332*Settings!$C$15+IF(H332="Yes",J332*Settings!$C$16,0))</f>
        <v/>
      </c>
      <c r="L332" s="21">
        <f>IF(B332="","",IF(Settings!$C$5="Yes",0,K332*Settings!$C$17))</f>
        <v/>
      </c>
      <c r="M332" s="21">
        <f>IF(B332="","",E332*IFERROR(VLOOKUP(D332,Products!$B$5:$F$204,5,FALSE),0))</f>
        <v/>
      </c>
      <c r="N332" s="21">
        <f>IF(B332="","",J332-K332-L332-M332-I332)</f>
        <v/>
      </c>
    </row>
    <row r="333">
      <c r="B333" s="11" t="n"/>
      <c r="C333" s="8" t="n"/>
      <c r="D333" s="8" t="n"/>
      <c r="E333" s="8" t="n"/>
      <c r="F333" s="20" t="n"/>
      <c r="G333" s="20" t="n"/>
      <c r="H333" s="8" t="n"/>
      <c r="I333" s="20" t="n"/>
      <c r="J333" s="21">
        <f>IF(B333="","",F333+G333)</f>
        <v/>
      </c>
      <c r="K333" s="21">
        <f>IF(B333="","",J333*(Settings!$C$11+Settings!$C$12+Settings!$C$14)+IF(C333="",Settings!$C$13,IF(COUNTIF($C$5:C333,C333)=1,Settings!$C$13,0))+E333*Settings!$C$15+IF(H333="Yes",J333*Settings!$C$16,0))</f>
        <v/>
      </c>
      <c r="L333" s="21">
        <f>IF(B333="","",IF(Settings!$C$5="Yes",0,K333*Settings!$C$17))</f>
        <v/>
      </c>
      <c r="M333" s="21">
        <f>IF(B333="","",E333*IFERROR(VLOOKUP(D333,Products!$B$5:$F$204,5,FALSE),0))</f>
        <v/>
      </c>
      <c r="N333" s="21">
        <f>IF(B333="","",J333-K333-L333-M333-I333)</f>
        <v/>
      </c>
    </row>
    <row r="334">
      <c r="B334" s="11" t="n"/>
      <c r="C334" s="8" t="n"/>
      <c r="D334" s="8" t="n"/>
      <c r="E334" s="8" t="n"/>
      <c r="F334" s="20" t="n"/>
      <c r="G334" s="20" t="n"/>
      <c r="H334" s="8" t="n"/>
      <c r="I334" s="20" t="n"/>
      <c r="J334" s="21">
        <f>IF(B334="","",F334+G334)</f>
        <v/>
      </c>
      <c r="K334" s="21">
        <f>IF(B334="","",J334*(Settings!$C$11+Settings!$C$12+Settings!$C$14)+IF(C334="",Settings!$C$13,IF(COUNTIF($C$5:C334,C334)=1,Settings!$C$13,0))+E334*Settings!$C$15+IF(H334="Yes",J334*Settings!$C$16,0))</f>
        <v/>
      </c>
      <c r="L334" s="21">
        <f>IF(B334="","",IF(Settings!$C$5="Yes",0,K334*Settings!$C$17))</f>
        <v/>
      </c>
      <c r="M334" s="21">
        <f>IF(B334="","",E334*IFERROR(VLOOKUP(D334,Products!$B$5:$F$204,5,FALSE),0))</f>
        <v/>
      </c>
      <c r="N334" s="21">
        <f>IF(B334="","",J334-K334-L334-M334-I334)</f>
        <v/>
      </c>
    </row>
    <row r="335">
      <c r="B335" s="11" t="n"/>
      <c r="C335" s="8" t="n"/>
      <c r="D335" s="8" t="n"/>
      <c r="E335" s="8" t="n"/>
      <c r="F335" s="20" t="n"/>
      <c r="G335" s="20" t="n"/>
      <c r="H335" s="8" t="n"/>
      <c r="I335" s="20" t="n"/>
      <c r="J335" s="21">
        <f>IF(B335="","",F335+G335)</f>
        <v/>
      </c>
      <c r="K335" s="21">
        <f>IF(B335="","",J335*(Settings!$C$11+Settings!$C$12+Settings!$C$14)+IF(C335="",Settings!$C$13,IF(COUNTIF($C$5:C335,C335)=1,Settings!$C$13,0))+E335*Settings!$C$15+IF(H335="Yes",J335*Settings!$C$16,0))</f>
        <v/>
      </c>
      <c r="L335" s="21">
        <f>IF(B335="","",IF(Settings!$C$5="Yes",0,K335*Settings!$C$17))</f>
        <v/>
      </c>
      <c r="M335" s="21">
        <f>IF(B335="","",E335*IFERROR(VLOOKUP(D335,Products!$B$5:$F$204,5,FALSE),0))</f>
        <v/>
      </c>
      <c r="N335" s="21">
        <f>IF(B335="","",J335-K335-L335-M335-I335)</f>
        <v/>
      </c>
    </row>
    <row r="336">
      <c r="B336" s="11" t="n"/>
      <c r="C336" s="8" t="n"/>
      <c r="D336" s="8" t="n"/>
      <c r="E336" s="8" t="n"/>
      <c r="F336" s="20" t="n"/>
      <c r="G336" s="20" t="n"/>
      <c r="H336" s="8" t="n"/>
      <c r="I336" s="20" t="n"/>
      <c r="J336" s="21">
        <f>IF(B336="","",F336+G336)</f>
        <v/>
      </c>
      <c r="K336" s="21">
        <f>IF(B336="","",J336*(Settings!$C$11+Settings!$C$12+Settings!$C$14)+IF(C336="",Settings!$C$13,IF(COUNTIF($C$5:C336,C336)=1,Settings!$C$13,0))+E336*Settings!$C$15+IF(H336="Yes",J336*Settings!$C$16,0))</f>
        <v/>
      </c>
      <c r="L336" s="21">
        <f>IF(B336="","",IF(Settings!$C$5="Yes",0,K336*Settings!$C$17))</f>
        <v/>
      </c>
      <c r="M336" s="21">
        <f>IF(B336="","",E336*IFERROR(VLOOKUP(D336,Products!$B$5:$F$204,5,FALSE),0))</f>
        <v/>
      </c>
      <c r="N336" s="21">
        <f>IF(B336="","",J336-K336-L336-M336-I336)</f>
        <v/>
      </c>
    </row>
    <row r="337">
      <c r="B337" s="11" t="n"/>
      <c r="C337" s="8" t="n"/>
      <c r="D337" s="8" t="n"/>
      <c r="E337" s="8" t="n"/>
      <c r="F337" s="20" t="n"/>
      <c r="G337" s="20" t="n"/>
      <c r="H337" s="8" t="n"/>
      <c r="I337" s="20" t="n"/>
      <c r="J337" s="21">
        <f>IF(B337="","",F337+G337)</f>
        <v/>
      </c>
      <c r="K337" s="21">
        <f>IF(B337="","",J337*(Settings!$C$11+Settings!$C$12+Settings!$C$14)+IF(C337="",Settings!$C$13,IF(COUNTIF($C$5:C337,C337)=1,Settings!$C$13,0))+E337*Settings!$C$15+IF(H337="Yes",J337*Settings!$C$16,0))</f>
        <v/>
      </c>
      <c r="L337" s="21">
        <f>IF(B337="","",IF(Settings!$C$5="Yes",0,K337*Settings!$C$17))</f>
        <v/>
      </c>
      <c r="M337" s="21">
        <f>IF(B337="","",E337*IFERROR(VLOOKUP(D337,Products!$B$5:$F$204,5,FALSE),0))</f>
        <v/>
      </c>
      <c r="N337" s="21">
        <f>IF(B337="","",J337-K337-L337-M337-I337)</f>
        <v/>
      </c>
    </row>
    <row r="338">
      <c r="B338" s="11" t="n"/>
      <c r="C338" s="8" t="n"/>
      <c r="D338" s="8" t="n"/>
      <c r="E338" s="8" t="n"/>
      <c r="F338" s="20" t="n"/>
      <c r="G338" s="20" t="n"/>
      <c r="H338" s="8" t="n"/>
      <c r="I338" s="20" t="n"/>
      <c r="J338" s="21">
        <f>IF(B338="","",F338+G338)</f>
        <v/>
      </c>
      <c r="K338" s="21">
        <f>IF(B338="","",J338*(Settings!$C$11+Settings!$C$12+Settings!$C$14)+IF(C338="",Settings!$C$13,IF(COUNTIF($C$5:C338,C338)=1,Settings!$C$13,0))+E338*Settings!$C$15+IF(H338="Yes",J338*Settings!$C$16,0))</f>
        <v/>
      </c>
      <c r="L338" s="21">
        <f>IF(B338="","",IF(Settings!$C$5="Yes",0,K338*Settings!$C$17))</f>
        <v/>
      </c>
      <c r="M338" s="21">
        <f>IF(B338="","",E338*IFERROR(VLOOKUP(D338,Products!$B$5:$F$204,5,FALSE),0))</f>
        <v/>
      </c>
      <c r="N338" s="21">
        <f>IF(B338="","",J338-K338-L338-M338-I338)</f>
        <v/>
      </c>
    </row>
    <row r="339">
      <c r="B339" s="11" t="n"/>
      <c r="C339" s="8" t="n"/>
      <c r="D339" s="8" t="n"/>
      <c r="E339" s="8" t="n"/>
      <c r="F339" s="20" t="n"/>
      <c r="G339" s="20" t="n"/>
      <c r="H339" s="8" t="n"/>
      <c r="I339" s="20" t="n"/>
      <c r="J339" s="21">
        <f>IF(B339="","",F339+G339)</f>
        <v/>
      </c>
      <c r="K339" s="21">
        <f>IF(B339="","",J339*(Settings!$C$11+Settings!$C$12+Settings!$C$14)+IF(C339="",Settings!$C$13,IF(COUNTIF($C$5:C339,C339)=1,Settings!$C$13,0))+E339*Settings!$C$15+IF(H339="Yes",J339*Settings!$C$16,0))</f>
        <v/>
      </c>
      <c r="L339" s="21">
        <f>IF(B339="","",IF(Settings!$C$5="Yes",0,K339*Settings!$C$17))</f>
        <v/>
      </c>
      <c r="M339" s="21">
        <f>IF(B339="","",E339*IFERROR(VLOOKUP(D339,Products!$B$5:$F$204,5,FALSE),0))</f>
        <v/>
      </c>
      <c r="N339" s="21">
        <f>IF(B339="","",J339-K339-L339-M339-I339)</f>
        <v/>
      </c>
    </row>
    <row r="340">
      <c r="B340" s="11" t="n"/>
      <c r="C340" s="8" t="n"/>
      <c r="D340" s="8" t="n"/>
      <c r="E340" s="8" t="n"/>
      <c r="F340" s="20" t="n"/>
      <c r="G340" s="20" t="n"/>
      <c r="H340" s="8" t="n"/>
      <c r="I340" s="20" t="n"/>
      <c r="J340" s="21">
        <f>IF(B340="","",F340+G340)</f>
        <v/>
      </c>
      <c r="K340" s="21">
        <f>IF(B340="","",J340*(Settings!$C$11+Settings!$C$12+Settings!$C$14)+IF(C340="",Settings!$C$13,IF(COUNTIF($C$5:C340,C340)=1,Settings!$C$13,0))+E340*Settings!$C$15+IF(H340="Yes",J340*Settings!$C$16,0))</f>
        <v/>
      </c>
      <c r="L340" s="21">
        <f>IF(B340="","",IF(Settings!$C$5="Yes",0,K340*Settings!$C$17))</f>
        <v/>
      </c>
      <c r="M340" s="21">
        <f>IF(B340="","",E340*IFERROR(VLOOKUP(D340,Products!$B$5:$F$204,5,FALSE),0))</f>
        <v/>
      </c>
      <c r="N340" s="21">
        <f>IF(B340="","",J340-K340-L340-M340-I340)</f>
        <v/>
      </c>
    </row>
    <row r="341">
      <c r="B341" s="11" t="n"/>
      <c r="C341" s="8" t="n"/>
      <c r="D341" s="8" t="n"/>
      <c r="E341" s="8" t="n"/>
      <c r="F341" s="20" t="n"/>
      <c r="G341" s="20" t="n"/>
      <c r="H341" s="8" t="n"/>
      <c r="I341" s="20" t="n"/>
      <c r="J341" s="21">
        <f>IF(B341="","",F341+G341)</f>
        <v/>
      </c>
      <c r="K341" s="21">
        <f>IF(B341="","",J341*(Settings!$C$11+Settings!$C$12+Settings!$C$14)+IF(C341="",Settings!$C$13,IF(COUNTIF($C$5:C341,C341)=1,Settings!$C$13,0))+E341*Settings!$C$15+IF(H341="Yes",J341*Settings!$C$16,0))</f>
        <v/>
      </c>
      <c r="L341" s="21">
        <f>IF(B341="","",IF(Settings!$C$5="Yes",0,K341*Settings!$C$17))</f>
        <v/>
      </c>
      <c r="M341" s="21">
        <f>IF(B341="","",E341*IFERROR(VLOOKUP(D341,Products!$B$5:$F$204,5,FALSE),0))</f>
        <v/>
      </c>
      <c r="N341" s="21">
        <f>IF(B341="","",J341-K341-L341-M341-I341)</f>
        <v/>
      </c>
    </row>
    <row r="342">
      <c r="B342" s="11" t="n"/>
      <c r="C342" s="8" t="n"/>
      <c r="D342" s="8" t="n"/>
      <c r="E342" s="8" t="n"/>
      <c r="F342" s="20" t="n"/>
      <c r="G342" s="20" t="n"/>
      <c r="H342" s="8" t="n"/>
      <c r="I342" s="20" t="n"/>
      <c r="J342" s="21">
        <f>IF(B342="","",F342+G342)</f>
        <v/>
      </c>
      <c r="K342" s="21">
        <f>IF(B342="","",J342*(Settings!$C$11+Settings!$C$12+Settings!$C$14)+IF(C342="",Settings!$C$13,IF(COUNTIF($C$5:C342,C342)=1,Settings!$C$13,0))+E342*Settings!$C$15+IF(H342="Yes",J342*Settings!$C$16,0))</f>
        <v/>
      </c>
      <c r="L342" s="21">
        <f>IF(B342="","",IF(Settings!$C$5="Yes",0,K342*Settings!$C$17))</f>
        <v/>
      </c>
      <c r="M342" s="21">
        <f>IF(B342="","",E342*IFERROR(VLOOKUP(D342,Products!$B$5:$F$204,5,FALSE),0))</f>
        <v/>
      </c>
      <c r="N342" s="21">
        <f>IF(B342="","",J342-K342-L342-M342-I342)</f>
        <v/>
      </c>
    </row>
    <row r="343">
      <c r="B343" s="11" t="n"/>
      <c r="C343" s="8" t="n"/>
      <c r="D343" s="8" t="n"/>
      <c r="E343" s="8" t="n"/>
      <c r="F343" s="20" t="n"/>
      <c r="G343" s="20" t="n"/>
      <c r="H343" s="8" t="n"/>
      <c r="I343" s="20" t="n"/>
      <c r="J343" s="21">
        <f>IF(B343="","",F343+G343)</f>
        <v/>
      </c>
      <c r="K343" s="21">
        <f>IF(B343="","",J343*(Settings!$C$11+Settings!$C$12+Settings!$C$14)+IF(C343="",Settings!$C$13,IF(COUNTIF($C$5:C343,C343)=1,Settings!$C$13,0))+E343*Settings!$C$15+IF(H343="Yes",J343*Settings!$C$16,0))</f>
        <v/>
      </c>
      <c r="L343" s="21">
        <f>IF(B343="","",IF(Settings!$C$5="Yes",0,K343*Settings!$C$17))</f>
        <v/>
      </c>
      <c r="M343" s="21">
        <f>IF(B343="","",E343*IFERROR(VLOOKUP(D343,Products!$B$5:$F$204,5,FALSE),0))</f>
        <v/>
      </c>
      <c r="N343" s="21">
        <f>IF(B343="","",J343-K343-L343-M343-I343)</f>
        <v/>
      </c>
    </row>
    <row r="344">
      <c r="B344" s="11" t="n"/>
      <c r="C344" s="8" t="n"/>
      <c r="D344" s="8" t="n"/>
      <c r="E344" s="8" t="n"/>
      <c r="F344" s="20" t="n"/>
      <c r="G344" s="20" t="n"/>
      <c r="H344" s="8" t="n"/>
      <c r="I344" s="20" t="n"/>
      <c r="J344" s="21">
        <f>IF(B344="","",F344+G344)</f>
        <v/>
      </c>
      <c r="K344" s="21">
        <f>IF(B344="","",J344*(Settings!$C$11+Settings!$C$12+Settings!$C$14)+IF(C344="",Settings!$C$13,IF(COUNTIF($C$5:C344,C344)=1,Settings!$C$13,0))+E344*Settings!$C$15+IF(H344="Yes",J344*Settings!$C$16,0))</f>
        <v/>
      </c>
      <c r="L344" s="21">
        <f>IF(B344="","",IF(Settings!$C$5="Yes",0,K344*Settings!$C$17))</f>
        <v/>
      </c>
      <c r="M344" s="21">
        <f>IF(B344="","",E344*IFERROR(VLOOKUP(D344,Products!$B$5:$F$204,5,FALSE),0))</f>
        <v/>
      </c>
      <c r="N344" s="21">
        <f>IF(B344="","",J344-K344-L344-M344-I344)</f>
        <v/>
      </c>
    </row>
    <row r="345">
      <c r="B345" s="11" t="n"/>
      <c r="C345" s="8" t="n"/>
      <c r="D345" s="8" t="n"/>
      <c r="E345" s="8" t="n"/>
      <c r="F345" s="20" t="n"/>
      <c r="G345" s="20" t="n"/>
      <c r="H345" s="8" t="n"/>
      <c r="I345" s="20" t="n"/>
      <c r="J345" s="21">
        <f>IF(B345="","",F345+G345)</f>
        <v/>
      </c>
      <c r="K345" s="21">
        <f>IF(B345="","",J345*(Settings!$C$11+Settings!$C$12+Settings!$C$14)+IF(C345="",Settings!$C$13,IF(COUNTIF($C$5:C345,C345)=1,Settings!$C$13,0))+E345*Settings!$C$15+IF(H345="Yes",J345*Settings!$C$16,0))</f>
        <v/>
      </c>
      <c r="L345" s="21">
        <f>IF(B345="","",IF(Settings!$C$5="Yes",0,K345*Settings!$C$17))</f>
        <v/>
      </c>
      <c r="M345" s="21">
        <f>IF(B345="","",E345*IFERROR(VLOOKUP(D345,Products!$B$5:$F$204,5,FALSE),0))</f>
        <v/>
      </c>
      <c r="N345" s="21">
        <f>IF(B345="","",J345-K345-L345-M345-I345)</f>
        <v/>
      </c>
    </row>
    <row r="346">
      <c r="B346" s="11" t="n"/>
      <c r="C346" s="8" t="n"/>
      <c r="D346" s="8" t="n"/>
      <c r="E346" s="8" t="n"/>
      <c r="F346" s="20" t="n"/>
      <c r="G346" s="20" t="n"/>
      <c r="H346" s="8" t="n"/>
      <c r="I346" s="20" t="n"/>
      <c r="J346" s="21">
        <f>IF(B346="","",F346+G346)</f>
        <v/>
      </c>
      <c r="K346" s="21">
        <f>IF(B346="","",J346*(Settings!$C$11+Settings!$C$12+Settings!$C$14)+IF(C346="",Settings!$C$13,IF(COUNTIF($C$5:C346,C346)=1,Settings!$C$13,0))+E346*Settings!$C$15+IF(H346="Yes",J346*Settings!$C$16,0))</f>
        <v/>
      </c>
      <c r="L346" s="21">
        <f>IF(B346="","",IF(Settings!$C$5="Yes",0,K346*Settings!$C$17))</f>
        <v/>
      </c>
      <c r="M346" s="21">
        <f>IF(B346="","",E346*IFERROR(VLOOKUP(D346,Products!$B$5:$F$204,5,FALSE),0))</f>
        <v/>
      </c>
      <c r="N346" s="21">
        <f>IF(B346="","",J346-K346-L346-M346-I346)</f>
        <v/>
      </c>
    </row>
    <row r="347">
      <c r="B347" s="11" t="n"/>
      <c r="C347" s="8" t="n"/>
      <c r="D347" s="8" t="n"/>
      <c r="E347" s="8" t="n"/>
      <c r="F347" s="20" t="n"/>
      <c r="G347" s="20" t="n"/>
      <c r="H347" s="8" t="n"/>
      <c r="I347" s="20" t="n"/>
      <c r="J347" s="21">
        <f>IF(B347="","",F347+G347)</f>
        <v/>
      </c>
      <c r="K347" s="21">
        <f>IF(B347="","",J347*(Settings!$C$11+Settings!$C$12+Settings!$C$14)+IF(C347="",Settings!$C$13,IF(COUNTIF($C$5:C347,C347)=1,Settings!$C$13,0))+E347*Settings!$C$15+IF(H347="Yes",J347*Settings!$C$16,0))</f>
        <v/>
      </c>
      <c r="L347" s="21">
        <f>IF(B347="","",IF(Settings!$C$5="Yes",0,K347*Settings!$C$17))</f>
        <v/>
      </c>
      <c r="M347" s="21">
        <f>IF(B347="","",E347*IFERROR(VLOOKUP(D347,Products!$B$5:$F$204,5,FALSE),0))</f>
        <v/>
      </c>
      <c r="N347" s="21">
        <f>IF(B347="","",J347-K347-L347-M347-I347)</f>
        <v/>
      </c>
    </row>
    <row r="348">
      <c r="B348" s="11" t="n"/>
      <c r="C348" s="8" t="n"/>
      <c r="D348" s="8" t="n"/>
      <c r="E348" s="8" t="n"/>
      <c r="F348" s="20" t="n"/>
      <c r="G348" s="20" t="n"/>
      <c r="H348" s="8" t="n"/>
      <c r="I348" s="20" t="n"/>
      <c r="J348" s="21">
        <f>IF(B348="","",F348+G348)</f>
        <v/>
      </c>
      <c r="K348" s="21">
        <f>IF(B348="","",J348*(Settings!$C$11+Settings!$C$12+Settings!$C$14)+IF(C348="",Settings!$C$13,IF(COUNTIF($C$5:C348,C348)=1,Settings!$C$13,0))+E348*Settings!$C$15+IF(H348="Yes",J348*Settings!$C$16,0))</f>
        <v/>
      </c>
      <c r="L348" s="21">
        <f>IF(B348="","",IF(Settings!$C$5="Yes",0,K348*Settings!$C$17))</f>
        <v/>
      </c>
      <c r="M348" s="21">
        <f>IF(B348="","",E348*IFERROR(VLOOKUP(D348,Products!$B$5:$F$204,5,FALSE),0))</f>
        <v/>
      </c>
      <c r="N348" s="21">
        <f>IF(B348="","",J348-K348-L348-M348-I348)</f>
        <v/>
      </c>
    </row>
    <row r="349">
      <c r="B349" s="11" t="n"/>
      <c r="C349" s="8" t="n"/>
      <c r="D349" s="8" t="n"/>
      <c r="E349" s="8" t="n"/>
      <c r="F349" s="20" t="n"/>
      <c r="G349" s="20" t="n"/>
      <c r="H349" s="8" t="n"/>
      <c r="I349" s="20" t="n"/>
      <c r="J349" s="21">
        <f>IF(B349="","",F349+G349)</f>
        <v/>
      </c>
      <c r="K349" s="21">
        <f>IF(B349="","",J349*(Settings!$C$11+Settings!$C$12+Settings!$C$14)+IF(C349="",Settings!$C$13,IF(COUNTIF($C$5:C349,C349)=1,Settings!$C$13,0))+E349*Settings!$C$15+IF(H349="Yes",J349*Settings!$C$16,0))</f>
        <v/>
      </c>
      <c r="L349" s="21">
        <f>IF(B349="","",IF(Settings!$C$5="Yes",0,K349*Settings!$C$17))</f>
        <v/>
      </c>
      <c r="M349" s="21">
        <f>IF(B349="","",E349*IFERROR(VLOOKUP(D349,Products!$B$5:$F$204,5,FALSE),0))</f>
        <v/>
      </c>
      <c r="N349" s="21">
        <f>IF(B349="","",J349-K349-L349-M349-I349)</f>
        <v/>
      </c>
    </row>
    <row r="350">
      <c r="B350" s="11" t="n"/>
      <c r="C350" s="8" t="n"/>
      <c r="D350" s="8" t="n"/>
      <c r="E350" s="8" t="n"/>
      <c r="F350" s="20" t="n"/>
      <c r="G350" s="20" t="n"/>
      <c r="H350" s="8" t="n"/>
      <c r="I350" s="20" t="n"/>
      <c r="J350" s="21">
        <f>IF(B350="","",F350+G350)</f>
        <v/>
      </c>
      <c r="K350" s="21">
        <f>IF(B350="","",J350*(Settings!$C$11+Settings!$C$12+Settings!$C$14)+IF(C350="",Settings!$C$13,IF(COUNTIF($C$5:C350,C350)=1,Settings!$C$13,0))+E350*Settings!$C$15+IF(H350="Yes",J350*Settings!$C$16,0))</f>
        <v/>
      </c>
      <c r="L350" s="21">
        <f>IF(B350="","",IF(Settings!$C$5="Yes",0,K350*Settings!$C$17))</f>
        <v/>
      </c>
      <c r="M350" s="21">
        <f>IF(B350="","",E350*IFERROR(VLOOKUP(D350,Products!$B$5:$F$204,5,FALSE),0))</f>
        <v/>
      </c>
      <c r="N350" s="21">
        <f>IF(B350="","",J350-K350-L350-M350-I350)</f>
        <v/>
      </c>
    </row>
    <row r="351">
      <c r="B351" s="11" t="n"/>
      <c r="C351" s="8" t="n"/>
      <c r="D351" s="8" t="n"/>
      <c r="E351" s="8" t="n"/>
      <c r="F351" s="20" t="n"/>
      <c r="G351" s="20" t="n"/>
      <c r="H351" s="8" t="n"/>
      <c r="I351" s="20" t="n"/>
      <c r="J351" s="21">
        <f>IF(B351="","",F351+G351)</f>
        <v/>
      </c>
      <c r="K351" s="21">
        <f>IF(B351="","",J351*(Settings!$C$11+Settings!$C$12+Settings!$C$14)+IF(C351="",Settings!$C$13,IF(COUNTIF($C$5:C351,C351)=1,Settings!$C$13,0))+E351*Settings!$C$15+IF(H351="Yes",J351*Settings!$C$16,0))</f>
        <v/>
      </c>
      <c r="L351" s="21">
        <f>IF(B351="","",IF(Settings!$C$5="Yes",0,K351*Settings!$C$17))</f>
        <v/>
      </c>
      <c r="M351" s="21">
        <f>IF(B351="","",E351*IFERROR(VLOOKUP(D351,Products!$B$5:$F$204,5,FALSE),0))</f>
        <v/>
      </c>
      <c r="N351" s="21">
        <f>IF(B351="","",J351-K351-L351-M351-I351)</f>
        <v/>
      </c>
    </row>
    <row r="352">
      <c r="B352" s="11" t="n"/>
      <c r="C352" s="8" t="n"/>
      <c r="D352" s="8" t="n"/>
      <c r="E352" s="8" t="n"/>
      <c r="F352" s="20" t="n"/>
      <c r="G352" s="20" t="n"/>
      <c r="H352" s="8" t="n"/>
      <c r="I352" s="20" t="n"/>
      <c r="J352" s="21">
        <f>IF(B352="","",F352+G352)</f>
        <v/>
      </c>
      <c r="K352" s="21">
        <f>IF(B352="","",J352*(Settings!$C$11+Settings!$C$12+Settings!$C$14)+IF(C352="",Settings!$C$13,IF(COUNTIF($C$5:C352,C352)=1,Settings!$C$13,0))+E352*Settings!$C$15+IF(H352="Yes",J352*Settings!$C$16,0))</f>
        <v/>
      </c>
      <c r="L352" s="21">
        <f>IF(B352="","",IF(Settings!$C$5="Yes",0,K352*Settings!$C$17))</f>
        <v/>
      </c>
      <c r="M352" s="21">
        <f>IF(B352="","",E352*IFERROR(VLOOKUP(D352,Products!$B$5:$F$204,5,FALSE),0))</f>
        <v/>
      </c>
      <c r="N352" s="21">
        <f>IF(B352="","",J352-K352-L352-M352-I352)</f>
        <v/>
      </c>
    </row>
    <row r="353">
      <c r="B353" s="11" t="n"/>
      <c r="C353" s="8" t="n"/>
      <c r="D353" s="8" t="n"/>
      <c r="E353" s="8" t="n"/>
      <c r="F353" s="20" t="n"/>
      <c r="G353" s="20" t="n"/>
      <c r="H353" s="8" t="n"/>
      <c r="I353" s="20" t="n"/>
      <c r="J353" s="21">
        <f>IF(B353="","",F353+G353)</f>
        <v/>
      </c>
      <c r="K353" s="21">
        <f>IF(B353="","",J353*(Settings!$C$11+Settings!$C$12+Settings!$C$14)+IF(C353="",Settings!$C$13,IF(COUNTIF($C$5:C353,C353)=1,Settings!$C$13,0))+E353*Settings!$C$15+IF(H353="Yes",J353*Settings!$C$16,0))</f>
        <v/>
      </c>
      <c r="L353" s="21">
        <f>IF(B353="","",IF(Settings!$C$5="Yes",0,K353*Settings!$C$17))</f>
        <v/>
      </c>
      <c r="M353" s="21">
        <f>IF(B353="","",E353*IFERROR(VLOOKUP(D353,Products!$B$5:$F$204,5,FALSE),0))</f>
        <v/>
      </c>
      <c r="N353" s="21">
        <f>IF(B353="","",J353-K353-L353-M353-I353)</f>
        <v/>
      </c>
    </row>
    <row r="354">
      <c r="B354" s="11" t="n"/>
      <c r="C354" s="8" t="n"/>
      <c r="D354" s="8" t="n"/>
      <c r="E354" s="8" t="n"/>
      <c r="F354" s="20" t="n"/>
      <c r="G354" s="20" t="n"/>
      <c r="H354" s="8" t="n"/>
      <c r="I354" s="20" t="n"/>
      <c r="J354" s="21">
        <f>IF(B354="","",F354+G354)</f>
        <v/>
      </c>
      <c r="K354" s="21">
        <f>IF(B354="","",J354*(Settings!$C$11+Settings!$C$12+Settings!$C$14)+IF(C354="",Settings!$C$13,IF(COUNTIF($C$5:C354,C354)=1,Settings!$C$13,0))+E354*Settings!$C$15+IF(H354="Yes",J354*Settings!$C$16,0))</f>
        <v/>
      </c>
      <c r="L354" s="21">
        <f>IF(B354="","",IF(Settings!$C$5="Yes",0,K354*Settings!$C$17))</f>
        <v/>
      </c>
      <c r="M354" s="21">
        <f>IF(B354="","",E354*IFERROR(VLOOKUP(D354,Products!$B$5:$F$204,5,FALSE),0))</f>
        <v/>
      </c>
      <c r="N354" s="21">
        <f>IF(B354="","",J354-K354-L354-M354-I354)</f>
        <v/>
      </c>
    </row>
    <row r="355">
      <c r="B355" s="11" t="n"/>
      <c r="C355" s="8" t="n"/>
      <c r="D355" s="8" t="n"/>
      <c r="E355" s="8" t="n"/>
      <c r="F355" s="20" t="n"/>
      <c r="G355" s="20" t="n"/>
      <c r="H355" s="8" t="n"/>
      <c r="I355" s="20" t="n"/>
      <c r="J355" s="21">
        <f>IF(B355="","",F355+G355)</f>
        <v/>
      </c>
      <c r="K355" s="21">
        <f>IF(B355="","",J355*(Settings!$C$11+Settings!$C$12+Settings!$C$14)+IF(C355="",Settings!$C$13,IF(COUNTIF($C$5:C355,C355)=1,Settings!$C$13,0))+E355*Settings!$C$15+IF(H355="Yes",J355*Settings!$C$16,0))</f>
        <v/>
      </c>
      <c r="L355" s="21">
        <f>IF(B355="","",IF(Settings!$C$5="Yes",0,K355*Settings!$C$17))</f>
        <v/>
      </c>
      <c r="M355" s="21">
        <f>IF(B355="","",E355*IFERROR(VLOOKUP(D355,Products!$B$5:$F$204,5,FALSE),0))</f>
        <v/>
      </c>
      <c r="N355" s="21">
        <f>IF(B355="","",J355-K355-L355-M355-I355)</f>
        <v/>
      </c>
    </row>
    <row r="356">
      <c r="B356" s="11" t="n"/>
      <c r="C356" s="8" t="n"/>
      <c r="D356" s="8" t="n"/>
      <c r="E356" s="8" t="n"/>
      <c r="F356" s="20" t="n"/>
      <c r="G356" s="20" t="n"/>
      <c r="H356" s="8" t="n"/>
      <c r="I356" s="20" t="n"/>
      <c r="J356" s="21">
        <f>IF(B356="","",F356+G356)</f>
        <v/>
      </c>
      <c r="K356" s="21">
        <f>IF(B356="","",J356*(Settings!$C$11+Settings!$C$12+Settings!$C$14)+IF(C356="",Settings!$C$13,IF(COUNTIF($C$5:C356,C356)=1,Settings!$C$13,0))+E356*Settings!$C$15+IF(H356="Yes",J356*Settings!$C$16,0))</f>
        <v/>
      </c>
      <c r="L356" s="21">
        <f>IF(B356="","",IF(Settings!$C$5="Yes",0,K356*Settings!$C$17))</f>
        <v/>
      </c>
      <c r="M356" s="21">
        <f>IF(B356="","",E356*IFERROR(VLOOKUP(D356,Products!$B$5:$F$204,5,FALSE),0))</f>
        <v/>
      </c>
      <c r="N356" s="21">
        <f>IF(B356="","",J356-K356-L356-M356-I356)</f>
        <v/>
      </c>
    </row>
    <row r="357">
      <c r="B357" s="11" t="n"/>
      <c r="C357" s="8" t="n"/>
      <c r="D357" s="8" t="n"/>
      <c r="E357" s="8" t="n"/>
      <c r="F357" s="20" t="n"/>
      <c r="G357" s="20" t="n"/>
      <c r="H357" s="8" t="n"/>
      <c r="I357" s="20" t="n"/>
      <c r="J357" s="21">
        <f>IF(B357="","",F357+G357)</f>
        <v/>
      </c>
      <c r="K357" s="21">
        <f>IF(B357="","",J357*(Settings!$C$11+Settings!$C$12+Settings!$C$14)+IF(C357="",Settings!$C$13,IF(COUNTIF($C$5:C357,C357)=1,Settings!$C$13,0))+E357*Settings!$C$15+IF(H357="Yes",J357*Settings!$C$16,0))</f>
        <v/>
      </c>
      <c r="L357" s="21">
        <f>IF(B357="","",IF(Settings!$C$5="Yes",0,K357*Settings!$C$17))</f>
        <v/>
      </c>
      <c r="M357" s="21">
        <f>IF(B357="","",E357*IFERROR(VLOOKUP(D357,Products!$B$5:$F$204,5,FALSE),0))</f>
        <v/>
      </c>
      <c r="N357" s="21">
        <f>IF(B357="","",J357-K357-L357-M357-I357)</f>
        <v/>
      </c>
    </row>
    <row r="358">
      <c r="B358" s="11" t="n"/>
      <c r="C358" s="8" t="n"/>
      <c r="D358" s="8" t="n"/>
      <c r="E358" s="8" t="n"/>
      <c r="F358" s="20" t="n"/>
      <c r="G358" s="20" t="n"/>
      <c r="H358" s="8" t="n"/>
      <c r="I358" s="20" t="n"/>
      <c r="J358" s="21">
        <f>IF(B358="","",F358+G358)</f>
        <v/>
      </c>
      <c r="K358" s="21">
        <f>IF(B358="","",J358*(Settings!$C$11+Settings!$C$12+Settings!$C$14)+IF(C358="",Settings!$C$13,IF(COUNTIF($C$5:C358,C358)=1,Settings!$C$13,0))+E358*Settings!$C$15+IF(H358="Yes",J358*Settings!$C$16,0))</f>
        <v/>
      </c>
      <c r="L358" s="21">
        <f>IF(B358="","",IF(Settings!$C$5="Yes",0,K358*Settings!$C$17))</f>
        <v/>
      </c>
      <c r="M358" s="21">
        <f>IF(B358="","",E358*IFERROR(VLOOKUP(D358,Products!$B$5:$F$204,5,FALSE),0))</f>
        <v/>
      </c>
      <c r="N358" s="21">
        <f>IF(B358="","",J358-K358-L358-M358-I358)</f>
        <v/>
      </c>
    </row>
    <row r="359">
      <c r="B359" s="11" t="n"/>
      <c r="C359" s="8" t="n"/>
      <c r="D359" s="8" t="n"/>
      <c r="E359" s="8" t="n"/>
      <c r="F359" s="20" t="n"/>
      <c r="G359" s="20" t="n"/>
      <c r="H359" s="8" t="n"/>
      <c r="I359" s="20" t="n"/>
      <c r="J359" s="21">
        <f>IF(B359="","",F359+G359)</f>
        <v/>
      </c>
      <c r="K359" s="21">
        <f>IF(B359="","",J359*(Settings!$C$11+Settings!$C$12+Settings!$C$14)+IF(C359="",Settings!$C$13,IF(COUNTIF($C$5:C359,C359)=1,Settings!$C$13,0))+E359*Settings!$C$15+IF(H359="Yes",J359*Settings!$C$16,0))</f>
        <v/>
      </c>
      <c r="L359" s="21">
        <f>IF(B359="","",IF(Settings!$C$5="Yes",0,K359*Settings!$C$17))</f>
        <v/>
      </c>
      <c r="M359" s="21">
        <f>IF(B359="","",E359*IFERROR(VLOOKUP(D359,Products!$B$5:$F$204,5,FALSE),0))</f>
        <v/>
      </c>
      <c r="N359" s="21">
        <f>IF(B359="","",J359-K359-L359-M359-I359)</f>
        <v/>
      </c>
    </row>
    <row r="360">
      <c r="B360" s="11" t="n"/>
      <c r="C360" s="8" t="n"/>
      <c r="D360" s="8" t="n"/>
      <c r="E360" s="8" t="n"/>
      <c r="F360" s="20" t="n"/>
      <c r="G360" s="20" t="n"/>
      <c r="H360" s="8" t="n"/>
      <c r="I360" s="20" t="n"/>
      <c r="J360" s="21">
        <f>IF(B360="","",F360+G360)</f>
        <v/>
      </c>
      <c r="K360" s="21">
        <f>IF(B360="","",J360*(Settings!$C$11+Settings!$C$12+Settings!$C$14)+IF(C360="",Settings!$C$13,IF(COUNTIF($C$5:C360,C360)=1,Settings!$C$13,0))+E360*Settings!$C$15+IF(H360="Yes",J360*Settings!$C$16,0))</f>
        <v/>
      </c>
      <c r="L360" s="21">
        <f>IF(B360="","",IF(Settings!$C$5="Yes",0,K360*Settings!$C$17))</f>
        <v/>
      </c>
      <c r="M360" s="21">
        <f>IF(B360="","",E360*IFERROR(VLOOKUP(D360,Products!$B$5:$F$204,5,FALSE),0))</f>
        <v/>
      </c>
      <c r="N360" s="21">
        <f>IF(B360="","",J360-K360-L360-M360-I360)</f>
        <v/>
      </c>
    </row>
    <row r="361">
      <c r="B361" s="11" t="n"/>
      <c r="C361" s="8" t="n"/>
      <c r="D361" s="8" t="n"/>
      <c r="E361" s="8" t="n"/>
      <c r="F361" s="20" t="n"/>
      <c r="G361" s="20" t="n"/>
      <c r="H361" s="8" t="n"/>
      <c r="I361" s="20" t="n"/>
      <c r="J361" s="21">
        <f>IF(B361="","",F361+G361)</f>
        <v/>
      </c>
      <c r="K361" s="21">
        <f>IF(B361="","",J361*(Settings!$C$11+Settings!$C$12+Settings!$C$14)+IF(C361="",Settings!$C$13,IF(COUNTIF($C$5:C361,C361)=1,Settings!$C$13,0))+E361*Settings!$C$15+IF(H361="Yes",J361*Settings!$C$16,0))</f>
        <v/>
      </c>
      <c r="L361" s="21">
        <f>IF(B361="","",IF(Settings!$C$5="Yes",0,K361*Settings!$C$17))</f>
        <v/>
      </c>
      <c r="M361" s="21">
        <f>IF(B361="","",E361*IFERROR(VLOOKUP(D361,Products!$B$5:$F$204,5,FALSE),0))</f>
        <v/>
      </c>
      <c r="N361" s="21">
        <f>IF(B361="","",J361-K361-L361-M361-I361)</f>
        <v/>
      </c>
    </row>
    <row r="362">
      <c r="B362" s="11" t="n"/>
      <c r="C362" s="8" t="n"/>
      <c r="D362" s="8" t="n"/>
      <c r="E362" s="8" t="n"/>
      <c r="F362" s="20" t="n"/>
      <c r="G362" s="20" t="n"/>
      <c r="H362" s="8" t="n"/>
      <c r="I362" s="20" t="n"/>
      <c r="J362" s="21">
        <f>IF(B362="","",F362+G362)</f>
        <v/>
      </c>
      <c r="K362" s="21">
        <f>IF(B362="","",J362*(Settings!$C$11+Settings!$C$12+Settings!$C$14)+IF(C362="",Settings!$C$13,IF(COUNTIF($C$5:C362,C362)=1,Settings!$C$13,0))+E362*Settings!$C$15+IF(H362="Yes",J362*Settings!$C$16,0))</f>
        <v/>
      </c>
      <c r="L362" s="21">
        <f>IF(B362="","",IF(Settings!$C$5="Yes",0,K362*Settings!$C$17))</f>
        <v/>
      </c>
      <c r="M362" s="21">
        <f>IF(B362="","",E362*IFERROR(VLOOKUP(D362,Products!$B$5:$F$204,5,FALSE),0))</f>
        <v/>
      </c>
      <c r="N362" s="21">
        <f>IF(B362="","",J362-K362-L362-M362-I362)</f>
        <v/>
      </c>
    </row>
    <row r="363">
      <c r="B363" s="11" t="n"/>
      <c r="C363" s="8" t="n"/>
      <c r="D363" s="8" t="n"/>
      <c r="E363" s="8" t="n"/>
      <c r="F363" s="20" t="n"/>
      <c r="G363" s="20" t="n"/>
      <c r="H363" s="8" t="n"/>
      <c r="I363" s="20" t="n"/>
      <c r="J363" s="21">
        <f>IF(B363="","",F363+G363)</f>
        <v/>
      </c>
      <c r="K363" s="21">
        <f>IF(B363="","",J363*(Settings!$C$11+Settings!$C$12+Settings!$C$14)+IF(C363="",Settings!$C$13,IF(COUNTIF($C$5:C363,C363)=1,Settings!$C$13,0))+E363*Settings!$C$15+IF(H363="Yes",J363*Settings!$C$16,0))</f>
        <v/>
      </c>
      <c r="L363" s="21">
        <f>IF(B363="","",IF(Settings!$C$5="Yes",0,K363*Settings!$C$17))</f>
        <v/>
      </c>
      <c r="M363" s="21">
        <f>IF(B363="","",E363*IFERROR(VLOOKUP(D363,Products!$B$5:$F$204,5,FALSE),0))</f>
        <v/>
      </c>
      <c r="N363" s="21">
        <f>IF(B363="","",J363-K363-L363-M363-I363)</f>
        <v/>
      </c>
    </row>
    <row r="364">
      <c r="B364" s="11" t="n"/>
      <c r="C364" s="8" t="n"/>
      <c r="D364" s="8" t="n"/>
      <c r="E364" s="8" t="n"/>
      <c r="F364" s="20" t="n"/>
      <c r="G364" s="20" t="n"/>
      <c r="H364" s="8" t="n"/>
      <c r="I364" s="20" t="n"/>
      <c r="J364" s="21">
        <f>IF(B364="","",F364+G364)</f>
        <v/>
      </c>
      <c r="K364" s="21">
        <f>IF(B364="","",J364*(Settings!$C$11+Settings!$C$12+Settings!$C$14)+IF(C364="",Settings!$C$13,IF(COUNTIF($C$5:C364,C364)=1,Settings!$C$13,0))+E364*Settings!$C$15+IF(H364="Yes",J364*Settings!$C$16,0))</f>
        <v/>
      </c>
      <c r="L364" s="21">
        <f>IF(B364="","",IF(Settings!$C$5="Yes",0,K364*Settings!$C$17))</f>
        <v/>
      </c>
      <c r="M364" s="21">
        <f>IF(B364="","",E364*IFERROR(VLOOKUP(D364,Products!$B$5:$F$204,5,FALSE),0))</f>
        <v/>
      </c>
      <c r="N364" s="21">
        <f>IF(B364="","",J364-K364-L364-M364-I364)</f>
        <v/>
      </c>
    </row>
    <row r="365">
      <c r="B365" s="11" t="n"/>
      <c r="C365" s="8" t="n"/>
      <c r="D365" s="8" t="n"/>
      <c r="E365" s="8" t="n"/>
      <c r="F365" s="20" t="n"/>
      <c r="G365" s="20" t="n"/>
      <c r="H365" s="8" t="n"/>
      <c r="I365" s="20" t="n"/>
      <c r="J365" s="21">
        <f>IF(B365="","",F365+G365)</f>
        <v/>
      </c>
      <c r="K365" s="21">
        <f>IF(B365="","",J365*(Settings!$C$11+Settings!$C$12+Settings!$C$14)+IF(C365="",Settings!$C$13,IF(COUNTIF($C$5:C365,C365)=1,Settings!$C$13,0))+E365*Settings!$C$15+IF(H365="Yes",J365*Settings!$C$16,0))</f>
        <v/>
      </c>
      <c r="L365" s="21">
        <f>IF(B365="","",IF(Settings!$C$5="Yes",0,K365*Settings!$C$17))</f>
        <v/>
      </c>
      <c r="M365" s="21">
        <f>IF(B365="","",E365*IFERROR(VLOOKUP(D365,Products!$B$5:$F$204,5,FALSE),0))</f>
        <v/>
      </c>
      <c r="N365" s="21">
        <f>IF(B365="","",J365-K365-L365-M365-I365)</f>
        <v/>
      </c>
    </row>
    <row r="366">
      <c r="B366" s="11" t="n"/>
      <c r="C366" s="8" t="n"/>
      <c r="D366" s="8" t="n"/>
      <c r="E366" s="8" t="n"/>
      <c r="F366" s="20" t="n"/>
      <c r="G366" s="20" t="n"/>
      <c r="H366" s="8" t="n"/>
      <c r="I366" s="20" t="n"/>
      <c r="J366" s="21">
        <f>IF(B366="","",F366+G366)</f>
        <v/>
      </c>
      <c r="K366" s="21">
        <f>IF(B366="","",J366*(Settings!$C$11+Settings!$C$12+Settings!$C$14)+IF(C366="",Settings!$C$13,IF(COUNTIF($C$5:C366,C366)=1,Settings!$C$13,0))+E366*Settings!$C$15+IF(H366="Yes",J366*Settings!$C$16,0))</f>
        <v/>
      </c>
      <c r="L366" s="21">
        <f>IF(B366="","",IF(Settings!$C$5="Yes",0,K366*Settings!$C$17))</f>
        <v/>
      </c>
      <c r="M366" s="21">
        <f>IF(B366="","",E366*IFERROR(VLOOKUP(D366,Products!$B$5:$F$204,5,FALSE),0))</f>
        <v/>
      </c>
      <c r="N366" s="21">
        <f>IF(B366="","",J366-K366-L366-M366-I366)</f>
        <v/>
      </c>
    </row>
    <row r="367">
      <c r="B367" s="11" t="n"/>
      <c r="C367" s="8" t="n"/>
      <c r="D367" s="8" t="n"/>
      <c r="E367" s="8" t="n"/>
      <c r="F367" s="20" t="n"/>
      <c r="G367" s="20" t="n"/>
      <c r="H367" s="8" t="n"/>
      <c r="I367" s="20" t="n"/>
      <c r="J367" s="21">
        <f>IF(B367="","",F367+G367)</f>
        <v/>
      </c>
      <c r="K367" s="21">
        <f>IF(B367="","",J367*(Settings!$C$11+Settings!$C$12+Settings!$C$14)+IF(C367="",Settings!$C$13,IF(COUNTIF($C$5:C367,C367)=1,Settings!$C$13,0))+E367*Settings!$C$15+IF(H367="Yes",J367*Settings!$C$16,0))</f>
        <v/>
      </c>
      <c r="L367" s="21">
        <f>IF(B367="","",IF(Settings!$C$5="Yes",0,K367*Settings!$C$17))</f>
        <v/>
      </c>
      <c r="M367" s="21">
        <f>IF(B367="","",E367*IFERROR(VLOOKUP(D367,Products!$B$5:$F$204,5,FALSE),0))</f>
        <v/>
      </c>
      <c r="N367" s="21">
        <f>IF(B367="","",J367-K367-L367-M367-I367)</f>
        <v/>
      </c>
    </row>
    <row r="368">
      <c r="B368" s="11" t="n"/>
      <c r="C368" s="8" t="n"/>
      <c r="D368" s="8" t="n"/>
      <c r="E368" s="8" t="n"/>
      <c r="F368" s="20" t="n"/>
      <c r="G368" s="20" t="n"/>
      <c r="H368" s="8" t="n"/>
      <c r="I368" s="20" t="n"/>
      <c r="J368" s="21">
        <f>IF(B368="","",F368+G368)</f>
        <v/>
      </c>
      <c r="K368" s="21">
        <f>IF(B368="","",J368*(Settings!$C$11+Settings!$C$12+Settings!$C$14)+IF(C368="",Settings!$C$13,IF(COUNTIF($C$5:C368,C368)=1,Settings!$C$13,0))+E368*Settings!$C$15+IF(H368="Yes",J368*Settings!$C$16,0))</f>
        <v/>
      </c>
      <c r="L368" s="21">
        <f>IF(B368="","",IF(Settings!$C$5="Yes",0,K368*Settings!$C$17))</f>
        <v/>
      </c>
      <c r="M368" s="21">
        <f>IF(B368="","",E368*IFERROR(VLOOKUP(D368,Products!$B$5:$F$204,5,FALSE),0))</f>
        <v/>
      </c>
      <c r="N368" s="21">
        <f>IF(B368="","",J368-K368-L368-M368-I368)</f>
        <v/>
      </c>
    </row>
    <row r="369">
      <c r="B369" s="11" t="n"/>
      <c r="C369" s="8" t="n"/>
      <c r="D369" s="8" t="n"/>
      <c r="E369" s="8" t="n"/>
      <c r="F369" s="20" t="n"/>
      <c r="G369" s="20" t="n"/>
      <c r="H369" s="8" t="n"/>
      <c r="I369" s="20" t="n"/>
      <c r="J369" s="21">
        <f>IF(B369="","",F369+G369)</f>
        <v/>
      </c>
      <c r="K369" s="21">
        <f>IF(B369="","",J369*(Settings!$C$11+Settings!$C$12+Settings!$C$14)+IF(C369="",Settings!$C$13,IF(COUNTIF($C$5:C369,C369)=1,Settings!$C$13,0))+E369*Settings!$C$15+IF(H369="Yes",J369*Settings!$C$16,0))</f>
        <v/>
      </c>
      <c r="L369" s="21">
        <f>IF(B369="","",IF(Settings!$C$5="Yes",0,K369*Settings!$C$17))</f>
        <v/>
      </c>
      <c r="M369" s="21">
        <f>IF(B369="","",E369*IFERROR(VLOOKUP(D369,Products!$B$5:$F$204,5,FALSE),0))</f>
        <v/>
      </c>
      <c r="N369" s="21">
        <f>IF(B369="","",J369-K369-L369-M369-I369)</f>
        <v/>
      </c>
    </row>
    <row r="370">
      <c r="B370" s="11" t="n"/>
      <c r="C370" s="8" t="n"/>
      <c r="D370" s="8" t="n"/>
      <c r="E370" s="8" t="n"/>
      <c r="F370" s="20" t="n"/>
      <c r="G370" s="20" t="n"/>
      <c r="H370" s="8" t="n"/>
      <c r="I370" s="20" t="n"/>
      <c r="J370" s="21">
        <f>IF(B370="","",F370+G370)</f>
        <v/>
      </c>
      <c r="K370" s="21">
        <f>IF(B370="","",J370*(Settings!$C$11+Settings!$C$12+Settings!$C$14)+IF(C370="",Settings!$C$13,IF(COUNTIF($C$5:C370,C370)=1,Settings!$C$13,0))+E370*Settings!$C$15+IF(H370="Yes",J370*Settings!$C$16,0))</f>
        <v/>
      </c>
      <c r="L370" s="21">
        <f>IF(B370="","",IF(Settings!$C$5="Yes",0,K370*Settings!$C$17))</f>
        <v/>
      </c>
      <c r="M370" s="21">
        <f>IF(B370="","",E370*IFERROR(VLOOKUP(D370,Products!$B$5:$F$204,5,FALSE),0))</f>
        <v/>
      </c>
      <c r="N370" s="21">
        <f>IF(B370="","",J370-K370-L370-M370-I370)</f>
        <v/>
      </c>
    </row>
    <row r="371">
      <c r="B371" s="11" t="n"/>
      <c r="C371" s="8" t="n"/>
      <c r="D371" s="8" t="n"/>
      <c r="E371" s="8" t="n"/>
      <c r="F371" s="20" t="n"/>
      <c r="G371" s="20" t="n"/>
      <c r="H371" s="8" t="n"/>
      <c r="I371" s="20" t="n"/>
      <c r="J371" s="21">
        <f>IF(B371="","",F371+G371)</f>
        <v/>
      </c>
      <c r="K371" s="21">
        <f>IF(B371="","",J371*(Settings!$C$11+Settings!$C$12+Settings!$C$14)+IF(C371="",Settings!$C$13,IF(COUNTIF($C$5:C371,C371)=1,Settings!$C$13,0))+E371*Settings!$C$15+IF(H371="Yes",J371*Settings!$C$16,0))</f>
        <v/>
      </c>
      <c r="L371" s="21">
        <f>IF(B371="","",IF(Settings!$C$5="Yes",0,K371*Settings!$C$17))</f>
        <v/>
      </c>
      <c r="M371" s="21">
        <f>IF(B371="","",E371*IFERROR(VLOOKUP(D371,Products!$B$5:$F$204,5,FALSE),0))</f>
        <v/>
      </c>
      <c r="N371" s="21">
        <f>IF(B371="","",J371-K371-L371-M371-I371)</f>
        <v/>
      </c>
    </row>
    <row r="372">
      <c r="B372" s="11" t="n"/>
      <c r="C372" s="8" t="n"/>
      <c r="D372" s="8" t="n"/>
      <c r="E372" s="8" t="n"/>
      <c r="F372" s="20" t="n"/>
      <c r="G372" s="20" t="n"/>
      <c r="H372" s="8" t="n"/>
      <c r="I372" s="20" t="n"/>
      <c r="J372" s="21">
        <f>IF(B372="","",F372+G372)</f>
        <v/>
      </c>
      <c r="K372" s="21">
        <f>IF(B372="","",J372*(Settings!$C$11+Settings!$C$12+Settings!$C$14)+IF(C372="",Settings!$C$13,IF(COUNTIF($C$5:C372,C372)=1,Settings!$C$13,0))+E372*Settings!$C$15+IF(H372="Yes",J372*Settings!$C$16,0))</f>
        <v/>
      </c>
      <c r="L372" s="21">
        <f>IF(B372="","",IF(Settings!$C$5="Yes",0,K372*Settings!$C$17))</f>
        <v/>
      </c>
      <c r="M372" s="21">
        <f>IF(B372="","",E372*IFERROR(VLOOKUP(D372,Products!$B$5:$F$204,5,FALSE),0))</f>
        <v/>
      </c>
      <c r="N372" s="21">
        <f>IF(B372="","",J372-K372-L372-M372-I372)</f>
        <v/>
      </c>
    </row>
    <row r="373">
      <c r="B373" s="11" t="n"/>
      <c r="C373" s="8" t="n"/>
      <c r="D373" s="8" t="n"/>
      <c r="E373" s="8" t="n"/>
      <c r="F373" s="20" t="n"/>
      <c r="G373" s="20" t="n"/>
      <c r="H373" s="8" t="n"/>
      <c r="I373" s="20" t="n"/>
      <c r="J373" s="21">
        <f>IF(B373="","",F373+G373)</f>
        <v/>
      </c>
      <c r="K373" s="21">
        <f>IF(B373="","",J373*(Settings!$C$11+Settings!$C$12+Settings!$C$14)+IF(C373="",Settings!$C$13,IF(COUNTIF($C$5:C373,C373)=1,Settings!$C$13,0))+E373*Settings!$C$15+IF(H373="Yes",J373*Settings!$C$16,0))</f>
        <v/>
      </c>
      <c r="L373" s="21">
        <f>IF(B373="","",IF(Settings!$C$5="Yes",0,K373*Settings!$C$17))</f>
        <v/>
      </c>
      <c r="M373" s="21">
        <f>IF(B373="","",E373*IFERROR(VLOOKUP(D373,Products!$B$5:$F$204,5,FALSE),0))</f>
        <v/>
      </c>
      <c r="N373" s="21">
        <f>IF(B373="","",J373-K373-L373-M373-I373)</f>
        <v/>
      </c>
    </row>
    <row r="374">
      <c r="B374" s="11" t="n"/>
      <c r="C374" s="8" t="n"/>
      <c r="D374" s="8" t="n"/>
      <c r="E374" s="8" t="n"/>
      <c r="F374" s="20" t="n"/>
      <c r="G374" s="20" t="n"/>
      <c r="H374" s="8" t="n"/>
      <c r="I374" s="20" t="n"/>
      <c r="J374" s="21">
        <f>IF(B374="","",F374+G374)</f>
        <v/>
      </c>
      <c r="K374" s="21">
        <f>IF(B374="","",J374*(Settings!$C$11+Settings!$C$12+Settings!$C$14)+IF(C374="",Settings!$C$13,IF(COUNTIF($C$5:C374,C374)=1,Settings!$C$13,0))+E374*Settings!$C$15+IF(H374="Yes",J374*Settings!$C$16,0))</f>
        <v/>
      </c>
      <c r="L374" s="21">
        <f>IF(B374="","",IF(Settings!$C$5="Yes",0,K374*Settings!$C$17))</f>
        <v/>
      </c>
      <c r="M374" s="21">
        <f>IF(B374="","",E374*IFERROR(VLOOKUP(D374,Products!$B$5:$F$204,5,FALSE),0))</f>
        <v/>
      </c>
      <c r="N374" s="21">
        <f>IF(B374="","",J374-K374-L374-M374-I374)</f>
        <v/>
      </c>
    </row>
    <row r="375">
      <c r="B375" s="11" t="n"/>
      <c r="C375" s="8" t="n"/>
      <c r="D375" s="8" t="n"/>
      <c r="E375" s="8" t="n"/>
      <c r="F375" s="20" t="n"/>
      <c r="G375" s="20" t="n"/>
      <c r="H375" s="8" t="n"/>
      <c r="I375" s="20" t="n"/>
      <c r="J375" s="21">
        <f>IF(B375="","",F375+G375)</f>
        <v/>
      </c>
      <c r="K375" s="21">
        <f>IF(B375="","",J375*(Settings!$C$11+Settings!$C$12+Settings!$C$14)+IF(C375="",Settings!$C$13,IF(COUNTIF($C$5:C375,C375)=1,Settings!$C$13,0))+E375*Settings!$C$15+IF(H375="Yes",J375*Settings!$C$16,0))</f>
        <v/>
      </c>
      <c r="L375" s="21">
        <f>IF(B375="","",IF(Settings!$C$5="Yes",0,K375*Settings!$C$17))</f>
        <v/>
      </c>
      <c r="M375" s="21">
        <f>IF(B375="","",E375*IFERROR(VLOOKUP(D375,Products!$B$5:$F$204,5,FALSE),0))</f>
        <v/>
      </c>
      <c r="N375" s="21">
        <f>IF(B375="","",J375-K375-L375-M375-I375)</f>
        <v/>
      </c>
    </row>
    <row r="376">
      <c r="B376" s="11" t="n"/>
      <c r="C376" s="8" t="n"/>
      <c r="D376" s="8" t="n"/>
      <c r="E376" s="8" t="n"/>
      <c r="F376" s="20" t="n"/>
      <c r="G376" s="20" t="n"/>
      <c r="H376" s="8" t="n"/>
      <c r="I376" s="20" t="n"/>
      <c r="J376" s="21">
        <f>IF(B376="","",F376+G376)</f>
        <v/>
      </c>
      <c r="K376" s="21">
        <f>IF(B376="","",J376*(Settings!$C$11+Settings!$C$12+Settings!$C$14)+IF(C376="",Settings!$C$13,IF(COUNTIF($C$5:C376,C376)=1,Settings!$C$13,0))+E376*Settings!$C$15+IF(H376="Yes",J376*Settings!$C$16,0))</f>
        <v/>
      </c>
      <c r="L376" s="21">
        <f>IF(B376="","",IF(Settings!$C$5="Yes",0,K376*Settings!$C$17))</f>
        <v/>
      </c>
      <c r="M376" s="21">
        <f>IF(B376="","",E376*IFERROR(VLOOKUP(D376,Products!$B$5:$F$204,5,FALSE),0))</f>
        <v/>
      </c>
      <c r="N376" s="21">
        <f>IF(B376="","",J376-K376-L376-M376-I376)</f>
        <v/>
      </c>
    </row>
    <row r="377">
      <c r="B377" s="11" t="n"/>
      <c r="C377" s="8" t="n"/>
      <c r="D377" s="8" t="n"/>
      <c r="E377" s="8" t="n"/>
      <c r="F377" s="20" t="n"/>
      <c r="G377" s="20" t="n"/>
      <c r="H377" s="8" t="n"/>
      <c r="I377" s="20" t="n"/>
      <c r="J377" s="21">
        <f>IF(B377="","",F377+G377)</f>
        <v/>
      </c>
      <c r="K377" s="21">
        <f>IF(B377="","",J377*(Settings!$C$11+Settings!$C$12+Settings!$C$14)+IF(C377="",Settings!$C$13,IF(COUNTIF($C$5:C377,C377)=1,Settings!$C$13,0))+E377*Settings!$C$15+IF(H377="Yes",J377*Settings!$C$16,0))</f>
        <v/>
      </c>
      <c r="L377" s="21">
        <f>IF(B377="","",IF(Settings!$C$5="Yes",0,K377*Settings!$C$17))</f>
        <v/>
      </c>
      <c r="M377" s="21">
        <f>IF(B377="","",E377*IFERROR(VLOOKUP(D377,Products!$B$5:$F$204,5,FALSE),0))</f>
        <v/>
      </c>
      <c r="N377" s="21">
        <f>IF(B377="","",J377-K377-L377-M377-I377)</f>
        <v/>
      </c>
    </row>
    <row r="378">
      <c r="B378" s="11" t="n"/>
      <c r="C378" s="8" t="n"/>
      <c r="D378" s="8" t="n"/>
      <c r="E378" s="8" t="n"/>
      <c r="F378" s="20" t="n"/>
      <c r="G378" s="20" t="n"/>
      <c r="H378" s="8" t="n"/>
      <c r="I378" s="20" t="n"/>
      <c r="J378" s="21">
        <f>IF(B378="","",F378+G378)</f>
        <v/>
      </c>
      <c r="K378" s="21">
        <f>IF(B378="","",J378*(Settings!$C$11+Settings!$C$12+Settings!$C$14)+IF(C378="",Settings!$C$13,IF(COUNTIF($C$5:C378,C378)=1,Settings!$C$13,0))+E378*Settings!$C$15+IF(H378="Yes",J378*Settings!$C$16,0))</f>
        <v/>
      </c>
      <c r="L378" s="21">
        <f>IF(B378="","",IF(Settings!$C$5="Yes",0,K378*Settings!$C$17))</f>
        <v/>
      </c>
      <c r="M378" s="21">
        <f>IF(B378="","",E378*IFERROR(VLOOKUP(D378,Products!$B$5:$F$204,5,FALSE),0))</f>
        <v/>
      </c>
      <c r="N378" s="21">
        <f>IF(B378="","",J378-K378-L378-M378-I378)</f>
        <v/>
      </c>
    </row>
    <row r="379">
      <c r="B379" s="11" t="n"/>
      <c r="C379" s="8" t="n"/>
      <c r="D379" s="8" t="n"/>
      <c r="E379" s="8" t="n"/>
      <c r="F379" s="20" t="n"/>
      <c r="G379" s="20" t="n"/>
      <c r="H379" s="8" t="n"/>
      <c r="I379" s="20" t="n"/>
      <c r="J379" s="21">
        <f>IF(B379="","",F379+G379)</f>
        <v/>
      </c>
      <c r="K379" s="21">
        <f>IF(B379="","",J379*(Settings!$C$11+Settings!$C$12+Settings!$C$14)+IF(C379="",Settings!$C$13,IF(COUNTIF($C$5:C379,C379)=1,Settings!$C$13,0))+E379*Settings!$C$15+IF(H379="Yes",J379*Settings!$C$16,0))</f>
        <v/>
      </c>
      <c r="L379" s="21">
        <f>IF(B379="","",IF(Settings!$C$5="Yes",0,K379*Settings!$C$17))</f>
        <v/>
      </c>
      <c r="M379" s="21">
        <f>IF(B379="","",E379*IFERROR(VLOOKUP(D379,Products!$B$5:$F$204,5,FALSE),0))</f>
        <v/>
      </c>
      <c r="N379" s="21">
        <f>IF(B379="","",J379-K379-L379-M379-I379)</f>
        <v/>
      </c>
    </row>
    <row r="380">
      <c r="B380" s="11" t="n"/>
      <c r="C380" s="8" t="n"/>
      <c r="D380" s="8" t="n"/>
      <c r="E380" s="8" t="n"/>
      <c r="F380" s="20" t="n"/>
      <c r="G380" s="20" t="n"/>
      <c r="H380" s="8" t="n"/>
      <c r="I380" s="20" t="n"/>
      <c r="J380" s="21">
        <f>IF(B380="","",F380+G380)</f>
        <v/>
      </c>
      <c r="K380" s="21">
        <f>IF(B380="","",J380*(Settings!$C$11+Settings!$C$12+Settings!$C$14)+IF(C380="",Settings!$C$13,IF(COUNTIF($C$5:C380,C380)=1,Settings!$C$13,0))+E380*Settings!$C$15+IF(H380="Yes",J380*Settings!$C$16,0))</f>
        <v/>
      </c>
      <c r="L380" s="21">
        <f>IF(B380="","",IF(Settings!$C$5="Yes",0,K380*Settings!$C$17))</f>
        <v/>
      </c>
      <c r="M380" s="21">
        <f>IF(B380="","",E380*IFERROR(VLOOKUP(D380,Products!$B$5:$F$204,5,FALSE),0))</f>
        <v/>
      </c>
      <c r="N380" s="21">
        <f>IF(B380="","",J380-K380-L380-M380-I380)</f>
        <v/>
      </c>
    </row>
    <row r="381">
      <c r="B381" s="11" t="n"/>
      <c r="C381" s="8" t="n"/>
      <c r="D381" s="8" t="n"/>
      <c r="E381" s="8" t="n"/>
      <c r="F381" s="20" t="n"/>
      <c r="G381" s="20" t="n"/>
      <c r="H381" s="8" t="n"/>
      <c r="I381" s="20" t="n"/>
      <c r="J381" s="21">
        <f>IF(B381="","",F381+G381)</f>
        <v/>
      </c>
      <c r="K381" s="21">
        <f>IF(B381="","",J381*(Settings!$C$11+Settings!$C$12+Settings!$C$14)+IF(C381="",Settings!$C$13,IF(COUNTIF($C$5:C381,C381)=1,Settings!$C$13,0))+E381*Settings!$C$15+IF(H381="Yes",J381*Settings!$C$16,0))</f>
        <v/>
      </c>
      <c r="L381" s="21">
        <f>IF(B381="","",IF(Settings!$C$5="Yes",0,K381*Settings!$C$17))</f>
        <v/>
      </c>
      <c r="M381" s="21">
        <f>IF(B381="","",E381*IFERROR(VLOOKUP(D381,Products!$B$5:$F$204,5,FALSE),0))</f>
        <v/>
      </c>
      <c r="N381" s="21">
        <f>IF(B381="","",J381-K381-L381-M381-I381)</f>
        <v/>
      </c>
    </row>
    <row r="382">
      <c r="B382" s="11" t="n"/>
      <c r="C382" s="8" t="n"/>
      <c r="D382" s="8" t="n"/>
      <c r="E382" s="8" t="n"/>
      <c r="F382" s="20" t="n"/>
      <c r="G382" s="20" t="n"/>
      <c r="H382" s="8" t="n"/>
      <c r="I382" s="20" t="n"/>
      <c r="J382" s="21">
        <f>IF(B382="","",F382+G382)</f>
        <v/>
      </c>
      <c r="K382" s="21">
        <f>IF(B382="","",J382*(Settings!$C$11+Settings!$C$12+Settings!$C$14)+IF(C382="",Settings!$C$13,IF(COUNTIF($C$5:C382,C382)=1,Settings!$C$13,0))+E382*Settings!$C$15+IF(H382="Yes",J382*Settings!$C$16,0))</f>
        <v/>
      </c>
      <c r="L382" s="21">
        <f>IF(B382="","",IF(Settings!$C$5="Yes",0,K382*Settings!$C$17))</f>
        <v/>
      </c>
      <c r="M382" s="21">
        <f>IF(B382="","",E382*IFERROR(VLOOKUP(D382,Products!$B$5:$F$204,5,FALSE),0))</f>
        <v/>
      </c>
      <c r="N382" s="21">
        <f>IF(B382="","",J382-K382-L382-M382-I382)</f>
        <v/>
      </c>
    </row>
    <row r="383">
      <c r="B383" s="11" t="n"/>
      <c r="C383" s="8" t="n"/>
      <c r="D383" s="8" t="n"/>
      <c r="E383" s="8" t="n"/>
      <c r="F383" s="20" t="n"/>
      <c r="G383" s="20" t="n"/>
      <c r="H383" s="8" t="n"/>
      <c r="I383" s="20" t="n"/>
      <c r="J383" s="21">
        <f>IF(B383="","",F383+G383)</f>
        <v/>
      </c>
      <c r="K383" s="21">
        <f>IF(B383="","",J383*(Settings!$C$11+Settings!$C$12+Settings!$C$14)+IF(C383="",Settings!$C$13,IF(COUNTIF($C$5:C383,C383)=1,Settings!$C$13,0))+E383*Settings!$C$15+IF(H383="Yes",J383*Settings!$C$16,0))</f>
        <v/>
      </c>
      <c r="L383" s="21">
        <f>IF(B383="","",IF(Settings!$C$5="Yes",0,K383*Settings!$C$17))</f>
        <v/>
      </c>
      <c r="M383" s="21">
        <f>IF(B383="","",E383*IFERROR(VLOOKUP(D383,Products!$B$5:$F$204,5,FALSE),0))</f>
        <v/>
      </c>
      <c r="N383" s="21">
        <f>IF(B383="","",J383-K383-L383-M383-I383)</f>
        <v/>
      </c>
    </row>
    <row r="384">
      <c r="B384" s="11" t="n"/>
      <c r="C384" s="8" t="n"/>
      <c r="D384" s="8" t="n"/>
      <c r="E384" s="8" t="n"/>
      <c r="F384" s="20" t="n"/>
      <c r="G384" s="20" t="n"/>
      <c r="H384" s="8" t="n"/>
      <c r="I384" s="20" t="n"/>
      <c r="J384" s="21">
        <f>IF(B384="","",F384+G384)</f>
        <v/>
      </c>
      <c r="K384" s="21">
        <f>IF(B384="","",J384*(Settings!$C$11+Settings!$C$12+Settings!$C$14)+IF(C384="",Settings!$C$13,IF(COUNTIF($C$5:C384,C384)=1,Settings!$C$13,0))+E384*Settings!$C$15+IF(H384="Yes",J384*Settings!$C$16,0))</f>
        <v/>
      </c>
      <c r="L384" s="21">
        <f>IF(B384="","",IF(Settings!$C$5="Yes",0,K384*Settings!$C$17))</f>
        <v/>
      </c>
      <c r="M384" s="21">
        <f>IF(B384="","",E384*IFERROR(VLOOKUP(D384,Products!$B$5:$F$204,5,FALSE),0))</f>
        <v/>
      </c>
      <c r="N384" s="21">
        <f>IF(B384="","",J384-K384-L384-M384-I384)</f>
        <v/>
      </c>
    </row>
    <row r="385">
      <c r="B385" s="11" t="n"/>
      <c r="C385" s="8" t="n"/>
      <c r="D385" s="8" t="n"/>
      <c r="E385" s="8" t="n"/>
      <c r="F385" s="20" t="n"/>
      <c r="G385" s="20" t="n"/>
      <c r="H385" s="8" t="n"/>
      <c r="I385" s="20" t="n"/>
      <c r="J385" s="21">
        <f>IF(B385="","",F385+G385)</f>
        <v/>
      </c>
      <c r="K385" s="21">
        <f>IF(B385="","",J385*(Settings!$C$11+Settings!$C$12+Settings!$C$14)+IF(C385="",Settings!$C$13,IF(COUNTIF($C$5:C385,C385)=1,Settings!$C$13,0))+E385*Settings!$C$15+IF(H385="Yes",J385*Settings!$C$16,0))</f>
        <v/>
      </c>
      <c r="L385" s="21">
        <f>IF(B385="","",IF(Settings!$C$5="Yes",0,K385*Settings!$C$17))</f>
        <v/>
      </c>
      <c r="M385" s="21">
        <f>IF(B385="","",E385*IFERROR(VLOOKUP(D385,Products!$B$5:$F$204,5,FALSE),0))</f>
        <v/>
      </c>
      <c r="N385" s="21">
        <f>IF(B385="","",J385-K385-L385-M385-I385)</f>
        <v/>
      </c>
    </row>
    <row r="386">
      <c r="B386" s="11" t="n"/>
      <c r="C386" s="8" t="n"/>
      <c r="D386" s="8" t="n"/>
      <c r="E386" s="8" t="n"/>
      <c r="F386" s="20" t="n"/>
      <c r="G386" s="20" t="n"/>
      <c r="H386" s="8" t="n"/>
      <c r="I386" s="20" t="n"/>
      <c r="J386" s="21">
        <f>IF(B386="","",F386+G386)</f>
        <v/>
      </c>
      <c r="K386" s="21">
        <f>IF(B386="","",J386*(Settings!$C$11+Settings!$C$12+Settings!$C$14)+IF(C386="",Settings!$C$13,IF(COUNTIF($C$5:C386,C386)=1,Settings!$C$13,0))+E386*Settings!$C$15+IF(H386="Yes",J386*Settings!$C$16,0))</f>
        <v/>
      </c>
      <c r="L386" s="21">
        <f>IF(B386="","",IF(Settings!$C$5="Yes",0,K386*Settings!$C$17))</f>
        <v/>
      </c>
      <c r="M386" s="21">
        <f>IF(B386="","",E386*IFERROR(VLOOKUP(D386,Products!$B$5:$F$204,5,FALSE),0))</f>
        <v/>
      </c>
      <c r="N386" s="21">
        <f>IF(B386="","",J386-K386-L386-M386-I386)</f>
        <v/>
      </c>
    </row>
    <row r="387">
      <c r="B387" s="11" t="n"/>
      <c r="C387" s="8" t="n"/>
      <c r="D387" s="8" t="n"/>
      <c r="E387" s="8" t="n"/>
      <c r="F387" s="20" t="n"/>
      <c r="G387" s="20" t="n"/>
      <c r="H387" s="8" t="n"/>
      <c r="I387" s="20" t="n"/>
      <c r="J387" s="21">
        <f>IF(B387="","",F387+G387)</f>
        <v/>
      </c>
      <c r="K387" s="21">
        <f>IF(B387="","",J387*(Settings!$C$11+Settings!$C$12+Settings!$C$14)+IF(C387="",Settings!$C$13,IF(COUNTIF($C$5:C387,C387)=1,Settings!$C$13,0))+E387*Settings!$C$15+IF(H387="Yes",J387*Settings!$C$16,0))</f>
        <v/>
      </c>
      <c r="L387" s="21">
        <f>IF(B387="","",IF(Settings!$C$5="Yes",0,K387*Settings!$C$17))</f>
        <v/>
      </c>
      <c r="M387" s="21">
        <f>IF(B387="","",E387*IFERROR(VLOOKUP(D387,Products!$B$5:$F$204,5,FALSE),0))</f>
        <v/>
      </c>
      <c r="N387" s="21">
        <f>IF(B387="","",J387-K387-L387-M387-I387)</f>
        <v/>
      </c>
    </row>
    <row r="388">
      <c r="B388" s="11" t="n"/>
      <c r="C388" s="8" t="n"/>
      <c r="D388" s="8" t="n"/>
      <c r="E388" s="8" t="n"/>
      <c r="F388" s="20" t="n"/>
      <c r="G388" s="20" t="n"/>
      <c r="H388" s="8" t="n"/>
      <c r="I388" s="20" t="n"/>
      <c r="J388" s="21">
        <f>IF(B388="","",F388+G388)</f>
        <v/>
      </c>
      <c r="K388" s="21">
        <f>IF(B388="","",J388*(Settings!$C$11+Settings!$C$12+Settings!$C$14)+IF(C388="",Settings!$C$13,IF(COUNTIF($C$5:C388,C388)=1,Settings!$C$13,0))+E388*Settings!$C$15+IF(H388="Yes",J388*Settings!$C$16,0))</f>
        <v/>
      </c>
      <c r="L388" s="21">
        <f>IF(B388="","",IF(Settings!$C$5="Yes",0,K388*Settings!$C$17))</f>
        <v/>
      </c>
      <c r="M388" s="21">
        <f>IF(B388="","",E388*IFERROR(VLOOKUP(D388,Products!$B$5:$F$204,5,FALSE),0))</f>
        <v/>
      </c>
      <c r="N388" s="21">
        <f>IF(B388="","",J388-K388-L388-M388-I388)</f>
        <v/>
      </c>
    </row>
    <row r="389">
      <c r="B389" s="11" t="n"/>
      <c r="C389" s="8" t="n"/>
      <c r="D389" s="8" t="n"/>
      <c r="E389" s="8" t="n"/>
      <c r="F389" s="20" t="n"/>
      <c r="G389" s="20" t="n"/>
      <c r="H389" s="8" t="n"/>
      <c r="I389" s="20" t="n"/>
      <c r="J389" s="21">
        <f>IF(B389="","",F389+G389)</f>
        <v/>
      </c>
      <c r="K389" s="21">
        <f>IF(B389="","",J389*(Settings!$C$11+Settings!$C$12+Settings!$C$14)+IF(C389="",Settings!$C$13,IF(COUNTIF($C$5:C389,C389)=1,Settings!$C$13,0))+E389*Settings!$C$15+IF(H389="Yes",J389*Settings!$C$16,0))</f>
        <v/>
      </c>
      <c r="L389" s="21">
        <f>IF(B389="","",IF(Settings!$C$5="Yes",0,K389*Settings!$C$17))</f>
        <v/>
      </c>
      <c r="M389" s="21">
        <f>IF(B389="","",E389*IFERROR(VLOOKUP(D389,Products!$B$5:$F$204,5,FALSE),0))</f>
        <v/>
      </c>
      <c r="N389" s="21">
        <f>IF(B389="","",J389-K389-L389-M389-I389)</f>
        <v/>
      </c>
    </row>
    <row r="390">
      <c r="B390" s="11" t="n"/>
      <c r="C390" s="8" t="n"/>
      <c r="D390" s="8" t="n"/>
      <c r="E390" s="8" t="n"/>
      <c r="F390" s="20" t="n"/>
      <c r="G390" s="20" t="n"/>
      <c r="H390" s="8" t="n"/>
      <c r="I390" s="20" t="n"/>
      <c r="J390" s="21">
        <f>IF(B390="","",F390+G390)</f>
        <v/>
      </c>
      <c r="K390" s="21">
        <f>IF(B390="","",J390*(Settings!$C$11+Settings!$C$12+Settings!$C$14)+IF(C390="",Settings!$C$13,IF(COUNTIF($C$5:C390,C390)=1,Settings!$C$13,0))+E390*Settings!$C$15+IF(H390="Yes",J390*Settings!$C$16,0))</f>
        <v/>
      </c>
      <c r="L390" s="21">
        <f>IF(B390="","",IF(Settings!$C$5="Yes",0,K390*Settings!$C$17))</f>
        <v/>
      </c>
      <c r="M390" s="21">
        <f>IF(B390="","",E390*IFERROR(VLOOKUP(D390,Products!$B$5:$F$204,5,FALSE),0))</f>
        <v/>
      </c>
      <c r="N390" s="21">
        <f>IF(B390="","",J390-K390-L390-M390-I390)</f>
        <v/>
      </c>
    </row>
    <row r="391">
      <c r="B391" s="11" t="n"/>
      <c r="C391" s="8" t="n"/>
      <c r="D391" s="8" t="n"/>
      <c r="E391" s="8" t="n"/>
      <c r="F391" s="20" t="n"/>
      <c r="G391" s="20" t="n"/>
      <c r="H391" s="8" t="n"/>
      <c r="I391" s="20" t="n"/>
      <c r="J391" s="21">
        <f>IF(B391="","",F391+G391)</f>
        <v/>
      </c>
      <c r="K391" s="21">
        <f>IF(B391="","",J391*(Settings!$C$11+Settings!$C$12+Settings!$C$14)+IF(C391="",Settings!$C$13,IF(COUNTIF($C$5:C391,C391)=1,Settings!$C$13,0))+E391*Settings!$C$15+IF(H391="Yes",J391*Settings!$C$16,0))</f>
        <v/>
      </c>
      <c r="L391" s="21">
        <f>IF(B391="","",IF(Settings!$C$5="Yes",0,K391*Settings!$C$17))</f>
        <v/>
      </c>
      <c r="M391" s="21">
        <f>IF(B391="","",E391*IFERROR(VLOOKUP(D391,Products!$B$5:$F$204,5,FALSE),0))</f>
        <v/>
      </c>
      <c r="N391" s="21">
        <f>IF(B391="","",J391-K391-L391-M391-I391)</f>
        <v/>
      </c>
    </row>
    <row r="392">
      <c r="B392" s="11" t="n"/>
      <c r="C392" s="8" t="n"/>
      <c r="D392" s="8" t="n"/>
      <c r="E392" s="8" t="n"/>
      <c r="F392" s="20" t="n"/>
      <c r="G392" s="20" t="n"/>
      <c r="H392" s="8" t="n"/>
      <c r="I392" s="20" t="n"/>
      <c r="J392" s="21">
        <f>IF(B392="","",F392+G392)</f>
        <v/>
      </c>
      <c r="K392" s="21">
        <f>IF(B392="","",J392*(Settings!$C$11+Settings!$C$12+Settings!$C$14)+IF(C392="",Settings!$C$13,IF(COUNTIF($C$5:C392,C392)=1,Settings!$C$13,0))+E392*Settings!$C$15+IF(H392="Yes",J392*Settings!$C$16,0))</f>
        <v/>
      </c>
      <c r="L392" s="21">
        <f>IF(B392="","",IF(Settings!$C$5="Yes",0,K392*Settings!$C$17))</f>
        <v/>
      </c>
      <c r="M392" s="21">
        <f>IF(B392="","",E392*IFERROR(VLOOKUP(D392,Products!$B$5:$F$204,5,FALSE),0))</f>
        <v/>
      </c>
      <c r="N392" s="21">
        <f>IF(B392="","",J392-K392-L392-M392-I392)</f>
        <v/>
      </c>
    </row>
    <row r="393">
      <c r="B393" s="11" t="n"/>
      <c r="C393" s="8" t="n"/>
      <c r="D393" s="8" t="n"/>
      <c r="E393" s="8" t="n"/>
      <c r="F393" s="20" t="n"/>
      <c r="G393" s="20" t="n"/>
      <c r="H393" s="8" t="n"/>
      <c r="I393" s="20" t="n"/>
      <c r="J393" s="21">
        <f>IF(B393="","",F393+G393)</f>
        <v/>
      </c>
      <c r="K393" s="21">
        <f>IF(B393="","",J393*(Settings!$C$11+Settings!$C$12+Settings!$C$14)+IF(C393="",Settings!$C$13,IF(COUNTIF($C$5:C393,C393)=1,Settings!$C$13,0))+E393*Settings!$C$15+IF(H393="Yes",J393*Settings!$C$16,0))</f>
        <v/>
      </c>
      <c r="L393" s="21">
        <f>IF(B393="","",IF(Settings!$C$5="Yes",0,K393*Settings!$C$17))</f>
        <v/>
      </c>
      <c r="M393" s="21">
        <f>IF(B393="","",E393*IFERROR(VLOOKUP(D393,Products!$B$5:$F$204,5,FALSE),0))</f>
        <v/>
      </c>
      <c r="N393" s="21">
        <f>IF(B393="","",J393-K393-L393-M393-I393)</f>
        <v/>
      </c>
    </row>
    <row r="394">
      <c r="B394" s="11" t="n"/>
      <c r="C394" s="8" t="n"/>
      <c r="D394" s="8" t="n"/>
      <c r="E394" s="8" t="n"/>
      <c r="F394" s="20" t="n"/>
      <c r="G394" s="20" t="n"/>
      <c r="H394" s="8" t="n"/>
      <c r="I394" s="20" t="n"/>
      <c r="J394" s="21">
        <f>IF(B394="","",F394+G394)</f>
        <v/>
      </c>
      <c r="K394" s="21">
        <f>IF(B394="","",J394*(Settings!$C$11+Settings!$C$12+Settings!$C$14)+IF(C394="",Settings!$C$13,IF(COUNTIF($C$5:C394,C394)=1,Settings!$C$13,0))+E394*Settings!$C$15+IF(H394="Yes",J394*Settings!$C$16,0))</f>
        <v/>
      </c>
      <c r="L394" s="21">
        <f>IF(B394="","",IF(Settings!$C$5="Yes",0,K394*Settings!$C$17))</f>
        <v/>
      </c>
      <c r="M394" s="21">
        <f>IF(B394="","",E394*IFERROR(VLOOKUP(D394,Products!$B$5:$F$204,5,FALSE),0))</f>
        <v/>
      </c>
      <c r="N394" s="21">
        <f>IF(B394="","",J394-K394-L394-M394-I394)</f>
        <v/>
      </c>
    </row>
    <row r="395">
      <c r="B395" s="11" t="n"/>
      <c r="C395" s="8" t="n"/>
      <c r="D395" s="8" t="n"/>
      <c r="E395" s="8" t="n"/>
      <c r="F395" s="20" t="n"/>
      <c r="G395" s="20" t="n"/>
      <c r="H395" s="8" t="n"/>
      <c r="I395" s="20" t="n"/>
      <c r="J395" s="21">
        <f>IF(B395="","",F395+G395)</f>
        <v/>
      </c>
      <c r="K395" s="21">
        <f>IF(B395="","",J395*(Settings!$C$11+Settings!$C$12+Settings!$C$14)+IF(C395="",Settings!$C$13,IF(COUNTIF($C$5:C395,C395)=1,Settings!$C$13,0))+E395*Settings!$C$15+IF(H395="Yes",J395*Settings!$C$16,0))</f>
        <v/>
      </c>
      <c r="L395" s="21">
        <f>IF(B395="","",IF(Settings!$C$5="Yes",0,K395*Settings!$C$17))</f>
        <v/>
      </c>
      <c r="M395" s="21">
        <f>IF(B395="","",E395*IFERROR(VLOOKUP(D395,Products!$B$5:$F$204,5,FALSE),0))</f>
        <v/>
      </c>
      <c r="N395" s="21">
        <f>IF(B395="","",J395-K395-L395-M395-I395)</f>
        <v/>
      </c>
    </row>
    <row r="396">
      <c r="B396" s="11" t="n"/>
      <c r="C396" s="8" t="n"/>
      <c r="D396" s="8" t="n"/>
      <c r="E396" s="8" t="n"/>
      <c r="F396" s="20" t="n"/>
      <c r="G396" s="20" t="n"/>
      <c r="H396" s="8" t="n"/>
      <c r="I396" s="20" t="n"/>
      <c r="J396" s="21">
        <f>IF(B396="","",F396+G396)</f>
        <v/>
      </c>
      <c r="K396" s="21">
        <f>IF(B396="","",J396*(Settings!$C$11+Settings!$C$12+Settings!$C$14)+IF(C396="",Settings!$C$13,IF(COUNTIF($C$5:C396,C396)=1,Settings!$C$13,0))+E396*Settings!$C$15+IF(H396="Yes",J396*Settings!$C$16,0))</f>
        <v/>
      </c>
      <c r="L396" s="21">
        <f>IF(B396="","",IF(Settings!$C$5="Yes",0,K396*Settings!$C$17))</f>
        <v/>
      </c>
      <c r="M396" s="21">
        <f>IF(B396="","",E396*IFERROR(VLOOKUP(D396,Products!$B$5:$F$204,5,FALSE),0))</f>
        <v/>
      </c>
      <c r="N396" s="21">
        <f>IF(B396="","",J396-K396-L396-M396-I396)</f>
        <v/>
      </c>
    </row>
    <row r="397">
      <c r="B397" s="11" t="n"/>
      <c r="C397" s="8" t="n"/>
      <c r="D397" s="8" t="n"/>
      <c r="E397" s="8" t="n"/>
      <c r="F397" s="20" t="n"/>
      <c r="G397" s="20" t="n"/>
      <c r="H397" s="8" t="n"/>
      <c r="I397" s="20" t="n"/>
      <c r="J397" s="21">
        <f>IF(B397="","",F397+G397)</f>
        <v/>
      </c>
      <c r="K397" s="21">
        <f>IF(B397="","",J397*(Settings!$C$11+Settings!$C$12+Settings!$C$14)+IF(C397="",Settings!$C$13,IF(COUNTIF($C$5:C397,C397)=1,Settings!$C$13,0))+E397*Settings!$C$15+IF(H397="Yes",J397*Settings!$C$16,0))</f>
        <v/>
      </c>
      <c r="L397" s="21">
        <f>IF(B397="","",IF(Settings!$C$5="Yes",0,K397*Settings!$C$17))</f>
        <v/>
      </c>
      <c r="M397" s="21">
        <f>IF(B397="","",E397*IFERROR(VLOOKUP(D397,Products!$B$5:$F$204,5,FALSE),0))</f>
        <v/>
      </c>
      <c r="N397" s="21">
        <f>IF(B397="","",J397-K397-L397-M397-I397)</f>
        <v/>
      </c>
    </row>
    <row r="398">
      <c r="B398" s="11" t="n"/>
      <c r="C398" s="8" t="n"/>
      <c r="D398" s="8" t="n"/>
      <c r="E398" s="8" t="n"/>
      <c r="F398" s="20" t="n"/>
      <c r="G398" s="20" t="n"/>
      <c r="H398" s="8" t="n"/>
      <c r="I398" s="20" t="n"/>
      <c r="J398" s="21">
        <f>IF(B398="","",F398+G398)</f>
        <v/>
      </c>
      <c r="K398" s="21">
        <f>IF(B398="","",J398*(Settings!$C$11+Settings!$C$12+Settings!$C$14)+IF(C398="",Settings!$C$13,IF(COUNTIF($C$5:C398,C398)=1,Settings!$C$13,0))+E398*Settings!$C$15+IF(H398="Yes",J398*Settings!$C$16,0))</f>
        <v/>
      </c>
      <c r="L398" s="21">
        <f>IF(B398="","",IF(Settings!$C$5="Yes",0,K398*Settings!$C$17))</f>
        <v/>
      </c>
      <c r="M398" s="21">
        <f>IF(B398="","",E398*IFERROR(VLOOKUP(D398,Products!$B$5:$F$204,5,FALSE),0))</f>
        <v/>
      </c>
      <c r="N398" s="21">
        <f>IF(B398="","",J398-K398-L398-M398-I398)</f>
        <v/>
      </c>
    </row>
    <row r="399">
      <c r="B399" s="11" t="n"/>
      <c r="C399" s="8" t="n"/>
      <c r="D399" s="8" t="n"/>
      <c r="E399" s="8" t="n"/>
      <c r="F399" s="20" t="n"/>
      <c r="G399" s="20" t="n"/>
      <c r="H399" s="8" t="n"/>
      <c r="I399" s="20" t="n"/>
      <c r="J399" s="21">
        <f>IF(B399="","",F399+G399)</f>
        <v/>
      </c>
      <c r="K399" s="21">
        <f>IF(B399="","",J399*(Settings!$C$11+Settings!$C$12+Settings!$C$14)+IF(C399="",Settings!$C$13,IF(COUNTIF($C$5:C399,C399)=1,Settings!$C$13,0))+E399*Settings!$C$15+IF(H399="Yes",J399*Settings!$C$16,0))</f>
        <v/>
      </c>
      <c r="L399" s="21">
        <f>IF(B399="","",IF(Settings!$C$5="Yes",0,K399*Settings!$C$17))</f>
        <v/>
      </c>
      <c r="M399" s="21">
        <f>IF(B399="","",E399*IFERROR(VLOOKUP(D399,Products!$B$5:$F$204,5,FALSE),0))</f>
        <v/>
      </c>
      <c r="N399" s="21">
        <f>IF(B399="","",J399-K399-L399-M399-I399)</f>
        <v/>
      </c>
    </row>
    <row r="400">
      <c r="B400" s="11" t="n"/>
      <c r="C400" s="8" t="n"/>
      <c r="D400" s="8" t="n"/>
      <c r="E400" s="8" t="n"/>
      <c r="F400" s="20" t="n"/>
      <c r="G400" s="20" t="n"/>
      <c r="H400" s="8" t="n"/>
      <c r="I400" s="20" t="n"/>
      <c r="J400" s="21">
        <f>IF(B400="","",F400+G400)</f>
        <v/>
      </c>
      <c r="K400" s="21">
        <f>IF(B400="","",J400*(Settings!$C$11+Settings!$C$12+Settings!$C$14)+IF(C400="",Settings!$C$13,IF(COUNTIF($C$5:C400,C400)=1,Settings!$C$13,0))+E400*Settings!$C$15+IF(H400="Yes",J400*Settings!$C$16,0))</f>
        <v/>
      </c>
      <c r="L400" s="21">
        <f>IF(B400="","",IF(Settings!$C$5="Yes",0,K400*Settings!$C$17))</f>
        <v/>
      </c>
      <c r="M400" s="21">
        <f>IF(B400="","",E400*IFERROR(VLOOKUP(D400,Products!$B$5:$F$204,5,FALSE),0))</f>
        <v/>
      </c>
      <c r="N400" s="21">
        <f>IF(B400="","",J400-K400-L400-M400-I400)</f>
        <v/>
      </c>
    </row>
    <row r="401">
      <c r="B401" s="11" t="n"/>
      <c r="C401" s="8" t="n"/>
      <c r="D401" s="8" t="n"/>
      <c r="E401" s="8" t="n"/>
      <c r="F401" s="20" t="n"/>
      <c r="G401" s="20" t="n"/>
      <c r="H401" s="8" t="n"/>
      <c r="I401" s="20" t="n"/>
      <c r="J401" s="21">
        <f>IF(B401="","",F401+G401)</f>
        <v/>
      </c>
      <c r="K401" s="21">
        <f>IF(B401="","",J401*(Settings!$C$11+Settings!$C$12+Settings!$C$14)+IF(C401="",Settings!$C$13,IF(COUNTIF($C$5:C401,C401)=1,Settings!$C$13,0))+E401*Settings!$C$15+IF(H401="Yes",J401*Settings!$C$16,0))</f>
        <v/>
      </c>
      <c r="L401" s="21">
        <f>IF(B401="","",IF(Settings!$C$5="Yes",0,K401*Settings!$C$17))</f>
        <v/>
      </c>
      <c r="M401" s="21">
        <f>IF(B401="","",E401*IFERROR(VLOOKUP(D401,Products!$B$5:$F$204,5,FALSE),0))</f>
        <v/>
      </c>
      <c r="N401" s="21">
        <f>IF(B401="","",J401-K401-L401-M401-I401)</f>
        <v/>
      </c>
    </row>
    <row r="402">
      <c r="B402" s="11" t="n"/>
      <c r="C402" s="8" t="n"/>
      <c r="D402" s="8" t="n"/>
      <c r="E402" s="8" t="n"/>
      <c r="F402" s="20" t="n"/>
      <c r="G402" s="20" t="n"/>
      <c r="H402" s="8" t="n"/>
      <c r="I402" s="20" t="n"/>
      <c r="J402" s="21">
        <f>IF(B402="","",F402+G402)</f>
        <v/>
      </c>
      <c r="K402" s="21">
        <f>IF(B402="","",J402*(Settings!$C$11+Settings!$C$12+Settings!$C$14)+IF(C402="",Settings!$C$13,IF(COUNTIF($C$5:C402,C402)=1,Settings!$C$13,0))+E402*Settings!$C$15+IF(H402="Yes",J402*Settings!$C$16,0))</f>
        <v/>
      </c>
      <c r="L402" s="21">
        <f>IF(B402="","",IF(Settings!$C$5="Yes",0,K402*Settings!$C$17))</f>
        <v/>
      </c>
      <c r="M402" s="21">
        <f>IF(B402="","",E402*IFERROR(VLOOKUP(D402,Products!$B$5:$F$204,5,FALSE),0))</f>
        <v/>
      </c>
      <c r="N402" s="21">
        <f>IF(B402="","",J402-K402-L402-M402-I402)</f>
        <v/>
      </c>
    </row>
    <row r="403">
      <c r="B403" s="11" t="n"/>
      <c r="C403" s="8" t="n"/>
      <c r="D403" s="8" t="n"/>
      <c r="E403" s="8" t="n"/>
      <c r="F403" s="20" t="n"/>
      <c r="G403" s="20" t="n"/>
      <c r="H403" s="8" t="n"/>
      <c r="I403" s="20" t="n"/>
      <c r="J403" s="21">
        <f>IF(B403="","",F403+G403)</f>
        <v/>
      </c>
      <c r="K403" s="21">
        <f>IF(B403="","",J403*(Settings!$C$11+Settings!$C$12+Settings!$C$14)+IF(C403="",Settings!$C$13,IF(COUNTIF($C$5:C403,C403)=1,Settings!$C$13,0))+E403*Settings!$C$15+IF(H403="Yes",J403*Settings!$C$16,0))</f>
        <v/>
      </c>
      <c r="L403" s="21">
        <f>IF(B403="","",IF(Settings!$C$5="Yes",0,K403*Settings!$C$17))</f>
        <v/>
      </c>
      <c r="M403" s="21">
        <f>IF(B403="","",E403*IFERROR(VLOOKUP(D403,Products!$B$5:$F$204,5,FALSE),0))</f>
        <v/>
      </c>
      <c r="N403" s="21">
        <f>IF(B403="","",J403-K403-L403-M403-I403)</f>
        <v/>
      </c>
    </row>
    <row r="404">
      <c r="B404" s="11" t="n"/>
      <c r="C404" s="8" t="n"/>
      <c r="D404" s="8" t="n"/>
      <c r="E404" s="8" t="n"/>
      <c r="F404" s="20" t="n"/>
      <c r="G404" s="20" t="n"/>
      <c r="H404" s="8" t="n"/>
      <c r="I404" s="20" t="n"/>
      <c r="J404" s="21">
        <f>IF(B404="","",F404+G404)</f>
        <v/>
      </c>
      <c r="K404" s="21">
        <f>IF(B404="","",J404*(Settings!$C$11+Settings!$C$12+Settings!$C$14)+IF(C404="",Settings!$C$13,IF(COUNTIF($C$5:C404,C404)=1,Settings!$C$13,0))+E404*Settings!$C$15+IF(H404="Yes",J404*Settings!$C$16,0))</f>
        <v/>
      </c>
      <c r="L404" s="21">
        <f>IF(B404="","",IF(Settings!$C$5="Yes",0,K404*Settings!$C$17))</f>
        <v/>
      </c>
      <c r="M404" s="21">
        <f>IF(B404="","",E404*IFERROR(VLOOKUP(D404,Products!$B$5:$F$204,5,FALSE),0))</f>
        <v/>
      </c>
      <c r="N404" s="21">
        <f>IF(B404="","",J404-K404-L404-M404-I404)</f>
        <v/>
      </c>
    </row>
    <row r="405">
      <c r="B405" s="11" t="n"/>
      <c r="C405" s="8" t="n"/>
      <c r="D405" s="8" t="n"/>
      <c r="E405" s="8" t="n"/>
      <c r="F405" s="20" t="n"/>
      <c r="G405" s="20" t="n"/>
      <c r="H405" s="8" t="n"/>
      <c r="I405" s="20" t="n"/>
      <c r="J405" s="21">
        <f>IF(B405="","",F405+G405)</f>
        <v/>
      </c>
      <c r="K405" s="21">
        <f>IF(B405="","",J405*(Settings!$C$11+Settings!$C$12+Settings!$C$14)+IF(C405="",Settings!$C$13,IF(COUNTIF($C$5:C405,C405)=1,Settings!$C$13,0))+E405*Settings!$C$15+IF(H405="Yes",J405*Settings!$C$16,0))</f>
        <v/>
      </c>
      <c r="L405" s="21">
        <f>IF(B405="","",IF(Settings!$C$5="Yes",0,K405*Settings!$C$17))</f>
        <v/>
      </c>
      <c r="M405" s="21">
        <f>IF(B405="","",E405*IFERROR(VLOOKUP(D405,Products!$B$5:$F$204,5,FALSE),0))</f>
        <v/>
      </c>
      <c r="N405" s="21">
        <f>IF(B405="","",J405-K405-L405-M405-I405)</f>
        <v/>
      </c>
    </row>
    <row r="406">
      <c r="B406" s="11" t="n"/>
      <c r="C406" s="8" t="n"/>
      <c r="D406" s="8" t="n"/>
      <c r="E406" s="8" t="n"/>
      <c r="F406" s="20" t="n"/>
      <c r="G406" s="20" t="n"/>
      <c r="H406" s="8" t="n"/>
      <c r="I406" s="20" t="n"/>
      <c r="J406" s="21">
        <f>IF(B406="","",F406+G406)</f>
        <v/>
      </c>
      <c r="K406" s="21">
        <f>IF(B406="","",J406*(Settings!$C$11+Settings!$C$12+Settings!$C$14)+IF(C406="",Settings!$C$13,IF(COUNTIF($C$5:C406,C406)=1,Settings!$C$13,0))+E406*Settings!$C$15+IF(H406="Yes",J406*Settings!$C$16,0))</f>
        <v/>
      </c>
      <c r="L406" s="21">
        <f>IF(B406="","",IF(Settings!$C$5="Yes",0,K406*Settings!$C$17))</f>
        <v/>
      </c>
      <c r="M406" s="21">
        <f>IF(B406="","",E406*IFERROR(VLOOKUP(D406,Products!$B$5:$F$204,5,FALSE),0))</f>
        <v/>
      </c>
      <c r="N406" s="21">
        <f>IF(B406="","",J406-K406-L406-M406-I406)</f>
        <v/>
      </c>
    </row>
    <row r="407">
      <c r="B407" s="11" t="n"/>
      <c r="C407" s="8" t="n"/>
      <c r="D407" s="8" t="n"/>
      <c r="E407" s="8" t="n"/>
      <c r="F407" s="20" t="n"/>
      <c r="G407" s="20" t="n"/>
      <c r="H407" s="8" t="n"/>
      <c r="I407" s="20" t="n"/>
      <c r="J407" s="21">
        <f>IF(B407="","",F407+G407)</f>
        <v/>
      </c>
      <c r="K407" s="21">
        <f>IF(B407="","",J407*(Settings!$C$11+Settings!$C$12+Settings!$C$14)+IF(C407="",Settings!$C$13,IF(COUNTIF($C$5:C407,C407)=1,Settings!$C$13,0))+E407*Settings!$C$15+IF(H407="Yes",J407*Settings!$C$16,0))</f>
        <v/>
      </c>
      <c r="L407" s="21">
        <f>IF(B407="","",IF(Settings!$C$5="Yes",0,K407*Settings!$C$17))</f>
        <v/>
      </c>
      <c r="M407" s="21">
        <f>IF(B407="","",E407*IFERROR(VLOOKUP(D407,Products!$B$5:$F$204,5,FALSE),0))</f>
        <v/>
      </c>
      <c r="N407" s="21">
        <f>IF(B407="","",J407-K407-L407-M407-I407)</f>
        <v/>
      </c>
    </row>
    <row r="408">
      <c r="B408" s="11" t="n"/>
      <c r="C408" s="8" t="n"/>
      <c r="D408" s="8" t="n"/>
      <c r="E408" s="8" t="n"/>
      <c r="F408" s="20" t="n"/>
      <c r="G408" s="20" t="n"/>
      <c r="H408" s="8" t="n"/>
      <c r="I408" s="20" t="n"/>
      <c r="J408" s="21">
        <f>IF(B408="","",F408+G408)</f>
        <v/>
      </c>
      <c r="K408" s="21">
        <f>IF(B408="","",J408*(Settings!$C$11+Settings!$C$12+Settings!$C$14)+IF(C408="",Settings!$C$13,IF(COUNTIF($C$5:C408,C408)=1,Settings!$C$13,0))+E408*Settings!$C$15+IF(H408="Yes",J408*Settings!$C$16,0))</f>
        <v/>
      </c>
      <c r="L408" s="21">
        <f>IF(B408="","",IF(Settings!$C$5="Yes",0,K408*Settings!$C$17))</f>
        <v/>
      </c>
      <c r="M408" s="21">
        <f>IF(B408="","",E408*IFERROR(VLOOKUP(D408,Products!$B$5:$F$204,5,FALSE),0))</f>
        <v/>
      </c>
      <c r="N408" s="21">
        <f>IF(B408="","",J408-K408-L408-M408-I408)</f>
        <v/>
      </c>
    </row>
    <row r="409">
      <c r="B409" s="11" t="n"/>
      <c r="C409" s="8" t="n"/>
      <c r="D409" s="8" t="n"/>
      <c r="E409" s="8" t="n"/>
      <c r="F409" s="20" t="n"/>
      <c r="G409" s="20" t="n"/>
      <c r="H409" s="8" t="n"/>
      <c r="I409" s="20" t="n"/>
      <c r="J409" s="21">
        <f>IF(B409="","",F409+G409)</f>
        <v/>
      </c>
      <c r="K409" s="21">
        <f>IF(B409="","",J409*(Settings!$C$11+Settings!$C$12+Settings!$C$14)+IF(C409="",Settings!$C$13,IF(COUNTIF($C$5:C409,C409)=1,Settings!$C$13,0))+E409*Settings!$C$15+IF(H409="Yes",J409*Settings!$C$16,0))</f>
        <v/>
      </c>
      <c r="L409" s="21">
        <f>IF(B409="","",IF(Settings!$C$5="Yes",0,K409*Settings!$C$17))</f>
        <v/>
      </c>
      <c r="M409" s="21">
        <f>IF(B409="","",E409*IFERROR(VLOOKUP(D409,Products!$B$5:$F$204,5,FALSE),0))</f>
        <v/>
      </c>
      <c r="N409" s="21">
        <f>IF(B409="","",J409-K409-L409-M409-I409)</f>
        <v/>
      </c>
    </row>
    <row r="410">
      <c r="B410" s="11" t="n"/>
      <c r="C410" s="8" t="n"/>
      <c r="D410" s="8" t="n"/>
      <c r="E410" s="8" t="n"/>
      <c r="F410" s="20" t="n"/>
      <c r="G410" s="20" t="n"/>
      <c r="H410" s="8" t="n"/>
      <c r="I410" s="20" t="n"/>
      <c r="J410" s="21">
        <f>IF(B410="","",F410+G410)</f>
        <v/>
      </c>
      <c r="K410" s="21">
        <f>IF(B410="","",J410*(Settings!$C$11+Settings!$C$12+Settings!$C$14)+IF(C410="",Settings!$C$13,IF(COUNTIF($C$5:C410,C410)=1,Settings!$C$13,0))+E410*Settings!$C$15+IF(H410="Yes",J410*Settings!$C$16,0))</f>
        <v/>
      </c>
      <c r="L410" s="21">
        <f>IF(B410="","",IF(Settings!$C$5="Yes",0,K410*Settings!$C$17))</f>
        <v/>
      </c>
      <c r="M410" s="21">
        <f>IF(B410="","",E410*IFERROR(VLOOKUP(D410,Products!$B$5:$F$204,5,FALSE),0))</f>
        <v/>
      </c>
      <c r="N410" s="21">
        <f>IF(B410="","",J410-K410-L410-M410-I410)</f>
        <v/>
      </c>
    </row>
    <row r="411">
      <c r="B411" s="11" t="n"/>
      <c r="C411" s="8" t="n"/>
      <c r="D411" s="8" t="n"/>
      <c r="E411" s="8" t="n"/>
      <c r="F411" s="20" t="n"/>
      <c r="G411" s="20" t="n"/>
      <c r="H411" s="8" t="n"/>
      <c r="I411" s="20" t="n"/>
      <c r="J411" s="21">
        <f>IF(B411="","",F411+G411)</f>
        <v/>
      </c>
      <c r="K411" s="21">
        <f>IF(B411="","",J411*(Settings!$C$11+Settings!$C$12+Settings!$C$14)+IF(C411="",Settings!$C$13,IF(COUNTIF($C$5:C411,C411)=1,Settings!$C$13,0))+E411*Settings!$C$15+IF(H411="Yes",J411*Settings!$C$16,0))</f>
        <v/>
      </c>
      <c r="L411" s="21">
        <f>IF(B411="","",IF(Settings!$C$5="Yes",0,K411*Settings!$C$17))</f>
        <v/>
      </c>
      <c r="M411" s="21">
        <f>IF(B411="","",E411*IFERROR(VLOOKUP(D411,Products!$B$5:$F$204,5,FALSE),0))</f>
        <v/>
      </c>
      <c r="N411" s="21">
        <f>IF(B411="","",J411-K411-L411-M411-I411)</f>
        <v/>
      </c>
    </row>
    <row r="412">
      <c r="B412" s="11" t="n"/>
      <c r="C412" s="8" t="n"/>
      <c r="D412" s="8" t="n"/>
      <c r="E412" s="8" t="n"/>
      <c r="F412" s="20" t="n"/>
      <c r="G412" s="20" t="n"/>
      <c r="H412" s="8" t="n"/>
      <c r="I412" s="20" t="n"/>
      <c r="J412" s="21">
        <f>IF(B412="","",F412+G412)</f>
        <v/>
      </c>
      <c r="K412" s="21">
        <f>IF(B412="","",J412*(Settings!$C$11+Settings!$C$12+Settings!$C$14)+IF(C412="",Settings!$C$13,IF(COUNTIF($C$5:C412,C412)=1,Settings!$C$13,0))+E412*Settings!$C$15+IF(H412="Yes",J412*Settings!$C$16,0))</f>
        <v/>
      </c>
      <c r="L412" s="21">
        <f>IF(B412="","",IF(Settings!$C$5="Yes",0,K412*Settings!$C$17))</f>
        <v/>
      </c>
      <c r="M412" s="21">
        <f>IF(B412="","",E412*IFERROR(VLOOKUP(D412,Products!$B$5:$F$204,5,FALSE),0))</f>
        <v/>
      </c>
      <c r="N412" s="21">
        <f>IF(B412="","",J412-K412-L412-M412-I412)</f>
        <v/>
      </c>
    </row>
    <row r="413">
      <c r="B413" s="11" t="n"/>
      <c r="C413" s="8" t="n"/>
      <c r="D413" s="8" t="n"/>
      <c r="E413" s="8" t="n"/>
      <c r="F413" s="20" t="n"/>
      <c r="G413" s="20" t="n"/>
      <c r="H413" s="8" t="n"/>
      <c r="I413" s="20" t="n"/>
      <c r="J413" s="21">
        <f>IF(B413="","",F413+G413)</f>
        <v/>
      </c>
      <c r="K413" s="21">
        <f>IF(B413="","",J413*(Settings!$C$11+Settings!$C$12+Settings!$C$14)+IF(C413="",Settings!$C$13,IF(COUNTIF($C$5:C413,C413)=1,Settings!$C$13,0))+E413*Settings!$C$15+IF(H413="Yes",J413*Settings!$C$16,0))</f>
        <v/>
      </c>
      <c r="L413" s="21">
        <f>IF(B413="","",IF(Settings!$C$5="Yes",0,K413*Settings!$C$17))</f>
        <v/>
      </c>
      <c r="M413" s="21">
        <f>IF(B413="","",E413*IFERROR(VLOOKUP(D413,Products!$B$5:$F$204,5,FALSE),0))</f>
        <v/>
      </c>
      <c r="N413" s="21">
        <f>IF(B413="","",J413-K413-L413-M413-I413)</f>
        <v/>
      </c>
    </row>
    <row r="414">
      <c r="B414" s="11" t="n"/>
      <c r="C414" s="8" t="n"/>
      <c r="D414" s="8" t="n"/>
      <c r="E414" s="8" t="n"/>
      <c r="F414" s="20" t="n"/>
      <c r="G414" s="20" t="n"/>
      <c r="H414" s="8" t="n"/>
      <c r="I414" s="20" t="n"/>
      <c r="J414" s="21">
        <f>IF(B414="","",F414+G414)</f>
        <v/>
      </c>
      <c r="K414" s="21">
        <f>IF(B414="","",J414*(Settings!$C$11+Settings!$C$12+Settings!$C$14)+IF(C414="",Settings!$C$13,IF(COUNTIF($C$5:C414,C414)=1,Settings!$C$13,0))+E414*Settings!$C$15+IF(H414="Yes",J414*Settings!$C$16,0))</f>
        <v/>
      </c>
      <c r="L414" s="21">
        <f>IF(B414="","",IF(Settings!$C$5="Yes",0,K414*Settings!$C$17))</f>
        <v/>
      </c>
      <c r="M414" s="21">
        <f>IF(B414="","",E414*IFERROR(VLOOKUP(D414,Products!$B$5:$F$204,5,FALSE),0))</f>
        <v/>
      </c>
      <c r="N414" s="21">
        <f>IF(B414="","",J414-K414-L414-M414-I414)</f>
        <v/>
      </c>
    </row>
    <row r="415">
      <c r="B415" s="11" t="n"/>
      <c r="C415" s="8" t="n"/>
      <c r="D415" s="8" t="n"/>
      <c r="E415" s="8" t="n"/>
      <c r="F415" s="20" t="n"/>
      <c r="G415" s="20" t="n"/>
      <c r="H415" s="8" t="n"/>
      <c r="I415" s="20" t="n"/>
      <c r="J415" s="21">
        <f>IF(B415="","",F415+G415)</f>
        <v/>
      </c>
      <c r="K415" s="21">
        <f>IF(B415="","",J415*(Settings!$C$11+Settings!$C$12+Settings!$C$14)+IF(C415="",Settings!$C$13,IF(COUNTIF($C$5:C415,C415)=1,Settings!$C$13,0))+E415*Settings!$C$15+IF(H415="Yes",J415*Settings!$C$16,0))</f>
        <v/>
      </c>
      <c r="L415" s="21">
        <f>IF(B415="","",IF(Settings!$C$5="Yes",0,K415*Settings!$C$17))</f>
        <v/>
      </c>
      <c r="M415" s="21">
        <f>IF(B415="","",E415*IFERROR(VLOOKUP(D415,Products!$B$5:$F$204,5,FALSE),0))</f>
        <v/>
      </c>
      <c r="N415" s="21">
        <f>IF(B415="","",J415-K415-L415-M415-I415)</f>
        <v/>
      </c>
    </row>
    <row r="416">
      <c r="B416" s="11" t="n"/>
      <c r="C416" s="8" t="n"/>
      <c r="D416" s="8" t="n"/>
      <c r="E416" s="8" t="n"/>
      <c r="F416" s="20" t="n"/>
      <c r="G416" s="20" t="n"/>
      <c r="H416" s="8" t="n"/>
      <c r="I416" s="20" t="n"/>
      <c r="J416" s="21">
        <f>IF(B416="","",F416+G416)</f>
        <v/>
      </c>
      <c r="K416" s="21">
        <f>IF(B416="","",J416*(Settings!$C$11+Settings!$C$12+Settings!$C$14)+IF(C416="",Settings!$C$13,IF(COUNTIF($C$5:C416,C416)=1,Settings!$C$13,0))+E416*Settings!$C$15+IF(H416="Yes",J416*Settings!$C$16,0))</f>
        <v/>
      </c>
      <c r="L416" s="21">
        <f>IF(B416="","",IF(Settings!$C$5="Yes",0,K416*Settings!$C$17))</f>
        <v/>
      </c>
      <c r="M416" s="21">
        <f>IF(B416="","",E416*IFERROR(VLOOKUP(D416,Products!$B$5:$F$204,5,FALSE),0))</f>
        <v/>
      </c>
      <c r="N416" s="21">
        <f>IF(B416="","",J416-K416-L416-M416-I416)</f>
        <v/>
      </c>
    </row>
    <row r="417">
      <c r="B417" s="11" t="n"/>
      <c r="C417" s="8" t="n"/>
      <c r="D417" s="8" t="n"/>
      <c r="E417" s="8" t="n"/>
      <c r="F417" s="20" t="n"/>
      <c r="G417" s="20" t="n"/>
      <c r="H417" s="8" t="n"/>
      <c r="I417" s="20" t="n"/>
      <c r="J417" s="21">
        <f>IF(B417="","",F417+G417)</f>
        <v/>
      </c>
      <c r="K417" s="21">
        <f>IF(B417="","",J417*(Settings!$C$11+Settings!$C$12+Settings!$C$14)+IF(C417="",Settings!$C$13,IF(COUNTIF($C$5:C417,C417)=1,Settings!$C$13,0))+E417*Settings!$C$15+IF(H417="Yes",J417*Settings!$C$16,0))</f>
        <v/>
      </c>
      <c r="L417" s="21">
        <f>IF(B417="","",IF(Settings!$C$5="Yes",0,K417*Settings!$C$17))</f>
        <v/>
      </c>
      <c r="M417" s="21">
        <f>IF(B417="","",E417*IFERROR(VLOOKUP(D417,Products!$B$5:$F$204,5,FALSE),0))</f>
        <v/>
      </c>
      <c r="N417" s="21">
        <f>IF(B417="","",J417-K417-L417-M417-I417)</f>
        <v/>
      </c>
    </row>
    <row r="418">
      <c r="B418" s="11" t="n"/>
      <c r="C418" s="8" t="n"/>
      <c r="D418" s="8" t="n"/>
      <c r="E418" s="8" t="n"/>
      <c r="F418" s="20" t="n"/>
      <c r="G418" s="20" t="n"/>
      <c r="H418" s="8" t="n"/>
      <c r="I418" s="20" t="n"/>
      <c r="J418" s="21">
        <f>IF(B418="","",F418+G418)</f>
        <v/>
      </c>
      <c r="K418" s="21">
        <f>IF(B418="","",J418*(Settings!$C$11+Settings!$C$12+Settings!$C$14)+IF(C418="",Settings!$C$13,IF(COUNTIF($C$5:C418,C418)=1,Settings!$C$13,0))+E418*Settings!$C$15+IF(H418="Yes",J418*Settings!$C$16,0))</f>
        <v/>
      </c>
      <c r="L418" s="21">
        <f>IF(B418="","",IF(Settings!$C$5="Yes",0,K418*Settings!$C$17))</f>
        <v/>
      </c>
      <c r="M418" s="21">
        <f>IF(B418="","",E418*IFERROR(VLOOKUP(D418,Products!$B$5:$F$204,5,FALSE),0))</f>
        <v/>
      </c>
      <c r="N418" s="21">
        <f>IF(B418="","",J418-K418-L418-M418-I418)</f>
        <v/>
      </c>
    </row>
    <row r="419">
      <c r="B419" s="11" t="n"/>
      <c r="C419" s="8" t="n"/>
      <c r="D419" s="8" t="n"/>
      <c r="E419" s="8" t="n"/>
      <c r="F419" s="20" t="n"/>
      <c r="G419" s="20" t="n"/>
      <c r="H419" s="8" t="n"/>
      <c r="I419" s="20" t="n"/>
      <c r="J419" s="21">
        <f>IF(B419="","",F419+G419)</f>
        <v/>
      </c>
      <c r="K419" s="21">
        <f>IF(B419="","",J419*(Settings!$C$11+Settings!$C$12+Settings!$C$14)+IF(C419="",Settings!$C$13,IF(COUNTIF($C$5:C419,C419)=1,Settings!$C$13,0))+E419*Settings!$C$15+IF(H419="Yes",J419*Settings!$C$16,0))</f>
        <v/>
      </c>
      <c r="L419" s="21">
        <f>IF(B419="","",IF(Settings!$C$5="Yes",0,K419*Settings!$C$17))</f>
        <v/>
      </c>
      <c r="M419" s="21">
        <f>IF(B419="","",E419*IFERROR(VLOOKUP(D419,Products!$B$5:$F$204,5,FALSE),0))</f>
        <v/>
      </c>
      <c r="N419" s="21">
        <f>IF(B419="","",J419-K419-L419-M419-I419)</f>
        <v/>
      </c>
    </row>
    <row r="420">
      <c r="B420" s="11" t="n"/>
      <c r="C420" s="8" t="n"/>
      <c r="D420" s="8" t="n"/>
      <c r="E420" s="8" t="n"/>
      <c r="F420" s="20" t="n"/>
      <c r="G420" s="20" t="n"/>
      <c r="H420" s="8" t="n"/>
      <c r="I420" s="20" t="n"/>
      <c r="J420" s="21">
        <f>IF(B420="","",F420+G420)</f>
        <v/>
      </c>
      <c r="K420" s="21">
        <f>IF(B420="","",J420*(Settings!$C$11+Settings!$C$12+Settings!$C$14)+IF(C420="",Settings!$C$13,IF(COUNTIF($C$5:C420,C420)=1,Settings!$C$13,0))+E420*Settings!$C$15+IF(H420="Yes",J420*Settings!$C$16,0))</f>
        <v/>
      </c>
      <c r="L420" s="21">
        <f>IF(B420="","",IF(Settings!$C$5="Yes",0,K420*Settings!$C$17))</f>
        <v/>
      </c>
      <c r="M420" s="21">
        <f>IF(B420="","",E420*IFERROR(VLOOKUP(D420,Products!$B$5:$F$204,5,FALSE),0))</f>
        <v/>
      </c>
      <c r="N420" s="21">
        <f>IF(B420="","",J420-K420-L420-M420-I420)</f>
        <v/>
      </c>
    </row>
    <row r="421">
      <c r="B421" s="11" t="n"/>
      <c r="C421" s="8" t="n"/>
      <c r="D421" s="8" t="n"/>
      <c r="E421" s="8" t="n"/>
      <c r="F421" s="20" t="n"/>
      <c r="G421" s="20" t="n"/>
      <c r="H421" s="8" t="n"/>
      <c r="I421" s="20" t="n"/>
      <c r="J421" s="21">
        <f>IF(B421="","",F421+G421)</f>
        <v/>
      </c>
      <c r="K421" s="21">
        <f>IF(B421="","",J421*(Settings!$C$11+Settings!$C$12+Settings!$C$14)+IF(C421="",Settings!$C$13,IF(COUNTIF($C$5:C421,C421)=1,Settings!$C$13,0))+E421*Settings!$C$15+IF(H421="Yes",J421*Settings!$C$16,0))</f>
        <v/>
      </c>
      <c r="L421" s="21">
        <f>IF(B421="","",IF(Settings!$C$5="Yes",0,K421*Settings!$C$17))</f>
        <v/>
      </c>
      <c r="M421" s="21">
        <f>IF(B421="","",E421*IFERROR(VLOOKUP(D421,Products!$B$5:$F$204,5,FALSE),0))</f>
        <v/>
      </c>
      <c r="N421" s="21">
        <f>IF(B421="","",J421-K421-L421-M421-I421)</f>
        <v/>
      </c>
    </row>
    <row r="422">
      <c r="B422" s="11" t="n"/>
      <c r="C422" s="8" t="n"/>
      <c r="D422" s="8" t="n"/>
      <c r="E422" s="8" t="n"/>
      <c r="F422" s="20" t="n"/>
      <c r="G422" s="20" t="n"/>
      <c r="H422" s="8" t="n"/>
      <c r="I422" s="20" t="n"/>
      <c r="J422" s="21">
        <f>IF(B422="","",F422+G422)</f>
        <v/>
      </c>
      <c r="K422" s="21">
        <f>IF(B422="","",J422*(Settings!$C$11+Settings!$C$12+Settings!$C$14)+IF(C422="",Settings!$C$13,IF(COUNTIF($C$5:C422,C422)=1,Settings!$C$13,0))+E422*Settings!$C$15+IF(H422="Yes",J422*Settings!$C$16,0))</f>
        <v/>
      </c>
      <c r="L422" s="21">
        <f>IF(B422="","",IF(Settings!$C$5="Yes",0,K422*Settings!$C$17))</f>
        <v/>
      </c>
      <c r="M422" s="21">
        <f>IF(B422="","",E422*IFERROR(VLOOKUP(D422,Products!$B$5:$F$204,5,FALSE),0))</f>
        <v/>
      </c>
      <c r="N422" s="21">
        <f>IF(B422="","",J422-K422-L422-M422-I422)</f>
        <v/>
      </c>
    </row>
    <row r="423">
      <c r="B423" s="11" t="n"/>
      <c r="C423" s="8" t="n"/>
      <c r="D423" s="8" t="n"/>
      <c r="E423" s="8" t="n"/>
      <c r="F423" s="20" t="n"/>
      <c r="G423" s="20" t="n"/>
      <c r="H423" s="8" t="n"/>
      <c r="I423" s="20" t="n"/>
      <c r="J423" s="21">
        <f>IF(B423="","",F423+G423)</f>
        <v/>
      </c>
      <c r="K423" s="21">
        <f>IF(B423="","",J423*(Settings!$C$11+Settings!$C$12+Settings!$C$14)+IF(C423="",Settings!$C$13,IF(COUNTIF($C$5:C423,C423)=1,Settings!$C$13,0))+E423*Settings!$C$15+IF(H423="Yes",J423*Settings!$C$16,0))</f>
        <v/>
      </c>
      <c r="L423" s="21">
        <f>IF(B423="","",IF(Settings!$C$5="Yes",0,K423*Settings!$C$17))</f>
        <v/>
      </c>
      <c r="M423" s="21">
        <f>IF(B423="","",E423*IFERROR(VLOOKUP(D423,Products!$B$5:$F$204,5,FALSE),0))</f>
        <v/>
      </c>
      <c r="N423" s="21">
        <f>IF(B423="","",J423-K423-L423-M423-I423)</f>
        <v/>
      </c>
    </row>
    <row r="424">
      <c r="B424" s="11" t="n"/>
      <c r="C424" s="8" t="n"/>
      <c r="D424" s="8" t="n"/>
      <c r="E424" s="8" t="n"/>
      <c r="F424" s="20" t="n"/>
      <c r="G424" s="20" t="n"/>
      <c r="H424" s="8" t="n"/>
      <c r="I424" s="20" t="n"/>
      <c r="J424" s="21">
        <f>IF(B424="","",F424+G424)</f>
        <v/>
      </c>
      <c r="K424" s="21">
        <f>IF(B424="","",J424*(Settings!$C$11+Settings!$C$12+Settings!$C$14)+IF(C424="",Settings!$C$13,IF(COUNTIF($C$5:C424,C424)=1,Settings!$C$13,0))+E424*Settings!$C$15+IF(H424="Yes",J424*Settings!$C$16,0))</f>
        <v/>
      </c>
      <c r="L424" s="21">
        <f>IF(B424="","",IF(Settings!$C$5="Yes",0,K424*Settings!$C$17))</f>
        <v/>
      </c>
      <c r="M424" s="21">
        <f>IF(B424="","",E424*IFERROR(VLOOKUP(D424,Products!$B$5:$F$204,5,FALSE),0))</f>
        <v/>
      </c>
      <c r="N424" s="21">
        <f>IF(B424="","",J424-K424-L424-M424-I424)</f>
        <v/>
      </c>
    </row>
    <row r="425">
      <c r="B425" s="11" t="n"/>
      <c r="C425" s="8" t="n"/>
      <c r="D425" s="8" t="n"/>
      <c r="E425" s="8" t="n"/>
      <c r="F425" s="20" t="n"/>
      <c r="G425" s="20" t="n"/>
      <c r="H425" s="8" t="n"/>
      <c r="I425" s="20" t="n"/>
      <c r="J425" s="21">
        <f>IF(B425="","",F425+G425)</f>
        <v/>
      </c>
      <c r="K425" s="21">
        <f>IF(B425="","",J425*(Settings!$C$11+Settings!$C$12+Settings!$C$14)+IF(C425="",Settings!$C$13,IF(COUNTIF($C$5:C425,C425)=1,Settings!$C$13,0))+E425*Settings!$C$15+IF(H425="Yes",J425*Settings!$C$16,0))</f>
        <v/>
      </c>
      <c r="L425" s="21">
        <f>IF(B425="","",IF(Settings!$C$5="Yes",0,K425*Settings!$C$17))</f>
        <v/>
      </c>
      <c r="M425" s="21">
        <f>IF(B425="","",E425*IFERROR(VLOOKUP(D425,Products!$B$5:$F$204,5,FALSE),0))</f>
        <v/>
      </c>
      <c r="N425" s="21">
        <f>IF(B425="","",J425-K425-L425-M425-I425)</f>
        <v/>
      </c>
    </row>
    <row r="426">
      <c r="B426" s="11" t="n"/>
      <c r="C426" s="8" t="n"/>
      <c r="D426" s="8" t="n"/>
      <c r="E426" s="8" t="n"/>
      <c r="F426" s="20" t="n"/>
      <c r="G426" s="20" t="n"/>
      <c r="H426" s="8" t="n"/>
      <c r="I426" s="20" t="n"/>
      <c r="J426" s="21">
        <f>IF(B426="","",F426+G426)</f>
        <v/>
      </c>
      <c r="K426" s="21">
        <f>IF(B426="","",J426*(Settings!$C$11+Settings!$C$12+Settings!$C$14)+IF(C426="",Settings!$C$13,IF(COUNTIF($C$5:C426,C426)=1,Settings!$C$13,0))+E426*Settings!$C$15+IF(H426="Yes",J426*Settings!$C$16,0))</f>
        <v/>
      </c>
      <c r="L426" s="21">
        <f>IF(B426="","",IF(Settings!$C$5="Yes",0,K426*Settings!$C$17))</f>
        <v/>
      </c>
      <c r="M426" s="21">
        <f>IF(B426="","",E426*IFERROR(VLOOKUP(D426,Products!$B$5:$F$204,5,FALSE),0))</f>
        <v/>
      </c>
      <c r="N426" s="21">
        <f>IF(B426="","",J426-K426-L426-M426-I426)</f>
        <v/>
      </c>
    </row>
    <row r="427">
      <c r="B427" s="11" t="n"/>
      <c r="C427" s="8" t="n"/>
      <c r="D427" s="8" t="n"/>
      <c r="E427" s="8" t="n"/>
      <c r="F427" s="20" t="n"/>
      <c r="G427" s="20" t="n"/>
      <c r="H427" s="8" t="n"/>
      <c r="I427" s="20" t="n"/>
      <c r="J427" s="21">
        <f>IF(B427="","",F427+G427)</f>
        <v/>
      </c>
      <c r="K427" s="21">
        <f>IF(B427="","",J427*(Settings!$C$11+Settings!$C$12+Settings!$C$14)+IF(C427="",Settings!$C$13,IF(COUNTIF($C$5:C427,C427)=1,Settings!$C$13,0))+E427*Settings!$C$15+IF(H427="Yes",J427*Settings!$C$16,0))</f>
        <v/>
      </c>
      <c r="L427" s="21">
        <f>IF(B427="","",IF(Settings!$C$5="Yes",0,K427*Settings!$C$17))</f>
        <v/>
      </c>
      <c r="M427" s="21">
        <f>IF(B427="","",E427*IFERROR(VLOOKUP(D427,Products!$B$5:$F$204,5,FALSE),0))</f>
        <v/>
      </c>
      <c r="N427" s="21">
        <f>IF(B427="","",J427-K427-L427-M427-I427)</f>
        <v/>
      </c>
    </row>
    <row r="428">
      <c r="B428" s="11" t="n"/>
      <c r="C428" s="8" t="n"/>
      <c r="D428" s="8" t="n"/>
      <c r="E428" s="8" t="n"/>
      <c r="F428" s="20" t="n"/>
      <c r="G428" s="20" t="n"/>
      <c r="H428" s="8" t="n"/>
      <c r="I428" s="20" t="n"/>
      <c r="J428" s="21">
        <f>IF(B428="","",F428+G428)</f>
        <v/>
      </c>
      <c r="K428" s="21">
        <f>IF(B428="","",J428*(Settings!$C$11+Settings!$C$12+Settings!$C$14)+IF(C428="",Settings!$C$13,IF(COUNTIF($C$5:C428,C428)=1,Settings!$C$13,0))+E428*Settings!$C$15+IF(H428="Yes",J428*Settings!$C$16,0))</f>
        <v/>
      </c>
      <c r="L428" s="21">
        <f>IF(B428="","",IF(Settings!$C$5="Yes",0,K428*Settings!$C$17))</f>
        <v/>
      </c>
      <c r="M428" s="21">
        <f>IF(B428="","",E428*IFERROR(VLOOKUP(D428,Products!$B$5:$F$204,5,FALSE),0))</f>
        <v/>
      </c>
      <c r="N428" s="21">
        <f>IF(B428="","",J428-K428-L428-M428-I428)</f>
        <v/>
      </c>
    </row>
    <row r="429">
      <c r="B429" s="11" t="n"/>
      <c r="C429" s="8" t="n"/>
      <c r="D429" s="8" t="n"/>
      <c r="E429" s="8" t="n"/>
      <c r="F429" s="20" t="n"/>
      <c r="G429" s="20" t="n"/>
      <c r="H429" s="8" t="n"/>
      <c r="I429" s="20" t="n"/>
      <c r="J429" s="21">
        <f>IF(B429="","",F429+G429)</f>
        <v/>
      </c>
      <c r="K429" s="21">
        <f>IF(B429="","",J429*(Settings!$C$11+Settings!$C$12+Settings!$C$14)+IF(C429="",Settings!$C$13,IF(COUNTIF($C$5:C429,C429)=1,Settings!$C$13,0))+E429*Settings!$C$15+IF(H429="Yes",J429*Settings!$C$16,0))</f>
        <v/>
      </c>
      <c r="L429" s="21">
        <f>IF(B429="","",IF(Settings!$C$5="Yes",0,K429*Settings!$C$17))</f>
        <v/>
      </c>
      <c r="M429" s="21">
        <f>IF(B429="","",E429*IFERROR(VLOOKUP(D429,Products!$B$5:$F$204,5,FALSE),0))</f>
        <v/>
      </c>
      <c r="N429" s="21">
        <f>IF(B429="","",J429-K429-L429-M429-I429)</f>
        <v/>
      </c>
    </row>
    <row r="430">
      <c r="B430" s="11" t="n"/>
      <c r="C430" s="8" t="n"/>
      <c r="D430" s="8" t="n"/>
      <c r="E430" s="8" t="n"/>
      <c r="F430" s="20" t="n"/>
      <c r="G430" s="20" t="n"/>
      <c r="H430" s="8" t="n"/>
      <c r="I430" s="20" t="n"/>
      <c r="J430" s="21">
        <f>IF(B430="","",F430+G430)</f>
        <v/>
      </c>
      <c r="K430" s="21">
        <f>IF(B430="","",J430*(Settings!$C$11+Settings!$C$12+Settings!$C$14)+IF(C430="",Settings!$C$13,IF(COUNTIF($C$5:C430,C430)=1,Settings!$C$13,0))+E430*Settings!$C$15+IF(H430="Yes",J430*Settings!$C$16,0))</f>
        <v/>
      </c>
      <c r="L430" s="21">
        <f>IF(B430="","",IF(Settings!$C$5="Yes",0,K430*Settings!$C$17))</f>
        <v/>
      </c>
      <c r="M430" s="21">
        <f>IF(B430="","",E430*IFERROR(VLOOKUP(D430,Products!$B$5:$F$204,5,FALSE),0))</f>
        <v/>
      </c>
      <c r="N430" s="21">
        <f>IF(B430="","",J430-K430-L430-M430-I430)</f>
        <v/>
      </c>
    </row>
    <row r="431">
      <c r="B431" s="11" t="n"/>
      <c r="C431" s="8" t="n"/>
      <c r="D431" s="8" t="n"/>
      <c r="E431" s="8" t="n"/>
      <c r="F431" s="20" t="n"/>
      <c r="G431" s="20" t="n"/>
      <c r="H431" s="8" t="n"/>
      <c r="I431" s="20" t="n"/>
      <c r="J431" s="21">
        <f>IF(B431="","",F431+G431)</f>
        <v/>
      </c>
      <c r="K431" s="21">
        <f>IF(B431="","",J431*(Settings!$C$11+Settings!$C$12+Settings!$C$14)+IF(C431="",Settings!$C$13,IF(COUNTIF($C$5:C431,C431)=1,Settings!$C$13,0))+E431*Settings!$C$15+IF(H431="Yes",J431*Settings!$C$16,0))</f>
        <v/>
      </c>
      <c r="L431" s="21">
        <f>IF(B431="","",IF(Settings!$C$5="Yes",0,K431*Settings!$C$17))</f>
        <v/>
      </c>
      <c r="M431" s="21">
        <f>IF(B431="","",E431*IFERROR(VLOOKUP(D431,Products!$B$5:$F$204,5,FALSE),0))</f>
        <v/>
      </c>
      <c r="N431" s="21">
        <f>IF(B431="","",J431-K431-L431-M431-I431)</f>
        <v/>
      </c>
    </row>
    <row r="432">
      <c r="B432" s="11" t="n"/>
      <c r="C432" s="8" t="n"/>
      <c r="D432" s="8" t="n"/>
      <c r="E432" s="8" t="n"/>
      <c r="F432" s="20" t="n"/>
      <c r="G432" s="20" t="n"/>
      <c r="H432" s="8" t="n"/>
      <c r="I432" s="20" t="n"/>
      <c r="J432" s="21">
        <f>IF(B432="","",F432+G432)</f>
        <v/>
      </c>
      <c r="K432" s="21">
        <f>IF(B432="","",J432*(Settings!$C$11+Settings!$C$12+Settings!$C$14)+IF(C432="",Settings!$C$13,IF(COUNTIF($C$5:C432,C432)=1,Settings!$C$13,0))+E432*Settings!$C$15+IF(H432="Yes",J432*Settings!$C$16,0))</f>
        <v/>
      </c>
      <c r="L432" s="21">
        <f>IF(B432="","",IF(Settings!$C$5="Yes",0,K432*Settings!$C$17))</f>
        <v/>
      </c>
      <c r="M432" s="21">
        <f>IF(B432="","",E432*IFERROR(VLOOKUP(D432,Products!$B$5:$F$204,5,FALSE),0))</f>
        <v/>
      </c>
      <c r="N432" s="21">
        <f>IF(B432="","",J432-K432-L432-M432-I432)</f>
        <v/>
      </c>
    </row>
    <row r="433">
      <c r="B433" s="11" t="n"/>
      <c r="C433" s="8" t="n"/>
      <c r="D433" s="8" t="n"/>
      <c r="E433" s="8" t="n"/>
      <c r="F433" s="20" t="n"/>
      <c r="G433" s="20" t="n"/>
      <c r="H433" s="8" t="n"/>
      <c r="I433" s="20" t="n"/>
      <c r="J433" s="21">
        <f>IF(B433="","",F433+G433)</f>
        <v/>
      </c>
      <c r="K433" s="21">
        <f>IF(B433="","",J433*(Settings!$C$11+Settings!$C$12+Settings!$C$14)+IF(C433="",Settings!$C$13,IF(COUNTIF($C$5:C433,C433)=1,Settings!$C$13,0))+E433*Settings!$C$15+IF(H433="Yes",J433*Settings!$C$16,0))</f>
        <v/>
      </c>
      <c r="L433" s="21">
        <f>IF(B433="","",IF(Settings!$C$5="Yes",0,K433*Settings!$C$17))</f>
        <v/>
      </c>
      <c r="M433" s="21">
        <f>IF(B433="","",E433*IFERROR(VLOOKUP(D433,Products!$B$5:$F$204,5,FALSE),0))</f>
        <v/>
      </c>
      <c r="N433" s="21">
        <f>IF(B433="","",J433-K433-L433-M433-I433)</f>
        <v/>
      </c>
    </row>
    <row r="434">
      <c r="B434" s="11" t="n"/>
      <c r="C434" s="8" t="n"/>
      <c r="D434" s="8" t="n"/>
      <c r="E434" s="8" t="n"/>
      <c r="F434" s="20" t="n"/>
      <c r="G434" s="20" t="n"/>
      <c r="H434" s="8" t="n"/>
      <c r="I434" s="20" t="n"/>
      <c r="J434" s="21">
        <f>IF(B434="","",F434+G434)</f>
        <v/>
      </c>
      <c r="K434" s="21">
        <f>IF(B434="","",J434*(Settings!$C$11+Settings!$C$12+Settings!$C$14)+IF(C434="",Settings!$C$13,IF(COUNTIF($C$5:C434,C434)=1,Settings!$C$13,0))+E434*Settings!$C$15+IF(H434="Yes",J434*Settings!$C$16,0))</f>
        <v/>
      </c>
      <c r="L434" s="21">
        <f>IF(B434="","",IF(Settings!$C$5="Yes",0,K434*Settings!$C$17))</f>
        <v/>
      </c>
      <c r="M434" s="21">
        <f>IF(B434="","",E434*IFERROR(VLOOKUP(D434,Products!$B$5:$F$204,5,FALSE),0))</f>
        <v/>
      </c>
      <c r="N434" s="21">
        <f>IF(B434="","",J434-K434-L434-M434-I434)</f>
        <v/>
      </c>
    </row>
    <row r="435">
      <c r="B435" s="11" t="n"/>
      <c r="C435" s="8" t="n"/>
      <c r="D435" s="8" t="n"/>
      <c r="E435" s="8" t="n"/>
      <c r="F435" s="20" t="n"/>
      <c r="G435" s="20" t="n"/>
      <c r="H435" s="8" t="n"/>
      <c r="I435" s="20" t="n"/>
      <c r="J435" s="21">
        <f>IF(B435="","",F435+G435)</f>
        <v/>
      </c>
      <c r="K435" s="21">
        <f>IF(B435="","",J435*(Settings!$C$11+Settings!$C$12+Settings!$C$14)+IF(C435="",Settings!$C$13,IF(COUNTIF($C$5:C435,C435)=1,Settings!$C$13,0))+E435*Settings!$C$15+IF(H435="Yes",J435*Settings!$C$16,0))</f>
        <v/>
      </c>
      <c r="L435" s="21">
        <f>IF(B435="","",IF(Settings!$C$5="Yes",0,K435*Settings!$C$17))</f>
        <v/>
      </c>
      <c r="M435" s="21">
        <f>IF(B435="","",E435*IFERROR(VLOOKUP(D435,Products!$B$5:$F$204,5,FALSE),0))</f>
        <v/>
      </c>
      <c r="N435" s="21">
        <f>IF(B435="","",J435-K435-L435-M435-I435)</f>
        <v/>
      </c>
    </row>
    <row r="436">
      <c r="B436" s="11" t="n"/>
      <c r="C436" s="8" t="n"/>
      <c r="D436" s="8" t="n"/>
      <c r="E436" s="8" t="n"/>
      <c r="F436" s="20" t="n"/>
      <c r="G436" s="20" t="n"/>
      <c r="H436" s="8" t="n"/>
      <c r="I436" s="20" t="n"/>
      <c r="J436" s="21">
        <f>IF(B436="","",F436+G436)</f>
        <v/>
      </c>
      <c r="K436" s="21">
        <f>IF(B436="","",J436*(Settings!$C$11+Settings!$C$12+Settings!$C$14)+IF(C436="",Settings!$C$13,IF(COUNTIF($C$5:C436,C436)=1,Settings!$C$13,0))+E436*Settings!$C$15+IF(H436="Yes",J436*Settings!$C$16,0))</f>
        <v/>
      </c>
      <c r="L436" s="21">
        <f>IF(B436="","",IF(Settings!$C$5="Yes",0,K436*Settings!$C$17))</f>
        <v/>
      </c>
      <c r="M436" s="21">
        <f>IF(B436="","",E436*IFERROR(VLOOKUP(D436,Products!$B$5:$F$204,5,FALSE),0))</f>
        <v/>
      </c>
      <c r="N436" s="21">
        <f>IF(B436="","",J436-K436-L436-M436-I436)</f>
        <v/>
      </c>
    </row>
    <row r="437">
      <c r="B437" s="11" t="n"/>
      <c r="C437" s="8" t="n"/>
      <c r="D437" s="8" t="n"/>
      <c r="E437" s="8" t="n"/>
      <c r="F437" s="20" t="n"/>
      <c r="G437" s="20" t="n"/>
      <c r="H437" s="8" t="n"/>
      <c r="I437" s="20" t="n"/>
      <c r="J437" s="21">
        <f>IF(B437="","",F437+G437)</f>
        <v/>
      </c>
      <c r="K437" s="21">
        <f>IF(B437="","",J437*(Settings!$C$11+Settings!$C$12+Settings!$C$14)+IF(C437="",Settings!$C$13,IF(COUNTIF($C$5:C437,C437)=1,Settings!$C$13,0))+E437*Settings!$C$15+IF(H437="Yes",J437*Settings!$C$16,0))</f>
        <v/>
      </c>
      <c r="L437" s="21">
        <f>IF(B437="","",IF(Settings!$C$5="Yes",0,K437*Settings!$C$17))</f>
        <v/>
      </c>
      <c r="M437" s="21">
        <f>IF(B437="","",E437*IFERROR(VLOOKUP(D437,Products!$B$5:$F$204,5,FALSE),0))</f>
        <v/>
      </c>
      <c r="N437" s="21">
        <f>IF(B437="","",J437-K437-L437-M437-I437)</f>
        <v/>
      </c>
    </row>
    <row r="438">
      <c r="B438" s="11" t="n"/>
      <c r="C438" s="8" t="n"/>
      <c r="D438" s="8" t="n"/>
      <c r="E438" s="8" t="n"/>
      <c r="F438" s="20" t="n"/>
      <c r="G438" s="20" t="n"/>
      <c r="H438" s="8" t="n"/>
      <c r="I438" s="20" t="n"/>
      <c r="J438" s="21">
        <f>IF(B438="","",F438+G438)</f>
        <v/>
      </c>
      <c r="K438" s="21">
        <f>IF(B438="","",J438*(Settings!$C$11+Settings!$C$12+Settings!$C$14)+IF(C438="",Settings!$C$13,IF(COUNTIF($C$5:C438,C438)=1,Settings!$C$13,0))+E438*Settings!$C$15+IF(H438="Yes",J438*Settings!$C$16,0))</f>
        <v/>
      </c>
      <c r="L438" s="21">
        <f>IF(B438="","",IF(Settings!$C$5="Yes",0,K438*Settings!$C$17))</f>
        <v/>
      </c>
      <c r="M438" s="21">
        <f>IF(B438="","",E438*IFERROR(VLOOKUP(D438,Products!$B$5:$F$204,5,FALSE),0))</f>
        <v/>
      </c>
      <c r="N438" s="21">
        <f>IF(B438="","",J438-K438-L438-M438-I438)</f>
        <v/>
      </c>
    </row>
    <row r="439">
      <c r="B439" s="11" t="n"/>
      <c r="C439" s="8" t="n"/>
      <c r="D439" s="8" t="n"/>
      <c r="E439" s="8" t="n"/>
      <c r="F439" s="20" t="n"/>
      <c r="G439" s="20" t="n"/>
      <c r="H439" s="8" t="n"/>
      <c r="I439" s="20" t="n"/>
      <c r="J439" s="21">
        <f>IF(B439="","",F439+G439)</f>
        <v/>
      </c>
      <c r="K439" s="21">
        <f>IF(B439="","",J439*(Settings!$C$11+Settings!$C$12+Settings!$C$14)+IF(C439="",Settings!$C$13,IF(COUNTIF($C$5:C439,C439)=1,Settings!$C$13,0))+E439*Settings!$C$15+IF(H439="Yes",J439*Settings!$C$16,0))</f>
        <v/>
      </c>
      <c r="L439" s="21">
        <f>IF(B439="","",IF(Settings!$C$5="Yes",0,K439*Settings!$C$17))</f>
        <v/>
      </c>
      <c r="M439" s="21">
        <f>IF(B439="","",E439*IFERROR(VLOOKUP(D439,Products!$B$5:$F$204,5,FALSE),0))</f>
        <v/>
      </c>
      <c r="N439" s="21">
        <f>IF(B439="","",J439-K439-L439-M439-I439)</f>
        <v/>
      </c>
    </row>
    <row r="440">
      <c r="B440" s="11" t="n"/>
      <c r="C440" s="8" t="n"/>
      <c r="D440" s="8" t="n"/>
      <c r="E440" s="8" t="n"/>
      <c r="F440" s="20" t="n"/>
      <c r="G440" s="20" t="n"/>
      <c r="H440" s="8" t="n"/>
      <c r="I440" s="20" t="n"/>
      <c r="J440" s="21">
        <f>IF(B440="","",F440+G440)</f>
        <v/>
      </c>
      <c r="K440" s="21">
        <f>IF(B440="","",J440*(Settings!$C$11+Settings!$C$12+Settings!$C$14)+IF(C440="",Settings!$C$13,IF(COUNTIF($C$5:C440,C440)=1,Settings!$C$13,0))+E440*Settings!$C$15+IF(H440="Yes",J440*Settings!$C$16,0))</f>
        <v/>
      </c>
      <c r="L440" s="21">
        <f>IF(B440="","",IF(Settings!$C$5="Yes",0,K440*Settings!$C$17))</f>
        <v/>
      </c>
      <c r="M440" s="21">
        <f>IF(B440="","",E440*IFERROR(VLOOKUP(D440,Products!$B$5:$F$204,5,FALSE),0))</f>
        <v/>
      </c>
      <c r="N440" s="21">
        <f>IF(B440="","",J440-K440-L440-M440-I440)</f>
        <v/>
      </c>
    </row>
    <row r="441">
      <c r="B441" s="11" t="n"/>
      <c r="C441" s="8" t="n"/>
      <c r="D441" s="8" t="n"/>
      <c r="E441" s="8" t="n"/>
      <c r="F441" s="20" t="n"/>
      <c r="G441" s="20" t="n"/>
      <c r="H441" s="8" t="n"/>
      <c r="I441" s="20" t="n"/>
      <c r="J441" s="21">
        <f>IF(B441="","",F441+G441)</f>
        <v/>
      </c>
      <c r="K441" s="21">
        <f>IF(B441="","",J441*(Settings!$C$11+Settings!$C$12+Settings!$C$14)+IF(C441="",Settings!$C$13,IF(COUNTIF($C$5:C441,C441)=1,Settings!$C$13,0))+E441*Settings!$C$15+IF(H441="Yes",J441*Settings!$C$16,0))</f>
        <v/>
      </c>
      <c r="L441" s="21">
        <f>IF(B441="","",IF(Settings!$C$5="Yes",0,K441*Settings!$C$17))</f>
        <v/>
      </c>
      <c r="M441" s="21">
        <f>IF(B441="","",E441*IFERROR(VLOOKUP(D441,Products!$B$5:$F$204,5,FALSE),0))</f>
        <v/>
      </c>
      <c r="N441" s="21">
        <f>IF(B441="","",J441-K441-L441-M441-I441)</f>
        <v/>
      </c>
    </row>
    <row r="442">
      <c r="B442" s="11" t="n"/>
      <c r="C442" s="8" t="n"/>
      <c r="D442" s="8" t="n"/>
      <c r="E442" s="8" t="n"/>
      <c r="F442" s="20" t="n"/>
      <c r="G442" s="20" t="n"/>
      <c r="H442" s="8" t="n"/>
      <c r="I442" s="20" t="n"/>
      <c r="J442" s="21">
        <f>IF(B442="","",F442+G442)</f>
        <v/>
      </c>
      <c r="K442" s="21">
        <f>IF(B442="","",J442*(Settings!$C$11+Settings!$C$12+Settings!$C$14)+IF(C442="",Settings!$C$13,IF(COUNTIF($C$5:C442,C442)=1,Settings!$C$13,0))+E442*Settings!$C$15+IF(H442="Yes",J442*Settings!$C$16,0))</f>
        <v/>
      </c>
      <c r="L442" s="21">
        <f>IF(B442="","",IF(Settings!$C$5="Yes",0,K442*Settings!$C$17))</f>
        <v/>
      </c>
      <c r="M442" s="21">
        <f>IF(B442="","",E442*IFERROR(VLOOKUP(D442,Products!$B$5:$F$204,5,FALSE),0))</f>
        <v/>
      </c>
      <c r="N442" s="21">
        <f>IF(B442="","",J442-K442-L442-M442-I442)</f>
        <v/>
      </c>
    </row>
    <row r="443">
      <c r="B443" s="11" t="n"/>
      <c r="C443" s="8" t="n"/>
      <c r="D443" s="8" t="n"/>
      <c r="E443" s="8" t="n"/>
      <c r="F443" s="20" t="n"/>
      <c r="G443" s="20" t="n"/>
      <c r="H443" s="8" t="n"/>
      <c r="I443" s="20" t="n"/>
      <c r="J443" s="21">
        <f>IF(B443="","",F443+G443)</f>
        <v/>
      </c>
      <c r="K443" s="21">
        <f>IF(B443="","",J443*(Settings!$C$11+Settings!$C$12+Settings!$C$14)+IF(C443="",Settings!$C$13,IF(COUNTIF($C$5:C443,C443)=1,Settings!$C$13,0))+E443*Settings!$C$15+IF(H443="Yes",J443*Settings!$C$16,0))</f>
        <v/>
      </c>
      <c r="L443" s="21">
        <f>IF(B443="","",IF(Settings!$C$5="Yes",0,K443*Settings!$C$17))</f>
        <v/>
      </c>
      <c r="M443" s="21">
        <f>IF(B443="","",E443*IFERROR(VLOOKUP(D443,Products!$B$5:$F$204,5,FALSE),0))</f>
        <v/>
      </c>
      <c r="N443" s="21">
        <f>IF(B443="","",J443-K443-L443-M443-I443)</f>
        <v/>
      </c>
    </row>
    <row r="444">
      <c r="B444" s="11" t="n"/>
      <c r="C444" s="8" t="n"/>
      <c r="D444" s="8" t="n"/>
      <c r="E444" s="8" t="n"/>
      <c r="F444" s="20" t="n"/>
      <c r="G444" s="20" t="n"/>
      <c r="H444" s="8" t="n"/>
      <c r="I444" s="20" t="n"/>
      <c r="J444" s="21">
        <f>IF(B444="","",F444+G444)</f>
        <v/>
      </c>
      <c r="K444" s="21">
        <f>IF(B444="","",J444*(Settings!$C$11+Settings!$C$12+Settings!$C$14)+IF(C444="",Settings!$C$13,IF(COUNTIF($C$5:C444,C444)=1,Settings!$C$13,0))+E444*Settings!$C$15+IF(H444="Yes",J444*Settings!$C$16,0))</f>
        <v/>
      </c>
      <c r="L444" s="21">
        <f>IF(B444="","",IF(Settings!$C$5="Yes",0,K444*Settings!$C$17))</f>
        <v/>
      </c>
      <c r="M444" s="21">
        <f>IF(B444="","",E444*IFERROR(VLOOKUP(D444,Products!$B$5:$F$204,5,FALSE),0))</f>
        <v/>
      </c>
      <c r="N444" s="21">
        <f>IF(B444="","",J444-K444-L444-M444-I444)</f>
        <v/>
      </c>
    </row>
    <row r="445">
      <c r="B445" s="11" t="n"/>
      <c r="C445" s="8" t="n"/>
      <c r="D445" s="8" t="n"/>
      <c r="E445" s="8" t="n"/>
      <c r="F445" s="20" t="n"/>
      <c r="G445" s="20" t="n"/>
      <c r="H445" s="8" t="n"/>
      <c r="I445" s="20" t="n"/>
      <c r="J445" s="21">
        <f>IF(B445="","",F445+G445)</f>
        <v/>
      </c>
      <c r="K445" s="21">
        <f>IF(B445="","",J445*(Settings!$C$11+Settings!$C$12+Settings!$C$14)+IF(C445="",Settings!$C$13,IF(COUNTIF($C$5:C445,C445)=1,Settings!$C$13,0))+E445*Settings!$C$15+IF(H445="Yes",J445*Settings!$C$16,0))</f>
        <v/>
      </c>
      <c r="L445" s="21">
        <f>IF(B445="","",IF(Settings!$C$5="Yes",0,K445*Settings!$C$17))</f>
        <v/>
      </c>
      <c r="M445" s="21">
        <f>IF(B445="","",E445*IFERROR(VLOOKUP(D445,Products!$B$5:$F$204,5,FALSE),0))</f>
        <v/>
      </c>
      <c r="N445" s="21">
        <f>IF(B445="","",J445-K445-L445-M445-I445)</f>
        <v/>
      </c>
    </row>
    <row r="446">
      <c r="B446" s="11" t="n"/>
      <c r="C446" s="8" t="n"/>
      <c r="D446" s="8" t="n"/>
      <c r="E446" s="8" t="n"/>
      <c r="F446" s="20" t="n"/>
      <c r="G446" s="20" t="n"/>
      <c r="H446" s="8" t="n"/>
      <c r="I446" s="20" t="n"/>
      <c r="J446" s="21">
        <f>IF(B446="","",F446+G446)</f>
        <v/>
      </c>
      <c r="K446" s="21">
        <f>IF(B446="","",J446*(Settings!$C$11+Settings!$C$12+Settings!$C$14)+IF(C446="",Settings!$C$13,IF(COUNTIF($C$5:C446,C446)=1,Settings!$C$13,0))+E446*Settings!$C$15+IF(H446="Yes",J446*Settings!$C$16,0))</f>
        <v/>
      </c>
      <c r="L446" s="21">
        <f>IF(B446="","",IF(Settings!$C$5="Yes",0,K446*Settings!$C$17))</f>
        <v/>
      </c>
      <c r="M446" s="21">
        <f>IF(B446="","",E446*IFERROR(VLOOKUP(D446,Products!$B$5:$F$204,5,FALSE),0))</f>
        <v/>
      </c>
      <c r="N446" s="21">
        <f>IF(B446="","",J446-K446-L446-M446-I446)</f>
        <v/>
      </c>
    </row>
    <row r="447">
      <c r="B447" s="11" t="n"/>
      <c r="C447" s="8" t="n"/>
      <c r="D447" s="8" t="n"/>
      <c r="E447" s="8" t="n"/>
      <c r="F447" s="20" t="n"/>
      <c r="G447" s="20" t="n"/>
      <c r="H447" s="8" t="n"/>
      <c r="I447" s="20" t="n"/>
      <c r="J447" s="21">
        <f>IF(B447="","",F447+G447)</f>
        <v/>
      </c>
      <c r="K447" s="21">
        <f>IF(B447="","",J447*(Settings!$C$11+Settings!$C$12+Settings!$C$14)+IF(C447="",Settings!$C$13,IF(COUNTIF($C$5:C447,C447)=1,Settings!$C$13,0))+E447*Settings!$C$15+IF(H447="Yes",J447*Settings!$C$16,0))</f>
        <v/>
      </c>
      <c r="L447" s="21">
        <f>IF(B447="","",IF(Settings!$C$5="Yes",0,K447*Settings!$C$17))</f>
        <v/>
      </c>
      <c r="M447" s="21">
        <f>IF(B447="","",E447*IFERROR(VLOOKUP(D447,Products!$B$5:$F$204,5,FALSE),0))</f>
        <v/>
      </c>
      <c r="N447" s="21">
        <f>IF(B447="","",J447-K447-L447-M447-I447)</f>
        <v/>
      </c>
    </row>
    <row r="448">
      <c r="B448" s="11" t="n"/>
      <c r="C448" s="8" t="n"/>
      <c r="D448" s="8" t="n"/>
      <c r="E448" s="8" t="n"/>
      <c r="F448" s="20" t="n"/>
      <c r="G448" s="20" t="n"/>
      <c r="H448" s="8" t="n"/>
      <c r="I448" s="20" t="n"/>
      <c r="J448" s="21">
        <f>IF(B448="","",F448+G448)</f>
        <v/>
      </c>
      <c r="K448" s="21">
        <f>IF(B448="","",J448*(Settings!$C$11+Settings!$C$12+Settings!$C$14)+IF(C448="",Settings!$C$13,IF(COUNTIF($C$5:C448,C448)=1,Settings!$C$13,0))+E448*Settings!$C$15+IF(H448="Yes",J448*Settings!$C$16,0))</f>
        <v/>
      </c>
      <c r="L448" s="21">
        <f>IF(B448="","",IF(Settings!$C$5="Yes",0,K448*Settings!$C$17))</f>
        <v/>
      </c>
      <c r="M448" s="21">
        <f>IF(B448="","",E448*IFERROR(VLOOKUP(D448,Products!$B$5:$F$204,5,FALSE),0))</f>
        <v/>
      </c>
      <c r="N448" s="21">
        <f>IF(B448="","",J448-K448-L448-M448-I448)</f>
        <v/>
      </c>
    </row>
    <row r="449">
      <c r="B449" s="11" t="n"/>
      <c r="C449" s="8" t="n"/>
      <c r="D449" s="8" t="n"/>
      <c r="E449" s="8" t="n"/>
      <c r="F449" s="20" t="n"/>
      <c r="G449" s="20" t="n"/>
      <c r="H449" s="8" t="n"/>
      <c r="I449" s="20" t="n"/>
      <c r="J449" s="21">
        <f>IF(B449="","",F449+G449)</f>
        <v/>
      </c>
      <c r="K449" s="21">
        <f>IF(B449="","",J449*(Settings!$C$11+Settings!$C$12+Settings!$C$14)+IF(C449="",Settings!$C$13,IF(COUNTIF($C$5:C449,C449)=1,Settings!$C$13,0))+E449*Settings!$C$15+IF(H449="Yes",J449*Settings!$C$16,0))</f>
        <v/>
      </c>
      <c r="L449" s="21">
        <f>IF(B449="","",IF(Settings!$C$5="Yes",0,K449*Settings!$C$17))</f>
        <v/>
      </c>
      <c r="M449" s="21">
        <f>IF(B449="","",E449*IFERROR(VLOOKUP(D449,Products!$B$5:$F$204,5,FALSE),0))</f>
        <v/>
      </c>
      <c r="N449" s="21">
        <f>IF(B449="","",J449-K449-L449-M449-I449)</f>
        <v/>
      </c>
    </row>
    <row r="450">
      <c r="B450" s="11" t="n"/>
      <c r="C450" s="8" t="n"/>
      <c r="D450" s="8" t="n"/>
      <c r="E450" s="8" t="n"/>
      <c r="F450" s="20" t="n"/>
      <c r="G450" s="20" t="n"/>
      <c r="H450" s="8" t="n"/>
      <c r="I450" s="20" t="n"/>
      <c r="J450" s="21">
        <f>IF(B450="","",F450+G450)</f>
        <v/>
      </c>
      <c r="K450" s="21">
        <f>IF(B450="","",J450*(Settings!$C$11+Settings!$C$12+Settings!$C$14)+IF(C450="",Settings!$C$13,IF(COUNTIF($C$5:C450,C450)=1,Settings!$C$13,0))+E450*Settings!$C$15+IF(H450="Yes",J450*Settings!$C$16,0))</f>
        <v/>
      </c>
      <c r="L450" s="21">
        <f>IF(B450="","",IF(Settings!$C$5="Yes",0,K450*Settings!$C$17))</f>
        <v/>
      </c>
      <c r="M450" s="21">
        <f>IF(B450="","",E450*IFERROR(VLOOKUP(D450,Products!$B$5:$F$204,5,FALSE),0))</f>
        <v/>
      </c>
      <c r="N450" s="21">
        <f>IF(B450="","",J450-K450-L450-M450-I450)</f>
        <v/>
      </c>
    </row>
    <row r="451">
      <c r="B451" s="11" t="n"/>
      <c r="C451" s="8" t="n"/>
      <c r="D451" s="8" t="n"/>
      <c r="E451" s="8" t="n"/>
      <c r="F451" s="20" t="n"/>
      <c r="G451" s="20" t="n"/>
      <c r="H451" s="8" t="n"/>
      <c r="I451" s="20" t="n"/>
      <c r="J451" s="21">
        <f>IF(B451="","",F451+G451)</f>
        <v/>
      </c>
      <c r="K451" s="21">
        <f>IF(B451="","",J451*(Settings!$C$11+Settings!$C$12+Settings!$C$14)+IF(C451="",Settings!$C$13,IF(COUNTIF($C$5:C451,C451)=1,Settings!$C$13,0))+E451*Settings!$C$15+IF(H451="Yes",J451*Settings!$C$16,0))</f>
        <v/>
      </c>
      <c r="L451" s="21">
        <f>IF(B451="","",IF(Settings!$C$5="Yes",0,K451*Settings!$C$17))</f>
        <v/>
      </c>
      <c r="M451" s="21">
        <f>IF(B451="","",E451*IFERROR(VLOOKUP(D451,Products!$B$5:$F$204,5,FALSE),0))</f>
        <v/>
      </c>
      <c r="N451" s="21">
        <f>IF(B451="","",J451-K451-L451-M451-I451)</f>
        <v/>
      </c>
    </row>
    <row r="452">
      <c r="B452" s="11" t="n"/>
      <c r="C452" s="8" t="n"/>
      <c r="D452" s="8" t="n"/>
      <c r="E452" s="8" t="n"/>
      <c r="F452" s="20" t="n"/>
      <c r="G452" s="20" t="n"/>
      <c r="H452" s="8" t="n"/>
      <c r="I452" s="20" t="n"/>
      <c r="J452" s="21">
        <f>IF(B452="","",F452+G452)</f>
        <v/>
      </c>
      <c r="K452" s="21">
        <f>IF(B452="","",J452*(Settings!$C$11+Settings!$C$12+Settings!$C$14)+IF(C452="",Settings!$C$13,IF(COUNTIF($C$5:C452,C452)=1,Settings!$C$13,0))+E452*Settings!$C$15+IF(H452="Yes",J452*Settings!$C$16,0))</f>
        <v/>
      </c>
      <c r="L452" s="21">
        <f>IF(B452="","",IF(Settings!$C$5="Yes",0,K452*Settings!$C$17))</f>
        <v/>
      </c>
      <c r="M452" s="21">
        <f>IF(B452="","",E452*IFERROR(VLOOKUP(D452,Products!$B$5:$F$204,5,FALSE),0))</f>
        <v/>
      </c>
      <c r="N452" s="21">
        <f>IF(B452="","",J452-K452-L452-M452-I452)</f>
        <v/>
      </c>
    </row>
    <row r="453">
      <c r="B453" s="11" t="n"/>
      <c r="C453" s="8" t="n"/>
      <c r="D453" s="8" t="n"/>
      <c r="E453" s="8" t="n"/>
      <c r="F453" s="20" t="n"/>
      <c r="G453" s="20" t="n"/>
      <c r="H453" s="8" t="n"/>
      <c r="I453" s="20" t="n"/>
      <c r="J453" s="21">
        <f>IF(B453="","",F453+G453)</f>
        <v/>
      </c>
      <c r="K453" s="21">
        <f>IF(B453="","",J453*(Settings!$C$11+Settings!$C$12+Settings!$C$14)+IF(C453="",Settings!$C$13,IF(COUNTIF($C$5:C453,C453)=1,Settings!$C$13,0))+E453*Settings!$C$15+IF(H453="Yes",J453*Settings!$C$16,0))</f>
        <v/>
      </c>
      <c r="L453" s="21">
        <f>IF(B453="","",IF(Settings!$C$5="Yes",0,K453*Settings!$C$17))</f>
        <v/>
      </c>
      <c r="M453" s="21">
        <f>IF(B453="","",E453*IFERROR(VLOOKUP(D453,Products!$B$5:$F$204,5,FALSE),0))</f>
        <v/>
      </c>
      <c r="N453" s="21">
        <f>IF(B453="","",J453-K453-L453-M453-I453)</f>
        <v/>
      </c>
    </row>
    <row r="454">
      <c r="B454" s="11" t="n"/>
      <c r="C454" s="8" t="n"/>
      <c r="D454" s="8" t="n"/>
      <c r="E454" s="8" t="n"/>
      <c r="F454" s="20" t="n"/>
      <c r="G454" s="20" t="n"/>
      <c r="H454" s="8" t="n"/>
      <c r="I454" s="20" t="n"/>
      <c r="J454" s="21">
        <f>IF(B454="","",F454+G454)</f>
        <v/>
      </c>
      <c r="K454" s="21">
        <f>IF(B454="","",J454*(Settings!$C$11+Settings!$C$12+Settings!$C$14)+IF(C454="",Settings!$C$13,IF(COUNTIF($C$5:C454,C454)=1,Settings!$C$13,0))+E454*Settings!$C$15+IF(H454="Yes",J454*Settings!$C$16,0))</f>
        <v/>
      </c>
      <c r="L454" s="21">
        <f>IF(B454="","",IF(Settings!$C$5="Yes",0,K454*Settings!$C$17))</f>
        <v/>
      </c>
      <c r="M454" s="21">
        <f>IF(B454="","",E454*IFERROR(VLOOKUP(D454,Products!$B$5:$F$204,5,FALSE),0))</f>
        <v/>
      </c>
      <c r="N454" s="21">
        <f>IF(B454="","",J454-K454-L454-M454-I454)</f>
        <v/>
      </c>
    </row>
    <row r="455">
      <c r="B455" s="11" t="n"/>
      <c r="C455" s="8" t="n"/>
      <c r="D455" s="8" t="n"/>
      <c r="E455" s="8" t="n"/>
      <c r="F455" s="20" t="n"/>
      <c r="G455" s="20" t="n"/>
      <c r="H455" s="8" t="n"/>
      <c r="I455" s="20" t="n"/>
      <c r="J455" s="21">
        <f>IF(B455="","",F455+G455)</f>
        <v/>
      </c>
      <c r="K455" s="21">
        <f>IF(B455="","",J455*(Settings!$C$11+Settings!$C$12+Settings!$C$14)+IF(C455="",Settings!$C$13,IF(COUNTIF($C$5:C455,C455)=1,Settings!$C$13,0))+E455*Settings!$C$15+IF(H455="Yes",J455*Settings!$C$16,0))</f>
        <v/>
      </c>
      <c r="L455" s="21">
        <f>IF(B455="","",IF(Settings!$C$5="Yes",0,K455*Settings!$C$17))</f>
        <v/>
      </c>
      <c r="M455" s="21">
        <f>IF(B455="","",E455*IFERROR(VLOOKUP(D455,Products!$B$5:$F$204,5,FALSE),0))</f>
        <v/>
      </c>
      <c r="N455" s="21">
        <f>IF(B455="","",J455-K455-L455-M455-I455)</f>
        <v/>
      </c>
    </row>
    <row r="456">
      <c r="B456" s="11" t="n"/>
      <c r="C456" s="8" t="n"/>
      <c r="D456" s="8" t="n"/>
      <c r="E456" s="8" t="n"/>
      <c r="F456" s="20" t="n"/>
      <c r="G456" s="20" t="n"/>
      <c r="H456" s="8" t="n"/>
      <c r="I456" s="20" t="n"/>
      <c r="J456" s="21">
        <f>IF(B456="","",F456+G456)</f>
        <v/>
      </c>
      <c r="K456" s="21">
        <f>IF(B456="","",J456*(Settings!$C$11+Settings!$C$12+Settings!$C$14)+IF(C456="",Settings!$C$13,IF(COUNTIF($C$5:C456,C456)=1,Settings!$C$13,0))+E456*Settings!$C$15+IF(H456="Yes",J456*Settings!$C$16,0))</f>
        <v/>
      </c>
      <c r="L456" s="21">
        <f>IF(B456="","",IF(Settings!$C$5="Yes",0,K456*Settings!$C$17))</f>
        <v/>
      </c>
      <c r="M456" s="21">
        <f>IF(B456="","",E456*IFERROR(VLOOKUP(D456,Products!$B$5:$F$204,5,FALSE),0))</f>
        <v/>
      </c>
      <c r="N456" s="21">
        <f>IF(B456="","",J456-K456-L456-M456-I456)</f>
        <v/>
      </c>
    </row>
    <row r="457">
      <c r="B457" s="11" t="n"/>
      <c r="C457" s="8" t="n"/>
      <c r="D457" s="8" t="n"/>
      <c r="E457" s="8" t="n"/>
      <c r="F457" s="20" t="n"/>
      <c r="G457" s="20" t="n"/>
      <c r="H457" s="8" t="n"/>
      <c r="I457" s="20" t="n"/>
      <c r="J457" s="21">
        <f>IF(B457="","",F457+G457)</f>
        <v/>
      </c>
      <c r="K457" s="21">
        <f>IF(B457="","",J457*(Settings!$C$11+Settings!$C$12+Settings!$C$14)+IF(C457="",Settings!$C$13,IF(COUNTIF($C$5:C457,C457)=1,Settings!$C$13,0))+E457*Settings!$C$15+IF(H457="Yes",J457*Settings!$C$16,0))</f>
        <v/>
      </c>
      <c r="L457" s="21">
        <f>IF(B457="","",IF(Settings!$C$5="Yes",0,K457*Settings!$C$17))</f>
        <v/>
      </c>
      <c r="M457" s="21">
        <f>IF(B457="","",E457*IFERROR(VLOOKUP(D457,Products!$B$5:$F$204,5,FALSE),0))</f>
        <v/>
      </c>
      <c r="N457" s="21">
        <f>IF(B457="","",J457-K457-L457-M457-I457)</f>
        <v/>
      </c>
    </row>
    <row r="458">
      <c r="B458" s="11" t="n"/>
      <c r="C458" s="8" t="n"/>
      <c r="D458" s="8" t="n"/>
      <c r="E458" s="8" t="n"/>
      <c r="F458" s="20" t="n"/>
      <c r="G458" s="20" t="n"/>
      <c r="H458" s="8" t="n"/>
      <c r="I458" s="20" t="n"/>
      <c r="J458" s="21">
        <f>IF(B458="","",F458+G458)</f>
        <v/>
      </c>
      <c r="K458" s="21">
        <f>IF(B458="","",J458*(Settings!$C$11+Settings!$C$12+Settings!$C$14)+IF(C458="",Settings!$C$13,IF(COUNTIF($C$5:C458,C458)=1,Settings!$C$13,0))+E458*Settings!$C$15+IF(H458="Yes",J458*Settings!$C$16,0))</f>
        <v/>
      </c>
      <c r="L458" s="21">
        <f>IF(B458="","",IF(Settings!$C$5="Yes",0,K458*Settings!$C$17))</f>
        <v/>
      </c>
      <c r="M458" s="21">
        <f>IF(B458="","",E458*IFERROR(VLOOKUP(D458,Products!$B$5:$F$204,5,FALSE),0))</f>
        <v/>
      </c>
      <c r="N458" s="21">
        <f>IF(B458="","",J458-K458-L458-M458-I458)</f>
        <v/>
      </c>
    </row>
    <row r="459">
      <c r="B459" s="11" t="n"/>
      <c r="C459" s="8" t="n"/>
      <c r="D459" s="8" t="n"/>
      <c r="E459" s="8" t="n"/>
      <c r="F459" s="20" t="n"/>
      <c r="G459" s="20" t="n"/>
      <c r="H459" s="8" t="n"/>
      <c r="I459" s="20" t="n"/>
      <c r="J459" s="21">
        <f>IF(B459="","",F459+G459)</f>
        <v/>
      </c>
      <c r="K459" s="21">
        <f>IF(B459="","",J459*(Settings!$C$11+Settings!$C$12+Settings!$C$14)+IF(C459="",Settings!$C$13,IF(COUNTIF($C$5:C459,C459)=1,Settings!$C$13,0))+E459*Settings!$C$15+IF(H459="Yes",J459*Settings!$C$16,0))</f>
        <v/>
      </c>
      <c r="L459" s="21">
        <f>IF(B459="","",IF(Settings!$C$5="Yes",0,K459*Settings!$C$17))</f>
        <v/>
      </c>
      <c r="M459" s="21">
        <f>IF(B459="","",E459*IFERROR(VLOOKUP(D459,Products!$B$5:$F$204,5,FALSE),0))</f>
        <v/>
      </c>
      <c r="N459" s="21">
        <f>IF(B459="","",J459-K459-L459-M459-I459)</f>
        <v/>
      </c>
    </row>
    <row r="460">
      <c r="B460" s="11" t="n"/>
      <c r="C460" s="8" t="n"/>
      <c r="D460" s="8" t="n"/>
      <c r="E460" s="8" t="n"/>
      <c r="F460" s="20" t="n"/>
      <c r="G460" s="20" t="n"/>
      <c r="H460" s="8" t="n"/>
      <c r="I460" s="20" t="n"/>
      <c r="J460" s="21">
        <f>IF(B460="","",F460+G460)</f>
        <v/>
      </c>
      <c r="K460" s="21">
        <f>IF(B460="","",J460*(Settings!$C$11+Settings!$C$12+Settings!$C$14)+IF(C460="",Settings!$C$13,IF(COUNTIF($C$5:C460,C460)=1,Settings!$C$13,0))+E460*Settings!$C$15+IF(H460="Yes",J460*Settings!$C$16,0))</f>
        <v/>
      </c>
      <c r="L460" s="21">
        <f>IF(B460="","",IF(Settings!$C$5="Yes",0,K460*Settings!$C$17))</f>
        <v/>
      </c>
      <c r="M460" s="21">
        <f>IF(B460="","",E460*IFERROR(VLOOKUP(D460,Products!$B$5:$F$204,5,FALSE),0))</f>
        <v/>
      </c>
      <c r="N460" s="21">
        <f>IF(B460="","",J460-K460-L460-M460-I460)</f>
        <v/>
      </c>
    </row>
    <row r="461">
      <c r="B461" s="11" t="n"/>
      <c r="C461" s="8" t="n"/>
      <c r="D461" s="8" t="n"/>
      <c r="E461" s="8" t="n"/>
      <c r="F461" s="20" t="n"/>
      <c r="G461" s="20" t="n"/>
      <c r="H461" s="8" t="n"/>
      <c r="I461" s="20" t="n"/>
      <c r="J461" s="21">
        <f>IF(B461="","",F461+G461)</f>
        <v/>
      </c>
      <c r="K461" s="21">
        <f>IF(B461="","",J461*(Settings!$C$11+Settings!$C$12+Settings!$C$14)+IF(C461="",Settings!$C$13,IF(COUNTIF($C$5:C461,C461)=1,Settings!$C$13,0))+E461*Settings!$C$15+IF(H461="Yes",J461*Settings!$C$16,0))</f>
        <v/>
      </c>
      <c r="L461" s="21">
        <f>IF(B461="","",IF(Settings!$C$5="Yes",0,K461*Settings!$C$17))</f>
        <v/>
      </c>
      <c r="M461" s="21">
        <f>IF(B461="","",E461*IFERROR(VLOOKUP(D461,Products!$B$5:$F$204,5,FALSE),0))</f>
        <v/>
      </c>
      <c r="N461" s="21">
        <f>IF(B461="","",J461-K461-L461-M461-I461)</f>
        <v/>
      </c>
    </row>
    <row r="462">
      <c r="B462" s="11" t="n"/>
      <c r="C462" s="8" t="n"/>
      <c r="D462" s="8" t="n"/>
      <c r="E462" s="8" t="n"/>
      <c r="F462" s="20" t="n"/>
      <c r="G462" s="20" t="n"/>
      <c r="H462" s="8" t="n"/>
      <c r="I462" s="20" t="n"/>
      <c r="J462" s="21">
        <f>IF(B462="","",F462+G462)</f>
        <v/>
      </c>
      <c r="K462" s="21">
        <f>IF(B462="","",J462*(Settings!$C$11+Settings!$C$12+Settings!$C$14)+IF(C462="",Settings!$C$13,IF(COUNTIF($C$5:C462,C462)=1,Settings!$C$13,0))+E462*Settings!$C$15+IF(H462="Yes",J462*Settings!$C$16,0))</f>
        <v/>
      </c>
      <c r="L462" s="21">
        <f>IF(B462="","",IF(Settings!$C$5="Yes",0,K462*Settings!$C$17))</f>
        <v/>
      </c>
      <c r="M462" s="21">
        <f>IF(B462="","",E462*IFERROR(VLOOKUP(D462,Products!$B$5:$F$204,5,FALSE),0))</f>
        <v/>
      </c>
      <c r="N462" s="21">
        <f>IF(B462="","",J462-K462-L462-M462-I462)</f>
        <v/>
      </c>
    </row>
    <row r="463">
      <c r="B463" s="11" t="n"/>
      <c r="C463" s="8" t="n"/>
      <c r="D463" s="8" t="n"/>
      <c r="E463" s="8" t="n"/>
      <c r="F463" s="20" t="n"/>
      <c r="G463" s="20" t="n"/>
      <c r="H463" s="8" t="n"/>
      <c r="I463" s="20" t="n"/>
      <c r="J463" s="21">
        <f>IF(B463="","",F463+G463)</f>
        <v/>
      </c>
      <c r="K463" s="21">
        <f>IF(B463="","",J463*(Settings!$C$11+Settings!$C$12+Settings!$C$14)+IF(C463="",Settings!$C$13,IF(COUNTIF($C$5:C463,C463)=1,Settings!$C$13,0))+E463*Settings!$C$15+IF(H463="Yes",J463*Settings!$C$16,0))</f>
        <v/>
      </c>
      <c r="L463" s="21">
        <f>IF(B463="","",IF(Settings!$C$5="Yes",0,K463*Settings!$C$17))</f>
        <v/>
      </c>
      <c r="M463" s="21">
        <f>IF(B463="","",E463*IFERROR(VLOOKUP(D463,Products!$B$5:$F$204,5,FALSE),0))</f>
        <v/>
      </c>
      <c r="N463" s="21">
        <f>IF(B463="","",J463-K463-L463-M463-I463)</f>
        <v/>
      </c>
    </row>
    <row r="464">
      <c r="B464" s="11" t="n"/>
      <c r="C464" s="8" t="n"/>
      <c r="D464" s="8" t="n"/>
      <c r="E464" s="8" t="n"/>
      <c r="F464" s="20" t="n"/>
      <c r="G464" s="20" t="n"/>
      <c r="H464" s="8" t="n"/>
      <c r="I464" s="20" t="n"/>
      <c r="J464" s="21">
        <f>IF(B464="","",F464+G464)</f>
        <v/>
      </c>
      <c r="K464" s="21">
        <f>IF(B464="","",J464*(Settings!$C$11+Settings!$C$12+Settings!$C$14)+IF(C464="",Settings!$C$13,IF(COUNTIF($C$5:C464,C464)=1,Settings!$C$13,0))+E464*Settings!$C$15+IF(H464="Yes",J464*Settings!$C$16,0))</f>
        <v/>
      </c>
      <c r="L464" s="21">
        <f>IF(B464="","",IF(Settings!$C$5="Yes",0,K464*Settings!$C$17))</f>
        <v/>
      </c>
      <c r="M464" s="21">
        <f>IF(B464="","",E464*IFERROR(VLOOKUP(D464,Products!$B$5:$F$204,5,FALSE),0))</f>
        <v/>
      </c>
      <c r="N464" s="21">
        <f>IF(B464="","",J464-K464-L464-M464-I464)</f>
        <v/>
      </c>
    </row>
    <row r="465">
      <c r="B465" s="11" t="n"/>
      <c r="C465" s="8" t="n"/>
      <c r="D465" s="8" t="n"/>
      <c r="E465" s="8" t="n"/>
      <c r="F465" s="20" t="n"/>
      <c r="G465" s="20" t="n"/>
      <c r="H465" s="8" t="n"/>
      <c r="I465" s="20" t="n"/>
      <c r="J465" s="21">
        <f>IF(B465="","",F465+G465)</f>
        <v/>
      </c>
      <c r="K465" s="21">
        <f>IF(B465="","",J465*(Settings!$C$11+Settings!$C$12+Settings!$C$14)+IF(C465="",Settings!$C$13,IF(COUNTIF($C$5:C465,C465)=1,Settings!$C$13,0))+E465*Settings!$C$15+IF(H465="Yes",J465*Settings!$C$16,0))</f>
        <v/>
      </c>
      <c r="L465" s="21">
        <f>IF(B465="","",IF(Settings!$C$5="Yes",0,K465*Settings!$C$17))</f>
        <v/>
      </c>
      <c r="M465" s="21">
        <f>IF(B465="","",E465*IFERROR(VLOOKUP(D465,Products!$B$5:$F$204,5,FALSE),0))</f>
        <v/>
      </c>
      <c r="N465" s="21">
        <f>IF(B465="","",J465-K465-L465-M465-I465)</f>
        <v/>
      </c>
    </row>
    <row r="466">
      <c r="B466" s="11" t="n"/>
      <c r="C466" s="8" t="n"/>
      <c r="D466" s="8" t="n"/>
      <c r="E466" s="8" t="n"/>
      <c r="F466" s="20" t="n"/>
      <c r="G466" s="20" t="n"/>
      <c r="H466" s="8" t="n"/>
      <c r="I466" s="20" t="n"/>
      <c r="J466" s="21">
        <f>IF(B466="","",F466+G466)</f>
        <v/>
      </c>
      <c r="K466" s="21">
        <f>IF(B466="","",J466*(Settings!$C$11+Settings!$C$12+Settings!$C$14)+IF(C466="",Settings!$C$13,IF(COUNTIF($C$5:C466,C466)=1,Settings!$C$13,0))+E466*Settings!$C$15+IF(H466="Yes",J466*Settings!$C$16,0))</f>
        <v/>
      </c>
      <c r="L466" s="21">
        <f>IF(B466="","",IF(Settings!$C$5="Yes",0,K466*Settings!$C$17))</f>
        <v/>
      </c>
      <c r="M466" s="21">
        <f>IF(B466="","",E466*IFERROR(VLOOKUP(D466,Products!$B$5:$F$204,5,FALSE),0))</f>
        <v/>
      </c>
      <c r="N466" s="21">
        <f>IF(B466="","",J466-K466-L466-M466-I466)</f>
        <v/>
      </c>
    </row>
    <row r="467">
      <c r="B467" s="11" t="n"/>
      <c r="C467" s="8" t="n"/>
      <c r="D467" s="8" t="n"/>
      <c r="E467" s="8" t="n"/>
      <c r="F467" s="20" t="n"/>
      <c r="G467" s="20" t="n"/>
      <c r="H467" s="8" t="n"/>
      <c r="I467" s="20" t="n"/>
      <c r="J467" s="21">
        <f>IF(B467="","",F467+G467)</f>
        <v/>
      </c>
      <c r="K467" s="21">
        <f>IF(B467="","",J467*(Settings!$C$11+Settings!$C$12+Settings!$C$14)+IF(C467="",Settings!$C$13,IF(COUNTIF($C$5:C467,C467)=1,Settings!$C$13,0))+E467*Settings!$C$15+IF(H467="Yes",J467*Settings!$C$16,0))</f>
        <v/>
      </c>
      <c r="L467" s="21">
        <f>IF(B467="","",IF(Settings!$C$5="Yes",0,K467*Settings!$C$17))</f>
        <v/>
      </c>
      <c r="M467" s="21">
        <f>IF(B467="","",E467*IFERROR(VLOOKUP(D467,Products!$B$5:$F$204,5,FALSE),0))</f>
        <v/>
      </c>
      <c r="N467" s="21">
        <f>IF(B467="","",J467-K467-L467-M467-I467)</f>
        <v/>
      </c>
    </row>
    <row r="468">
      <c r="B468" s="11" t="n"/>
      <c r="C468" s="8" t="n"/>
      <c r="D468" s="8" t="n"/>
      <c r="E468" s="8" t="n"/>
      <c r="F468" s="20" t="n"/>
      <c r="G468" s="20" t="n"/>
      <c r="H468" s="8" t="n"/>
      <c r="I468" s="20" t="n"/>
      <c r="J468" s="21">
        <f>IF(B468="","",F468+G468)</f>
        <v/>
      </c>
      <c r="K468" s="21">
        <f>IF(B468="","",J468*(Settings!$C$11+Settings!$C$12+Settings!$C$14)+IF(C468="",Settings!$C$13,IF(COUNTIF($C$5:C468,C468)=1,Settings!$C$13,0))+E468*Settings!$C$15+IF(H468="Yes",J468*Settings!$C$16,0))</f>
        <v/>
      </c>
      <c r="L468" s="21">
        <f>IF(B468="","",IF(Settings!$C$5="Yes",0,K468*Settings!$C$17))</f>
        <v/>
      </c>
      <c r="M468" s="21">
        <f>IF(B468="","",E468*IFERROR(VLOOKUP(D468,Products!$B$5:$F$204,5,FALSE),0))</f>
        <v/>
      </c>
      <c r="N468" s="21">
        <f>IF(B468="","",J468-K468-L468-M468-I468)</f>
        <v/>
      </c>
    </row>
    <row r="469">
      <c r="B469" s="11" t="n"/>
      <c r="C469" s="8" t="n"/>
      <c r="D469" s="8" t="n"/>
      <c r="E469" s="8" t="n"/>
      <c r="F469" s="20" t="n"/>
      <c r="G469" s="20" t="n"/>
      <c r="H469" s="8" t="n"/>
      <c r="I469" s="20" t="n"/>
      <c r="J469" s="21">
        <f>IF(B469="","",F469+G469)</f>
        <v/>
      </c>
      <c r="K469" s="21">
        <f>IF(B469="","",J469*(Settings!$C$11+Settings!$C$12+Settings!$C$14)+IF(C469="",Settings!$C$13,IF(COUNTIF($C$5:C469,C469)=1,Settings!$C$13,0))+E469*Settings!$C$15+IF(H469="Yes",J469*Settings!$C$16,0))</f>
        <v/>
      </c>
      <c r="L469" s="21">
        <f>IF(B469="","",IF(Settings!$C$5="Yes",0,K469*Settings!$C$17))</f>
        <v/>
      </c>
      <c r="M469" s="21">
        <f>IF(B469="","",E469*IFERROR(VLOOKUP(D469,Products!$B$5:$F$204,5,FALSE),0))</f>
        <v/>
      </c>
      <c r="N469" s="21">
        <f>IF(B469="","",J469-K469-L469-M469-I469)</f>
        <v/>
      </c>
    </row>
    <row r="470">
      <c r="B470" s="11" t="n"/>
      <c r="C470" s="8" t="n"/>
      <c r="D470" s="8" t="n"/>
      <c r="E470" s="8" t="n"/>
      <c r="F470" s="20" t="n"/>
      <c r="G470" s="20" t="n"/>
      <c r="H470" s="8" t="n"/>
      <c r="I470" s="20" t="n"/>
      <c r="J470" s="21">
        <f>IF(B470="","",F470+G470)</f>
        <v/>
      </c>
      <c r="K470" s="21">
        <f>IF(B470="","",J470*(Settings!$C$11+Settings!$C$12+Settings!$C$14)+IF(C470="",Settings!$C$13,IF(COUNTIF($C$5:C470,C470)=1,Settings!$C$13,0))+E470*Settings!$C$15+IF(H470="Yes",J470*Settings!$C$16,0))</f>
        <v/>
      </c>
      <c r="L470" s="21">
        <f>IF(B470="","",IF(Settings!$C$5="Yes",0,K470*Settings!$C$17))</f>
        <v/>
      </c>
      <c r="M470" s="21">
        <f>IF(B470="","",E470*IFERROR(VLOOKUP(D470,Products!$B$5:$F$204,5,FALSE),0))</f>
        <v/>
      </c>
      <c r="N470" s="21">
        <f>IF(B470="","",J470-K470-L470-M470-I470)</f>
        <v/>
      </c>
    </row>
    <row r="471">
      <c r="B471" s="11" t="n"/>
      <c r="C471" s="8" t="n"/>
      <c r="D471" s="8" t="n"/>
      <c r="E471" s="8" t="n"/>
      <c r="F471" s="20" t="n"/>
      <c r="G471" s="20" t="n"/>
      <c r="H471" s="8" t="n"/>
      <c r="I471" s="20" t="n"/>
      <c r="J471" s="21">
        <f>IF(B471="","",F471+G471)</f>
        <v/>
      </c>
      <c r="K471" s="21">
        <f>IF(B471="","",J471*(Settings!$C$11+Settings!$C$12+Settings!$C$14)+IF(C471="",Settings!$C$13,IF(COUNTIF($C$5:C471,C471)=1,Settings!$C$13,0))+E471*Settings!$C$15+IF(H471="Yes",J471*Settings!$C$16,0))</f>
        <v/>
      </c>
      <c r="L471" s="21">
        <f>IF(B471="","",IF(Settings!$C$5="Yes",0,K471*Settings!$C$17))</f>
        <v/>
      </c>
      <c r="M471" s="21">
        <f>IF(B471="","",E471*IFERROR(VLOOKUP(D471,Products!$B$5:$F$204,5,FALSE),0))</f>
        <v/>
      </c>
      <c r="N471" s="21">
        <f>IF(B471="","",J471-K471-L471-M471-I471)</f>
        <v/>
      </c>
    </row>
    <row r="472">
      <c r="B472" s="11" t="n"/>
      <c r="C472" s="8" t="n"/>
      <c r="D472" s="8" t="n"/>
      <c r="E472" s="8" t="n"/>
      <c r="F472" s="20" t="n"/>
      <c r="G472" s="20" t="n"/>
      <c r="H472" s="8" t="n"/>
      <c r="I472" s="20" t="n"/>
      <c r="J472" s="21">
        <f>IF(B472="","",F472+G472)</f>
        <v/>
      </c>
      <c r="K472" s="21">
        <f>IF(B472="","",J472*(Settings!$C$11+Settings!$C$12+Settings!$C$14)+IF(C472="",Settings!$C$13,IF(COUNTIF($C$5:C472,C472)=1,Settings!$C$13,0))+E472*Settings!$C$15+IF(H472="Yes",J472*Settings!$C$16,0))</f>
        <v/>
      </c>
      <c r="L472" s="21">
        <f>IF(B472="","",IF(Settings!$C$5="Yes",0,K472*Settings!$C$17))</f>
        <v/>
      </c>
      <c r="M472" s="21">
        <f>IF(B472="","",E472*IFERROR(VLOOKUP(D472,Products!$B$5:$F$204,5,FALSE),0))</f>
        <v/>
      </c>
      <c r="N472" s="21">
        <f>IF(B472="","",J472-K472-L472-M472-I472)</f>
        <v/>
      </c>
    </row>
    <row r="473">
      <c r="B473" s="11" t="n"/>
      <c r="C473" s="8" t="n"/>
      <c r="D473" s="8" t="n"/>
      <c r="E473" s="8" t="n"/>
      <c r="F473" s="20" t="n"/>
      <c r="G473" s="20" t="n"/>
      <c r="H473" s="8" t="n"/>
      <c r="I473" s="20" t="n"/>
      <c r="J473" s="21">
        <f>IF(B473="","",F473+G473)</f>
        <v/>
      </c>
      <c r="K473" s="21">
        <f>IF(B473="","",J473*(Settings!$C$11+Settings!$C$12+Settings!$C$14)+IF(C473="",Settings!$C$13,IF(COUNTIF($C$5:C473,C473)=1,Settings!$C$13,0))+E473*Settings!$C$15+IF(H473="Yes",J473*Settings!$C$16,0))</f>
        <v/>
      </c>
      <c r="L473" s="21">
        <f>IF(B473="","",IF(Settings!$C$5="Yes",0,K473*Settings!$C$17))</f>
        <v/>
      </c>
      <c r="M473" s="21">
        <f>IF(B473="","",E473*IFERROR(VLOOKUP(D473,Products!$B$5:$F$204,5,FALSE),0))</f>
        <v/>
      </c>
      <c r="N473" s="21">
        <f>IF(B473="","",J473-K473-L473-M473-I473)</f>
        <v/>
      </c>
    </row>
    <row r="474">
      <c r="B474" s="11" t="n"/>
      <c r="C474" s="8" t="n"/>
      <c r="D474" s="8" t="n"/>
      <c r="E474" s="8" t="n"/>
      <c r="F474" s="20" t="n"/>
      <c r="G474" s="20" t="n"/>
      <c r="H474" s="8" t="n"/>
      <c r="I474" s="20" t="n"/>
      <c r="J474" s="21">
        <f>IF(B474="","",F474+G474)</f>
        <v/>
      </c>
      <c r="K474" s="21">
        <f>IF(B474="","",J474*(Settings!$C$11+Settings!$C$12+Settings!$C$14)+IF(C474="",Settings!$C$13,IF(COUNTIF($C$5:C474,C474)=1,Settings!$C$13,0))+E474*Settings!$C$15+IF(H474="Yes",J474*Settings!$C$16,0))</f>
        <v/>
      </c>
      <c r="L474" s="21">
        <f>IF(B474="","",IF(Settings!$C$5="Yes",0,K474*Settings!$C$17))</f>
        <v/>
      </c>
      <c r="M474" s="21">
        <f>IF(B474="","",E474*IFERROR(VLOOKUP(D474,Products!$B$5:$F$204,5,FALSE),0))</f>
        <v/>
      </c>
      <c r="N474" s="21">
        <f>IF(B474="","",J474-K474-L474-M474-I474)</f>
        <v/>
      </c>
    </row>
    <row r="475">
      <c r="B475" s="11" t="n"/>
      <c r="C475" s="8" t="n"/>
      <c r="D475" s="8" t="n"/>
      <c r="E475" s="8" t="n"/>
      <c r="F475" s="20" t="n"/>
      <c r="G475" s="20" t="n"/>
      <c r="H475" s="8" t="n"/>
      <c r="I475" s="20" t="n"/>
      <c r="J475" s="21">
        <f>IF(B475="","",F475+G475)</f>
        <v/>
      </c>
      <c r="K475" s="21">
        <f>IF(B475="","",J475*(Settings!$C$11+Settings!$C$12+Settings!$C$14)+IF(C475="",Settings!$C$13,IF(COUNTIF($C$5:C475,C475)=1,Settings!$C$13,0))+E475*Settings!$C$15+IF(H475="Yes",J475*Settings!$C$16,0))</f>
        <v/>
      </c>
      <c r="L475" s="21">
        <f>IF(B475="","",IF(Settings!$C$5="Yes",0,K475*Settings!$C$17))</f>
        <v/>
      </c>
      <c r="M475" s="21">
        <f>IF(B475="","",E475*IFERROR(VLOOKUP(D475,Products!$B$5:$F$204,5,FALSE),0))</f>
        <v/>
      </c>
      <c r="N475" s="21">
        <f>IF(B475="","",J475-K475-L475-M475-I475)</f>
        <v/>
      </c>
    </row>
    <row r="476">
      <c r="B476" s="11" t="n"/>
      <c r="C476" s="8" t="n"/>
      <c r="D476" s="8" t="n"/>
      <c r="E476" s="8" t="n"/>
      <c r="F476" s="20" t="n"/>
      <c r="G476" s="20" t="n"/>
      <c r="H476" s="8" t="n"/>
      <c r="I476" s="20" t="n"/>
      <c r="J476" s="21">
        <f>IF(B476="","",F476+G476)</f>
        <v/>
      </c>
      <c r="K476" s="21">
        <f>IF(B476="","",J476*(Settings!$C$11+Settings!$C$12+Settings!$C$14)+IF(C476="",Settings!$C$13,IF(COUNTIF($C$5:C476,C476)=1,Settings!$C$13,0))+E476*Settings!$C$15+IF(H476="Yes",J476*Settings!$C$16,0))</f>
        <v/>
      </c>
      <c r="L476" s="21">
        <f>IF(B476="","",IF(Settings!$C$5="Yes",0,K476*Settings!$C$17))</f>
        <v/>
      </c>
      <c r="M476" s="21">
        <f>IF(B476="","",E476*IFERROR(VLOOKUP(D476,Products!$B$5:$F$204,5,FALSE),0))</f>
        <v/>
      </c>
      <c r="N476" s="21">
        <f>IF(B476="","",J476-K476-L476-M476-I476)</f>
        <v/>
      </c>
    </row>
    <row r="477">
      <c r="B477" s="11" t="n"/>
      <c r="C477" s="8" t="n"/>
      <c r="D477" s="8" t="n"/>
      <c r="E477" s="8" t="n"/>
      <c r="F477" s="20" t="n"/>
      <c r="G477" s="20" t="n"/>
      <c r="H477" s="8" t="n"/>
      <c r="I477" s="20" t="n"/>
      <c r="J477" s="21">
        <f>IF(B477="","",F477+G477)</f>
        <v/>
      </c>
      <c r="K477" s="21">
        <f>IF(B477="","",J477*(Settings!$C$11+Settings!$C$12+Settings!$C$14)+IF(C477="",Settings!$C$13,IF(COUNTIF($C$5:C477,C477)=1,Settings!$C$13,0))+E477*Settings!$C$15+IF(H477="Yes",J477*Settings!$C$16,0))</f>
        <v/>
      </c>
      <c r="L477" s="21">
        <f>IF(B477="","",IF(Settings!$C$5="Yes",0,K477*Settings!$C$17))</f>
        <v/>
      </c>
      <c r="M477" s="21">
        <f>IF(B477="","",E477*IFERROR(VLOOKUP(D477,Products!$B$5:$F$204,5,FALSE),0))</f>
        <v/>
      </c>
      <c r="N477" s="21">
        <f>IF(B477="","",J477-K477-L477-M477-I477)</f>
        <v/>
      </c>
    </row>
    <row r="478">
      <c r="B478" s="11" t="n"/>
      <c r="C478" s="8" t="n"/>
      <c r="D478" s="8" t="n"/>
      <c r="E478" s="8" t="n"/>
      <c r="F478" s="20" t="n"/>
      <c r="G478" s="20" t="n"/>
      <c r="H478" s="8" t="n"/>
      <c r="I478" s="20" t="n"/>
      <c r="J478" s="21">
        <f>IF(B478="","",F478+G478)</f>
        <v/>
      </c>
      <c r="K478" s="21">
        <f>IF(B478="","",J478*(Settings!$C$11+Settings!$C$12+Settings!$C$14)+IF(C478="",Settings!$C$13,IF(COUNTIF($C$5:C478,C478)=1,Settings!$C$13,0))+E478*Settings!$C$15+IF(H478="Yes",J478*Settings!$C$16,0))</f>
        <v/>
      </c>
      <c r="L478" s="21">
        <f>IF(B478="","",IF(Settings!$C$5="Yes",0,K478*Settings!$C$17))</f>
        <v/>
      </c>
      <c r="M478" s="21">
        <f>IF(B478="","",E478*IFERROR(VLOOKUP(D478,Products!$B$5:$F$204,5,FALSE),0))</f>
        <v/>
      </c>
      <c r="N478" s="21">
        <f>IF(B478="","",J478-K478-L478-M478-I478)</f>
        <v/>
      </c>
    </row>
    <row r="479">
      <c r="B479" s="11" t="n"/>
      <c r="C479" s="8" t="n"/>
      <c r="D479" s="8" t="n"/>
      <c r="E479" s="8" t="n"/>
      <c r="F479" s="20" t="n"/>
      <c r="G479" s="20" t="n"/>
      <c r="H479" s="8" t="n"/>
      <c r="I479" s="20" t="n"/>
      <c r="J479" s="21">
        <f>IF(B479="","",F479+G479)</f>
        <v/>
      </c>
      <c r="K479" s="21">
        <f>IF(B479="","",J479*(Settings!$C$11+Settings!$C$12+Settings!$C$14)+IF(C479="",Settings!$C$13,IF(COUNTIF($C$5:C479,C479)=1,Settings!$C$13,0))+E479*Settings!$C$15+IF(H479="Yes",J479*Settings!$C$16,0))</f>
        <v/>
      </c>
      <c r="L479" s="21">
        <f>IF(B479="","",IF(Settings!$C$5="Yes",0,K479*Settings!$C$17))</f>
        <v/>
      </c>
      <c r="M479" s="21">
        <f>IF(B479="","",E479*IFERROR(VLOOKUP(D479,Products!$B$5:$F$204,5,FALSE),0))</f>
        <v/>
      </c>
      <c r="N479" s="21">
        <f>IF(B479="","",J479-K479-L479-M479-I479)</f>
        <v/>
      </c>
    </row>
    <row r="480">
      <c r="B480" s="11" t="n"/>
      <c r="C480" s="8" t="n"/>
      <c r="D480" s="8" t="n"/>
      <c r="E480" s="8" t="n"/>
      <c r="F480" s="20" t="n"/>
      <c r="G480" s="20" t="n"/>
      <c r="H480" s="8" t="n"/>
      <c r="I480" s="20" t="n"/>
      <c r="J480" s="21">
        <f>IF(B480="","",F480+G480)</f>
        <v/>
      </c>
      <c r="K480" s="21">
        <f>IF(B480="","",J480*(Settings!$C$11+Settings!$C$12+Settings!$C$14)+IF(C480="",Settings!$C$13,IF(COUNTIF($C$5:C480,C480)=1,Settings!$C$13,0))+E480*Settings!$C$15+IF(H480="Yes",J480*Settings!$C$16,0))</f>
        <v/>
      </c>
      <c r="L480" s="21">
        <f>IF(B480="","",IF(Settings!$C$5="Yes",0,K480*Settings!$C$17))</f>
        <v/>
      </c>
      <c r="M480" s="21">
        <f>IF(B480="","",E480*IFERROR(VLOOKUP(D480,Products!$B$5:$F$204,5,FALSE),0))</f>
        <v/>
      </c>
      <c r="N480" s="21">
        <f>IF(B480="","",J480-K480-L480-M480-I480)</f>
        <v/>
      </c>
    </row>
    <row r="481">
      <c r="B481" s="11" t="n"/>
      <c r="C481" s="8" t="n"/>
      <c r="D481" s="8" t="n"/>
      <c r="E481" s="8" t="n"/>
      <c r="F481" s="20" t="n"/>
      <c r="G481" s="20" t="n"/>
      <c r="H481" s="8" t="n"/>
      <c r="I481" s="20" t="n"/>
      <c r="J481" s="21">
        <f>IF(B481="","",F481+G481)</f>
        <v/>
      </c>
      <c r="K481" s="21">
        <f>IF(B481="","",J481*(Settings!$C$11+Settings!$C$12+Settings!$C$14)+IF(C481="",Settings!$C$13,IF(COUNTIF($C$5:C481,C481)=1,Settings!$C$13,0))+E481*Settings!$C$15+IF(H481="Yes",J481*Settings!$C$16,0))</f>
        <v/>
      </c>
      <c r="L481" s="21">
        <f>IF(B481="","",IF(Settings!$C$5="Yes",0,K481*Settings!$C$17))</f>
        <v/>
      </c>
      <c r="M481" s="21">
        <f>IF(B481="","",E481*IFERROR(VLOOKUP(D481,Products!$B$5:$F$204,5,FALSE),0))</f>
        <v/>
      </c>
      <c r="N481" s="21">
        <f>IF(B481="","",J481-K481-L481-M481-I481)</f>
        <v/>
      </c>
    </row>
    <row r="482">
      <c r="B482" s="11" t="n"/>
      <c r="C482" s="8" t="n"/>
      <c r="D482" s="8" t="n"/>
      <c r="E482" s="8" t="n"/>
      <c r="F482" s="20" t="n"/>
      <c r="G482" s="20" t="n"/>
      <c r="H482" s="8" t="n"/>
      <c r="I482" s="20" t="n"/>
      <c r="J482" s="21">
        <f>IF(B482="","",F482+G482)</f>
        <v/>
      </c>
      <c r="K482" s="21">
        <f>IF(B482="","",J482*(Settings!$C$11+Settings!$C$12+Settings!$C$14)+IF(C482="",Settings!$C$13,IF(COUNTIF($C$5:C482,C482)=1,Settings!$C$13,0))+E482*Settings!$C$15+IF(H482="Yes",J482*Settings!$C$16,0))</f>
        <v/>
      </c>
      <c r="L482" s="21">
        <f>IF(B482="","",IF(Settings!$C$5="Yes",0,K482*Settings!$C$17))</f>
        <v/>
      </c>
      <c r="M482" s="21">
        <f>IF(B482="","",E482*IFERROR(VLOOKUP(D482,Products!$B$5:$F$204,5,FALSE),0))</f>
        <v/>
      </c>
      <c r="N482" s="21">
        <f>IF(B482="","",J482-K482-L482-M482-I482)</f>
        <v/>
      </c>
    </row>
    <row r="483">
      <c r="B483" s="11" t="n"/>
      <c r="C483" s="8" t="n"/>
      <c r="D483" s="8" t="n"/>
      <c r="E483" s="8" t="n"/>
      <c r="F483" s="20" t="n"/>
      <c r="G483" s="20" t="n"/>
      <c r="H483" s="8" t="n"/>
      <c r="I483" s="20" t="n"/>
      <c r="J483" s="21">
        <f>IF(B483="","",F483+G483)</f>
        <v/>
      </c>
      <c r="K483" s="21">
        <f>IF(B483="","",J483*(Settings!$C$11+Settings!$C$12+Settings!$C$14)+IF(C483="",Settings!$C$13,IF(COUNTIF($C$5:C483,C483)=1,Settings!$C$13,0))+E483*Settings!$C$15+IF(H483="Yes",J483*Settings!$C$16,0))</f>
        <v/>
      </c>
      <c r="L483" s="21">
        <f>IF(B483="","",IF(Settings!$C$5="Yes",0,K483*Settings!$C$17))</f>
        <v/>
      </c>
      <c r="M483" s="21">
        <f>IF(B483="","",E483*IFERROR(VLOOKUP(D483,Products!$B$5:$F$204,5,FALSE),0))</f>
        <v/>
      </c>
      <c r="N483" s="21">
        <f>IF(B483="","",J483-K483-L483-M483-I483)</f>
        <v/>
      </c>
    </row>
    <row r="484">
      <c r="B484" s="11" t="n"/>
      <c r="C484" s="8" t="n"/>
      <c r="D484" s="8" t="n"/>
      <c r="E484" s="8" t="n"/>
      <c r="F484" s="20" t="n"/>
      <c r="G484" s="20" t="n"/>
      <c r="H484" s="8" t="n"/>
      <c r="I484" s="20" t="n"/>
      <c r="J484" s="21">
        <f>IF(B484="","",F484+G484)</f>
        <v/>
      </c>
      <c r="K484" s="21">
        <f>IF(B484="","",J484*(Settings!$C$11+Settings!$C$12+Settings!$C$14)+IF(C484="",Settings!$C$13,IF(COUNTIF($C$5:C484,C484)=1,Settings!$C$13,0))+E484*Settings!$C$15+IF(H484="Yes",J484*Settings!$C$16,0))</f>
        <v/>
      </c>
      <c r="L484" s="21">
        <f>IF(B484="","",IF(Settings!$C$5="Yes",0,K484*Settings!$C$17))</f>
        <v/>
      </c>
      <c r="M484" s="21">
        <f>IF(B484="","",E484*IFERROR(VLOOKUP(D484,Products!$B$5:$F$204,5,FALSE),0))</f>
        <v/>
      </c>
      <c r="N484" s="21">
        <f>IF(B484="","",J484-K484-L484-M484-I484)</f>
        <v/>
      </c>
    </row>
    <row r="485">
      <c r="B485" s="11" t="n"/>
      <c r="C485" s="8" t="n"/>
      <c r="D485" s="8" t="n"/>
      <c r="E485" s="8" t="n"/>
      <c r="F485" s="20" t="n"/>
      <c r="G485" s="20" t="n"/>
      <c r="H485" s="8" t="n"/>
      <c r="I485" s="20" t="n"/>
      <c r="J485" s="21">
        <f>IF(B485="","",F485+G485)</f>
        <v/>
      </c>
      <c r="K485" s="21">
        <f>IF(B485="","",J485*(Settings!$C$11+Settings!$C$12+Settings!$C$14)+IF(C485="",Settings!$C$13,IF(COUNTIF($C$5:C485,C485)=1,Settings!$C$13,0))+E485*Settings!$C$15+IF(H485="Yes",J485*Settings!$C$16,0))</f>
        <v/>
      </c>
      <c r="L485" s="21">
        <f>IF(B485="","",IF(Settings!$C$5="Yes",0,K485*Settings!$C$17))</f>
        <v/>
      </c>
      <c r="M485" s="21">
        <f>IF(B485="","",E485*IFERROR(VLOOKUP(D485,Products!$B$5:$F$204,5,FALSE),0))</f>
        <v/>
      </c>
      <c r="N485" s="21">
        <f>IF(B485="","",J485-K485-L485-M485-I485)</f>
        <v/>
      </c>
    </row>
    <row r="486">
      <c r="B486" s="11" t="n"/>
      <c r="C486" s="8" t="n"/>
      <c r="D486" s="8" t="n"/>
      <c r="E486" s="8" t="n"/>
      <c r="F486" s="20" t="n"/>
      <c r="G486" s="20" t="n"/>
      <c r="H486" s="8" t="n"/>
      <c r="I486" s="20" t="n"/>
      <c r="J486" s="21">
        <f>IF(B486="","",F486+G486)</f>
        <v/>
      </c>
      <c r="K486" s="21">
        <f>IF(B486="","",J486*(Settings!$C$11+Settings!$C$12+Settings!$C$14)+IF(C486="",Settings!$C$13,IF(COUNTIF($C$5:C486,C486)=1,Settings!$C$13,0))+E486*Settings!$C$15+IF(H486="Yes",J486*Settings!$C$16,0))</f>
        <v/>
      </c>
      <c r="L486" s="21">
        <f>IF(B486="","",IF(Settings!$C$5="Yes",0,K486*Settings!$C$17))</f>
        <v/>
      </c>
      <c r="M486" s="21">
        <f>IF(B486="","",E486*IFERROR(VLOOKUP(D486,Products!$B$5:$F$204,5,FALSE),0))</f>
        <v/>
      </c>
      <c r="N486" s="21">
        <f>IF(B486="","",J486-K486-L486-M486-I486)</f>
        <v/>
      </c>
    </row>
    <row r="487">
      <c r="B487" s="11" t="n"/>
      <c r="C487" s="8" t="n"/>
      <c r="D487" s="8" t="n"/>
      <c r="E487" s="8" t="n"/>
      <c r="F487" s="20" t="n"/>
      <c r="G487" s="20" t="n"/>
      <c r="H487" s="8" t="n"/>
      <c r="I487" s="20" t="n"/>
      <c r="J487" s="21">
        <f>IF(B487="","",F487+G487)</f>
        <v/>
      </c>
      <c r="K487" s="21">
        <f>IF(B487="","",J487*(Settings!$C$11+Settings!$C$12+Settings!$C$14)+IF(C487="",Settings!$C$13,IF(COUNTIF($C$5:C487,C487)=1,Settings!$C$13,0))+E487*Settings!$C$15+IF(H487="Yes",J487*Settings!$C$16,0))</f>
        <v/>
      </c>
      <c r="L487" s="21">
        <f>IF(B487="","",IF(Settings!$C$5="Yes",0,K487*Settings!$C$17))</f>
        <v/>
      </c>
      <c r="M487" s="21">
        <f>IF(B487="","",E487*IFERROR(VLOOKUP(D487,Products!$B$5:$F$204,5,FALSE),0))</f>
        <v/>
      </c>
      <c r="N487" s="21">
        <f>IF(B487="","",J487-K487-L487-M487-I487)</f>
        <v/>
      </c>
    </row>
    <row r="488">
      <c r="B488" s="11" t="n"/>
      <c r="C488" s="8" t="n"/>
      <c r="D488" s="8" t="n"/>
      <c r="E488" s="8" t="n"/>
      <c r="F488" s="20" t="n"/>
      <c r="G488" s="20" t="n"/>
      <c r="H488" s="8" t="n"/>
      <c r="I488" s="20" t="n"/>
      <c r="J488" s="21">
        <f>IF(B488="","",F488+G488)</f>
        <v/>
      </c>
      <c r="K488" s="21">
        <f>IF(B488="","",J488*(Settings!$C$11+Settings!$C$12+Settings!$C$14)+IF(C488="",Settings!$C$13,IF(COUNTIF($C$5:C488,C488)=1,Settings!$C$13,0))+E488*Settings!$C$15+IF(H488="Yes",J488*Settings!$C$16,0))</f>
        <v/>
      </c>
      <c r="L488" s="21">
        <f>IF(B488="","",IF(Settings!$C$5="Yes",0,K488*Settings!$C$17))</f>
        <v/>
      </c>
      <c r="M488" s="21">
        <f>IF(B488="","",E488*IFERROR(VLOOKUP(D488,Products!$B$5:$F$204,5,FALSE),0))</f>
        <v/>
      </c>
      <c r="N488" s="21">
        <f>IF(B488="","",J488-K488-L488-M488-I488)</f>
        <v/>
      </c>
    </row>
    <row r="489">
      <c r="B489" s="11" t="n"/>
      <c r="C489" s="8" t="n"/>
      <c r="D489" s="8" t="n"/>
      <c r="E489" s="8" t="n"/>
      <c r="F489" s="20" t="n"/>
      <c r="G489" s="20" t="n"/>
      <c r="H489" s="8" t="n"/>
      <c r="I489" s="20" t="n"/>
      <c r="J489" s="21">
        <f>IF(B489="","",F489+G489)</f>
        <v/>
      </c>
      <c r="K489" s="21">
        <f>IF(B489="","",J489*(Settings!$C$11+Settings!$C$12+Settings!$C$14)+IF(C489="",Settings!$C$13,IF(COUNTIF($C$5:C489,C489)=1,Settings!$C$13,0))+E489*Settings!$C$15+IF(H489="Yes",J489*Settings!$C$16,0))</f>
        <v/>
      </c>
      <c r="L489" s="21">
        <f>IF(B489="","",IF(Settings!$C$5="Yes",0,K489*Settings!$C$17))</f>
        <v/>
      </c>
      <c r="M489" s="21">
        <f>IF(B489="","",E489*IFERROR(VLOOKUP(D489,Products!$B$5:$F$204,5,FALSE),0))</f>
        <v/>
      </c>
      <c r="N489" s="21">
        <f>IF(B489="","",J489-K489-L489-M489-I489)</f>
        <v/>
      </c>
    </row>
    <row r="490">
      <c r="B490" s="11" t="n"/>
      <c r="C490" s="8" t="n"/>
      <c r="D490" s="8" t="n"/>
      <c r="E490" s="8" t="n"/>
      <c r="F490" s="20" t="n"/>
      <c r="G490" s="20" t="n"/>
      <c r="H490" s="8" t="n"/>
      <c r="I490" s="20" t="n"/>
      <c r="J490" s="21">
        <f>IF(B490="","",F490+G490)</f>
        <v/>
      </c>
      <c r="K490" s="21">
        <f>IF(B490="","",J490*(Settings!$C$11+Settings!$C$12+Settings!$C$14)+IF(C490="",Settings!$C$13,IF(COUNTIF($C$5:C490,C490)=1,Settings!$C$13,0))+E490*Settings!$C$15+IF(H490="Yes",J490*Settings!$C$16,0))</f>
        <v/>
      </c>
      <c r="L490" s="21">
        <f>IF(B490="","",IF(Settings!$C$5="Yes",0,K490*Settings!$C$17))</f>
        <v/>
      </c>
      <c r="M490" s="21">
        <f>IF(B490="","",E490*IFERROR(VLOOKUP(D490,Products!$B$5:$F$204,5,FALSE),0))</f>
        <v/>
      </c>
      <c r="N490" s="21">
        <f>IF(B490="","",J490-K490-L490-M490-I490)</f>
        <v/>
      </c>
    </row>
    <row r="491">
      <c r="B491" s="11" t="n"/>
      <c r="C491" s="8" t="n"/>
      <c r="D491" s="8" t="n"/>
      <c r="E491" s="8" t="n"/>
      <c r="F491" s="20" t="n"/>
      <c r="G491" s="20" t="n"/>
      <c r="H491" s="8" t="n"/>
      <c r="I491" s="20" t="n"/>
      <c r="J491" s="21">
        <f>IF(B491="","",F491+G491)</f>
        <v/>
      </c>
      <c r="K491" s="21">
        <f>IF(B491="","",J491*(Settings!$C$11+Settings!$C$12+Settings!$C$14)+IF(C491="",Settings!$C$13,IF(COUNTIF($C$5:C491,C491)=1,Settings!$C$13,0))+E491*Settings!$C$15+IF(H491="Yes",J491*Settings!$C$16,0))</f>
        <v/>
      </c>
      <c r="L491" s="21">
        <f>IF(B491="","",IF(Settings!$C$5="Yes",0,K491*Settings!$C$17))</f>
        <v/>
      </c>
      <c r="M491" s="21">
        <f>IF(B491="","",E491*IFERROR(VLOOKUP(D491,Products!$B$5:$F$204,5,FALSE),0))</f>
        <v/>
      </c>
      <c r="N491" s="21">
        <f>IF(B491="","",J491-K491-L491-M491-I491)</f>
        <v/>
      </c>
    </row>
    <row r="492">
      <c r="B492" s="11" t="n"/>
      <c r="C492" s="8" t="n"/>
      <c r="D492" s="8" t="n"/>
      <c r="E492" s="8" t="n"/>
      <c r="F492" s="20" t="n"/>
      <c r="G492" s="20" t="n"/>
      <c r="H492" s="8" t="n"/>
      <c r="I492" s="20" t="n"/>
      <c r="J492" s="21">
        <f>IF(B492="","",F492+G492)</f>
        <v/>
      </c>
      <c r="K492" s="21">
        <f>IF(B492="","",J492*(Settings!$C$11+Settings!$C$12+Settings!$C$14)+IF(C492="",Settings!$C$13,IF(COUNTIF($C$5:C492,C492)=1,Settings!$C$13,0))+E492*Settings!$C$15+IF(H492="Yes",J492*Settings!$C$16,0))</f>
        <v/>
      </c>
      <c r="L492" s="21">
        <f>IF(B492="","",IF(Settings!$C$5="Yes",0,K492*Settings!$C$17))</f>
        <v/>
      </c>
      <c r="M492" s="21">
        <f>IF(B492="","",E492*IFERROR(VLOOKUP(D492,Products!$B$5:$F$204,5,FALSE),0))</f>
        <v/>
      </c>
      <c r="N492" s="21">
        <f>IF(B492="","",J492-K492-L492-M492-I492)</f>
        <v/>
      </c>
    </row>
    <row r="493">
      <c r="B493" s="11" t="n"/>
      <c r="C493" s="8" t="n"/>
      <c r="D493" s="8" t="n"/>
      <c r="E493" s="8" t="n"/>
      <c r="F493" s="20" t="n"/>
      <c r="G493" s="20" t="n"/>
      <c r="H493" s="8" t="n"/>
      <c r="I493" s="20" t="n"/>
      <c r="J493" s="21">
        <f>IF(B493="","",F493+G493)</f>
        <v/>
      </c>
      <c r="K493" s="21">
        <f>IF(B493="","",J493*(Settings!$C$11+Settings!$C$12+Settings!$C$14)+IF(C493="",Settings!$C$13,IF(COUNTIF($C$5:C493,C493)=1,Settings!$C$13,0))+E493*Settings!$C$15+IF(H493="Yes",J493*Settings!$C$16,0))</f>
        <v/>
      </c>
      <c r="L493" s="21">
        <f>IF(B493="","",IF(Settings!$C$5="Yes",0,K493*Settings!$C$17))</f>
        <v/>
      </c>
      <c r="M493" s="21">
        <f>IF(B493="","",E493*IFERROR(VLOOKUP(D493,Products!$B$5:$F$204,5,FALSE),0))</f>
        <v/>
      </c>
      <c r="N493" s="21">
        <f>IF(B493="","",J493-K493-L493-M493-I493)</f>
        <v/>
      </c>
    </row>
    <row r="494">
      <c r="B494" s="11" t="n"/>
      <c r="C494" s="8" t="n"/>
      <c r="D494" s="8" t="n"/>
      <c r="E494" s="8" t="n"/>
      <c r="F494" s="20" t="n"/>
      <c r="G494" s="20" t="n"/>
      <c r="H494" s="8" t="n"/>
      <c r="I494" s="20" t="n"/>
      <c r="J494" s="21">
        <f>IF(B494="","",F494+G494)</f>
        <v/>
      </c>
      <c r="K494" s="21">
        <f>IF(B494="","",J494*(Settings!$C$11+Settings!$C$12+Settings!$C$14)+IF(C494="",Settings!$C$13,IF(COUNTIF($C$5:C494,C494)=1,Settings!$C$13,0))+E494*Settings!$C$15+IF(H494="Yes",J494*Settings!$C$16,0))</f>
        <v/>
      </c>
      <c r="L494" s="21">
        <f>IF(B494="","",IF(Settings!$C$5="Yes",0,K494*Settings!$C$17))</f>
        <v/>
      </c>
      <c r="M494" s="21">
        <f>IF(B494="","",E494*IFERROR(VLOOKUP(D494,Products!$B$5:$F$204,5,FALSE),0))</f>
        <v/>
      </c>
      <c r="N494" s="21">
        <f>IF(B494="","",J494-K494-L494-M494-I494)</f>
        <v/>
      </c>
    </row>
    <row r="495">
      <c r="B495" s="11" t="n"/>
      <c r="C495" s="8" t="n"/>
      <c r="D495" s="8" t="n"/>
      <c r="E495" s="8" t="n"/>
      <c r="F495" s="20" t="n"/>
      <c r="G495" s="20" t="n"/>
      <c r="H495" s="8" t="n"/>
      <c r="I495" s="20" t="n"/>
      <c r="J495" s="21">
        <f>IF(B495="","",F495+G495)</f>
        <v/>
      </c>
      <c r="K495" s="21">
        <f>IF(B495="","",J495*(Settings!$C$11+Settings!$C$12+Settings!$C$14)+IF(C495="",Settings!$C$13,IF(COUNTIF($C$5:C495,C495)=1,Settings!$C$13,0))+E495*Settings!$C$15+IF(H495="Yes",J495*Settings!$C$16,0))</f>
        <v/>
      </c>
      <c r="L495" s="21">
        <f>IF(B495="","",IF(Settings!$C$5="Yes",0,K495*Settings!$C$17))</f>
        <v/>
      </c>
      <c r="M495" s="21">
        <f>IF(B495="","",E495*IFERROR(VLOOKUP(D495,Products!$B$5:$F$204,5,FALSE),0))</f>
        <v/>
      </c>
      <c r="N495" s="21">
        <f>IF(B495="","",J495-K495-L495-M495-I495)</f>
        <v/>
      </c>
    </row>
    <row r="496">
      <c r="B496" s="11" t="n"/>
      <c r="C496" s="8" t="n"/>
      <c r="D496" s="8" t="n"/>
      <c r="E496" s="8" t="n"/>
      <c r="F496" s="20" t="n"/>
      <c r="G496" s="20" t="n"/>
      <c r="H496" s="8" t="n"/>
      <c r="I496" s="20" t="n"/>
      <c r="J496" s="21">
        <f>IF(B496="","",F496+G496)</f>
        <v/>
      </c>
      <c r="K496" s="21">
        <f>IF(B496="","",J496*(Settings!$C$11+Settings!$C$12+Settings!$C$14)+IF(C496="",Settings!$C$13,IF(COUNTIF($C$5:C496,C496)=1,Settings!$C$13,0))+E496*Settings!$C$15+IF(H496="Yes",J496*Settings!$C$16,0))</f>
        <v/>
      </c>
      <c r="L496" s="21">
        <f>IF(B496="","",IF(Settings!$C$5="Yes",0,K496*Settings!$C$17))</f>
        <v/>
      </c>
      <c r="M496" s="21">
        <f>IF(B496="","",E496*IFERROR(VLOOKUP(D496,Products!$B$5:$F$204,5,FALSE),0))</f>
        <v/>
      </c>
      <c r="N496" s="21">
        <f>IF(B496="","",J496-K496-L496-M496-I496)</f>
        <v/>
      </c>
    </row>
    <row r="497">
      <c r="B497" s="11" t="n"/>
      <c r="C497" s="8" t="n"/>
      <c r="D497" s="8" t="n"/>
      <c r="E497" s="8" t="n"/>
      <c r="F497" s="20" t="n"/>
      <c r="G497" s="20" t="n"/>
      <c r="H497" s="8" t="n"/>
      <c r="I497" s="20" t="n"/>
      <c r="J497" s="21">
        <f>IF(B497="","",F497+G497)</f>
        <v/>
      </c>
      <c r="K497" s="21">
        <f>IF(B497="","",J497*(Settings!$C$11+Settings!$C$12+Settings!$C$14)+IF(C497="",Settings!$C$13,IF(COUNTIF($C$5:C497,C497)=1,Settings!$C$13,0))+E497*Settings!$C$15+IF(H497="Yes",J497*Settings!$C$16,0))</f>
        <v/>
      </c>
      <c r="L497" s="21">
        <f>IF(B497="","",IF(Settings!$C$5="Yes",0,K497*Settings!$C$17))</f>
        <v/>
      </c>
      <c r="M497" s="21">
        <f>IF(B497="","",E497*IFERROR(VLOOKUP(D497,Products!$B$5:$F$204,5,FALSE),0))</f>
        <v/>
      </c>
      <c r="N497" s="21">
        <f>IF(B497="","",J497-K497-L497-M497-I497)</f>
        <v/>
      </c>
    </row>
    <row r="498">
      <c r="B498" s="11" t="n"/>
      <c r="C498" s="8" t="n"/>
      <c r="D498" s="8" t="n"/>
      <c r="E498" s="8" t="n"/>
      <c r="F498" s="20" t="n"/>
      <c r="G498" s="20" t="n"/>
      <c r="H498" s="8" t="n"/>
      <c r="I498" s="20" t="n"/>
      <c r="J498" s="21">
        <f>IF(B498="","",F498+G498)</f>
        <v/>
      </c>
      <c r="K498" s="21">
        <f>IF(B498="","",J498*(Settings!$C$11+Settings!$C$12+Settings!$C$14)+IF(C498="",Settings!$C$13,IF(COUNTIF($C$5:C498,C498)=1,Settings!$C$13,0))+E498*Settings!$C$15+IF(H498="Yes",J498*Settings!$C$16,0))</f>
        <v/>
      </c>
      <c r="L498" s="21">
        <f>IF(B498="","",IF(Settings!$C$5="Yes",0,K498*Settings!$C$17))</f>
        <v/>
      </c>
      <c r="M498" s="21">
        <f>IF(B498="","",E498*IFERROR(VLOOKUP(D498,Products!$B$5:$F$204,5,FALSE),0))</f>
        <v/>
      </c>
      <c r="N498" s="21">
        <f>IF(B498="","",J498-K498-L498-M498-I498)</f>
        <v/>
      </c>
    </row>
    <row r="499">
      <c r="B499" s="11" t="n"/>
      <c r="C499" s="8" t="n"/>
      <c r="D499" s="8" t="n"/>
      <c r="E499" s="8" t="n"/>
      <c r="F499" s="20" t="n"/>
      <c r="G499" s="20" t="n"/>
      <c r="H499" s="8" t="n"/>
      <c r="I499" s="20" t="n"/>
      <c r="J499" s="21">
        <f>IF(B499="","",F499+G499)</f>
        <v/>
      </c>
      <c r="K499" s="21">
        <f>IF(B499="","",J499*(Settings!$C$11+Settings!$C$12+Settings!$C$14)+IF(C499="",Settings!$C$13,IF(COUNTIF($C$5:C499,C499)=1,Settings!$C$13,0))+E499*Settings!$C$15+IF(H499="Yes",J499*Settings!$C$16,0))</f>
        <v/>
      </c>
      <c r="L499" s="21">
        <f>IF(B499="","",IF(Settings!$C$5="Yes",0,K499*Settings!$C$17))</f>
        <v/>
      </c>
      <c r="M499" s="21">
        <f>IF(B499="","",E499*IFERROR(VLOOKUP(D499,Products!$B$5:$F$204,5,FALSE),0))</f>
        <v/>
      </c>
      <c r="N499" s="21">
        <f>IF(B499="","",J499-K499-L499-M499-I499)</f>
        <v/>
      </c>
    </row>
    <row r="500">
      <c r="B500" s="11" t="n"/>
      <c r="C500" s="8" t="n"/>
      <c r="D500" s="8" t="n"/>
      <c r="E500" s="8" t="n"/>
      <c r="F500" s="20" t="n"/>
      <c r="G500" s="20" t="n"/>
      <c r="H500" s="8" t="n"/>
      <c r="I500" s="20" t="n"/>
      <c r="J500" s="21">
        <f>IF(B500="","",F500+G500)</f>
        <v/>
      </c>
      <c r="K500" s="21">
        <f>IF(B500="","",J500*(Settings!$C$11+Settings!$C$12+Settings!$C$14)+IF(C500="",Settings!$C$13,IF(COUNTIF($C$5:C500,C500)=1,Settings!$C$13,0))+E500*Settings!$C$15+IF(H500="Yes",J500*Settings!$C$16,0))</f>
        <v/>
      </c>
      <c r="L500" s="21">
        <f>IF(B500="","",IF(Settings!$C$5="Yes",0,K500*Settings!$C$17))</f>
        <v/>
      </c>
      <c r="M500" s="21">
        <f>IF(B500="","",E500*IFERROR(VLOOKUP(D500,Products!$B$5:$F$204,5,FALSE),0))</f>
        <v/>
      </c>
      <c r="N500" s="21">
        <f>IF(B500="","",J500-K500-L500-M500-I500)</f>
        <v/>
      </c>
    </row>
    <row r="501">
      <c r="B501" s="11" t="n"/>
      <c r="C501" s="8" t="n"/>
      <c r="D501" s="8" t="n"/>
      <c r="E501" s="8" t="n"/>
      <c r="F501" s="20" t="n"/>
      <c r="G501" s="20" t="n"/>
      <c r="H501" s="8" t="n"/>
      <c r="I501" s="20" t="n"/>
      <c r="J501" s="21">
        <f>IF(B501="","",F501+G501)</f>
        <v/>
      </c>
      <c r="K501" s="21">
        <f>IF(B501="","",J501*(Settings!$C$11+Settings!$C$12+Settings!$C$14)+IF(C501="",Settings!$C$13,IF(COUNTIF($C$5:C501,C501)=1,Settings!$C$13,0))+E501*Settings!$C$15+IF(H501="Yes",J501*Settings!$C$16,0))</f>
        <v/>
      </c>
      <c r="L501" s="21">
        <f>IF(B501="","",IF(Settings!$C$5="Yes",0,K501*Settings!$C$17))</f>
        <v/>
      </c>
      <c r="M501" s="21">
        <f>IF(B501="","",E501*IFERROR(VLOOKUP(D501,Products!$B$5:$F$204,5,FALSE),0))</f>
        <v/>
      </c>
      <c r="N501" s="21">
        <f>IF(B501="","",J501-K501-L501-M501-I501)</f>
        <v/>
      </c>
    </row>
    <row r="502">
      <c r="B502" s="11" t="n"/>
      <c r="C502" s="8" t="n"/>
      <c r="D502" s="8" t="n"/>
      <c r="E502" s="8" t="n"/>
      <c r="F502" s="20" t="n"/>
      <c r="G502" s="20" t="n"/>
      <c r="H502" s="8" t="n"/>
      <c r="I502" s="20" t="n"/>
      <c r="J502" s="21">
        <f>IF(B502="","",F502+G502)</f>
        <v/>
      </c>
      <c r="K502" s="21">
        <f>IF(B502="","",J502*(Settings!$C$11+Settings!$C$12+Settings!$C$14)+IF(C502="",Settings!$C$13,IF(COUNTIF($C$5:C502,C502)=1,Settings!$C$13,0))+E502*Settings!$C$15+IF(H502="Yes",J502*Settings!$C$16,0))</f>
        <v/>
      </c>
      <c r="L502" s="21">
        <f>IF(B502="","",IF(Settings!$C$5="Yes",0,K502*Settings!$C$17))</f>
        <v/>
      </c>
      <c r="M502" s="21">
        <f>IF(B502="","",E502*IFERROR(VLOOKUP(D502,Products!$B$5:$F$204,5,FALSE),0))</f>
        <v/>
      </c>
      <c r="N502" s="21">
        <f>IF(B502="","",J502-K502-L502-M502-I502)</f>
        <v/>
      </c>
    </row>
    <row r="503">
      <c r="B503" s="11" t="n"/>
      <c r="C503" s="8" t="n"/>
      <c r="D503" s="8" t="n"/>
      <c r="E503" s="8" t="n"/>
      <c r="F503" s="20" t="n"/>
      <c r="G503" s="20" t="n"/>
      <c r="H503" s="8" t="n"/>
      <c r="I503" s="20" t="n"/>
      <c r="J503" s="21">
        <f>IF(B503="","",F503+G503)</f>
        <v/>
      </c>
      <c r="K503" s="21">
        <f>IF(B503="","",J503*(Settings!$C$11+Settings!$C$12+Settings!$C$14)+IF(C503="",Settings!$C$13,IF(COUNTIF($C$5:C503,C503)=1,Settings!$C$13,0))+E503*Settings!$C$15+IF(H503="Yes",J503*Settings!$C$16,0))</f>
        <v/>
      </c>
      <c r="L503" s="21">
        <f>IF(B503="","",IF(Settings!$C$5="Yes",0,K503*Settings!$C$17))</f>
        <v/>
      </c>
      <c r="M503" s="21">
        <f>IF(B503="","",E503*IFERROR(VLOOKUP(D503,Products!$B$5:$F$204,5,FALSE),0))</f>
        <v/>
      </c>
      <c r="N503" s="21">
        <f>IF(B503="","",J503-K503-L503-M503-I503)</f>
        <v/>
      </c>
    </row>
    <row r="504">
      <c r="B504" s="11" t="n"/>
      <c r="C504" s="8" t="n"/>
      <c r="D504" s="8" t="n"/>
      <c r="E504" s="8" t="n"/>
      <c r="F504" s="20" t="n"/>
      <c r="G504" s="20" t="n"/>
      <c r="H504" s="8" t="n"/>
      <c r="I504" s="20" t="n"/>
      <c r="J504" s="21">
        <f>IF(B504="","",F504+G504)</f>
        <v/>
      </c>
      <c r="K504" s="21">
        <f>IF(B504="","",J504*(Settings!$C$11+Settings!$C$12+Settings!$C$14)+IF(C504="",Settings!$C$13,IF(COUNTIF($C$5:C504,C504)=1,Settings!$C$13,0))+E504*Settings!$C$15+IF(H504="Yes",J504*Settings!$C$16,0))</f>
        <v/>
      </c>
      <c r="L504" s="21">
        <f>IF(B504="","",IF(Settings!$C$5="Yes",0,K504*Settings!$C$17))</f>
        <v/>
      </c>
      <c r="M504" s="21">
        <f>IF(B504="","",E504*IFERROR(VLOOKUP(D504,Products!$B$5:$F$204,5,FALSE),0))</f>
        <v/>
      </c>
      <c r="N504" s="21">
        <f>IF(B504="","",J504-K504-L504-M504-I504)</f>
        <v/>
      </c>
    </row>
    <row r="505">
      <c r="B505" s="11" t="n"/>
      <c r="C505" s="8" t="n"/>
      <c r="D505" s="8" t="n"/>
      <c r="E505" s="8" t="n"/>
      <c r="F505" s="20" t="n"/>
      <c r="G505" s="20" t="n"/>
      <c r="H505" s="8" t="n"/>
      <c r="I505" s="20" t="n"/>
      <c r="J505" s="21">
        <f>IF(B505="","",F505+G505)</f>
        <v/>
      </c>
      <c r="K505" s="21">
        <f>IF(B505="","",J505*(Settings!$C$11+Settings!$C$12+Settings!$C$14)+IF(C505="",Settings!$C$13,IF(COUNTIF($C$5:C505,C505)=1,Settings!$C$13,0))+E505*Settings!$C$15+IF(H505="Yes",J505*Settings!$C$16,0))</f>
        <v/>
      </c>
      <c r="L505" s="21">
        <f>IF(B505="","",IF(Settings!$C$5="Yes",0,K505*Settings!$C$17))</f>
        <v/>
      </c>
      <c r="M505" s="21">
        <f>IF(B505="","",E505*IFERROR(VLOOKUP(D505,Products!$B$5:$F$204,5,FALSE),0))</f>
        <v/>
      </c>
      <c r="N505" s="21">
        <f>IF(B505="","",J505-K505-L505-M505-I505)</f>
        <v/>
      </c>
    </row>
    <row r="506">
      <c r="B506" s="11" t="n"/>
      <c r="C506" s="8" t="n"/>
      <c r="D506" s="8" t="n"/>
      <c r="E506" s="8" t="n"/>
      <c r="F506" s="20" t="n"/>
      <c r="G506" s="20" t="n"/>
      <c r="H506" s="8" t="n"/>
      <c r="I506" s="20" t="n"/>
      <c r="J506" s="21">
        <f>IF(B506="","",F506+G506)</f>
        <v/>
      </c>
      <c r="K506" s="21">
        <f>IF(B506="","",J506*(Settings!$C$11+Settings!$C$12+Settings!$C$14)+IF(C506="",Settings!$C$13,IF(COUNTIF($C$5:C506,C506)=1,Settings!$C$13,0))+E506*Settings!$C$15+IF(H506="Yes",J506*Settings!$C$16,0))</f>
        <v/>
      </c>
      <c r="L506" s="21">
        <f>IF(B506="","",IF(Settings!$C$5="Yes",0,K506*Settings!$C$17))</f>
        <v/>
      </c>
      <c r="M506" s="21">
        <f>IF(B506="","",E506*IFERROR(VLOOKUP(D506,Products!$B$5:$F$204,5,FALSE),0))</f>
        <v/>
      </c>
      <c r="N506" s="21">
        <f>IF(B506="","",J506-K506-L506-M506-I506)</f>
        <v/>
      </c>
    </row>
    <row r="507">
      <c r="B507" s="11" t="n"/>
      <c r="C507" s="8" t="n"/>
      <c r="D507" s="8" t="n"/>
      <c r="E507" s="8" t="n"/>
      <c r="F507" s="20" t="n"/>
      <c r="G507" s="20" t="n"/>
      <c r="H507" s="8" t="n"/>
      <c r="I507" s="20" t="n"/>
      <c r="J507" s="21">
        <f>IF(B507="","",F507+G507)</f>
        <v/>
      </c>
      <c r="K507" s="21">
        <f>IF(B507="","",J507*(Settings!$C$11+Settings!$C$12+Settings!$C$14)+IF(C507="",Settings!$C$13,IF(COUNTIF($C$5:C507,C507)=1,Settings!$C$13,0))+E507*Settings!$C$15+IF(H507="Yes",J507*Settings!$C$16,0))</f>
        <v/>
      </c>
      <c r="L507" s="21">
        <f>IF(B507="","",IF(Settings!$C$5="Yes",0,K507*Settings!$C$17))</f>
        <v/>
      </c>
      <c r="M507" s="21">
        <f>IF(B507="","",E507*IFERROR(VLOOKUP(D507,Products!$B$5:$F$204,5,FALSE),0))</f>
        <v/>
      </c>
      <c r="N507" s="21">
        <f>IF(B507="","",J507-K507-L507-M507-I507)</f>
        <v/>
      </c>
    </row>
    <row r="508">
      <c r="B508" s="11" t="n"/>
      <c r="C508" s="8" t="n"/>
      <c r="D508" s="8" t="n"/>
      <c r="E508" s="8" t="n"/>
      <c r="F508" s="20" t="n"/>
      <c r="G508" s="20" t="n"/>
      <c r="H508" s="8" t="n"/>
      <c r="I508" s="20" t="n"/>
      <c r="J508" s="21">
        <f>IF(B508="","",F508+G508)</f>
        <v/>
      </c>
      <c r="K508" s="21">
        <f>IF(B508="","",J508*(Settings!$C$11+Settings!$C$12+Settings!$C$14)+IF(C508="",Settings!$C$13,IF(COUNTIF($C$5:C508,C508)=1,Settings!$C$13,0))+E508*Settings!$C$15+IF(H508="Yes",J508*Settings!$C$16,0))</f>
        <v/>
      </c>
      <c r="L508" s="21">
        <f>IF(B508="","",IF(Settings!$C$5="Yes",0,K508*Settings!$C$17))</f>
        <v/>
      </c>
      <c r="M508" s="21">
        <f>IF(B508="","",E508*IFERROR(VLOOKUP(D508,Products!$B$5:$F$204,5,FALSE),0))</f>
        <v/>
      </c>
      <c r="N508" s="21">
        <f>IF(B508="","",J508-K508-L508-M508-I508)</f>
        <v/>
      </c>
    </row>
    <row r="509">
      <c r="B509" s="11" t="n"/>
      <c r="C509" s="8" t="n"/>
      <c r="D509" s="8" t="n"/>
      <c r="E509" s="8" t="n"/>
      <c r="F509" s="20" t="n"/>
      <c r="G509" s="20" t="n"/>
      <c r="H509" s="8" t="n"/>
      <c r="I509" s="20" t="n"/>
      <c r="J509" s="21">
        <f>IF(B509="","",F509+G509)</f>
        <v/>
      </c>
      <c r="K509" s="21">
        <f>IF(B509="","",J509*(Settings!$C$11+Settings!$C$12+Settings!$C$14)+IF(C509="",Settings!$C$13,IF(COUNTIF($C$5:C509,C509)=1,Settings!$C$13,0))+E509*Settings!$C$15+IF(H509="Yes",J509*Settings!$C$16,0))</f>
        <v/>
      </c>
      <c r="L509" s="21">
        <f>IF(B509="","",IF(Settings!$C$5="Yes",0,K509*Settings!$C$17))</f>
        <v/>
      </c>
      <c r="M509" s="21">
        <f>IF(B509="","",E509*IFERROR(VLOOKUP(D509,Products!$B$5:$F$204,5,FALSE),0))</f>
        <v/>
      </c>
      <c r="N509" s="21">
        <f>IF(B509="","",J509-K509-L509-M509-I509)</f>
        <v/>
      </c>
    </row>
    <row r="510">
      <c r="B510" s="11" t="n"/>
      <c r="C510" s="8" t="n"/>
      <c r="D510" s="8" t="n"/>
      <c r="E510" s="8" t="n"/>
      <c r="F510" s="20" t="n"/>
      <c r="G510" s="20" t="n"/>
      <c r="H510" s="8" t="n"/>
      <c r="I510" s="20" t="n"/>
      <c r="J510" s="21">
        <f>IF(B510="","",F510+G510)</f>
        <v/>
      </c>
      <c r="K510" s="21">
        <f>IF(B510="","",J510*(Settings!$C$11+Settings!$C$12+Settings!$C$14)+IF(C510="",Settings!$C$13,IF(COUNTIF($C$5:C510,C510)=1,Settings!$C$13,0))+E510*Settings!$C$15+IF(H510="Yes",J510*Settings!$C$16,0))</f>
        <v/>
      </c>
      <c r="L510" s="21">
        <f>IF(B510="","",IF(Settings!$C$5="Yes",0,K510*Settings!$C$17))</f>
        <v/>
      </c>
      <c r="M510" s="21">
        <f>IF(B510="","",E510*IFERROR(VLOOKUP(D510,Products!$B$5:$F$204,5,FALSE),0))</f>
        <v/>
      </c>
      <c r="N510" s="21">
        <f>IF(B510="","",J510-K510-L510-M510-I510)</f>
        <v/>
      </c>
    </row>
    <row r="511">
      <c r="B511" s="11" t="n"/>
      <c r="C511" s="8" t="n"/>
      <c r="D511" s="8" t="n"/>
      <c r="E511" s="8" t="n"/>
      <c r="F511" s="20" t="n"/>
      <c r="G511" s="20" t="n"/>
      <c r="H511" s="8" t="n"/>
      <c r="I511" s="20" t="n"/>
      <c r="J511" s="21">
        <f>IF(B511="","",F511+G511)</f>
        <v/>
      </c>
      <c r="K511" s="21">
        <f>IF(B511="","",J511*(Settings!$C$11+Settings!$C$12+Settings!$C$14)+IF(C511="",Settings!$C$13,IF(COUNTIF($C$5:C511,C511)=1,Settings!$C$13,0))+E511*Settings!$C$15+IF(H511="Yes",J511*Settings!$C$16,0))</f>
        <v/>
      </c>
      <c r="L511" s="21">
        <f>IF(B511="","",IF(Settings!$C$5="Yes",0,K511*Settings!$C$17))</f>
        <v/>
      </c>
      <c r="M511" s="21">
        <f>IF(B511="","",E511*IFERROR(VLOOKUP(D511,Products!$B$5:$F$204,5,FALSE),0))</f>
        <v/>
      </c>
      <c r="N511" s="21">
        <f>IF(B511="","",J511-K511-L511-M511-I511)</f>
        <v/>
      </c>
    </row>
    <row r="512">
      <c r="B512" s="11" t="n"/>
      <c r="C512" s="8" t="n"/>
      <c r="D512" s="8" t="n"/>
      <c r="E512" s="8" t="n"/>
      <c r="F512" s="20" t="n"/>
      <c r="G512" s="20" t="n"/>
      <c r="H512" s="8" t="n"/>
      <c r="I512" s="20" t="n"/>
      <c r="J512" s="21">
        <f>IF(B512="","",F512+G512)</f>
        <v/>
      </c>
      <c r="K512" s="21">
        <f>IF(B512="","",J512*(Settings!$C$11+Settings!$C$12+Settings!$C$14)+IF(C512="",Settings!$C$13,IF(COUNTIF($C$5:C512,C512)=1,Settings!$C$13,0))+E512*Settings!$C$15+IF(H512="Yes",J512*Settings!$C$16,0))</f>
        <v/>
      </c>
      <c r="L512" s="21">
        <f>IF(B512="","",IF(Settings!$C$5="Yes",0,K512*Settings!$C$17))</f>
        <v/>
      </c>
      <c r="M512" s="21">
        <f>IF(B512="","",E512*IFERROR(VLOOKUP(D512,Products!$B$5:$F$204,5,FALSE),0))</f>
        <v/>
      </c>
      <c r="N512" s="21">
        <f>IF(B512="","",J512-K512-L512-M512-I512)</f>
        <v/>
      </c>
    </row>
    <row r="513">
      <c r="B513" s="11" t="n"/>
      <c r="C513" s="8" t="n"/>
      <c r="D513" s="8" t="n"/>
      <c r="E513" s="8" t="n"/>
      <c r="F513" s="20" t="n"/>
      <c r="G513" s="20" t="n"/>
      <c r="H513" s="8" t="n"/>
      <c r="I513" s="20" t="n"/>
      <c r="J513" s="21">
        <f>IF(B513="","",F513+G513)</f>
        <v/>
      </c>
      <c r="K513" s="21">
        <f>IF(B513="","",J513*(Settings!$C$11+Settings!$C$12+Settings!$C$14)+IF(C513="",Settings!$C$13,IF(COUNTIF($C$5:C513,C513)=1,Settings!$C$13,0))+E513*Settings!$C$15+IF(H513="Yes",J513*Settings!$C$16,0))</f>
        <v/>
      </c>
      <c r="L513" s="21">
        <f>IF(B513="","",IF(Settings!$C$5="Yes",0,K513*Settings!$C$17))</f>
        <v/>
      </c>
      <c r="M513" s="21">
        <f>IF(B513="","",E513*IFERROR(VLOOKUP(D513,Products!$B$5:$F$204,5,FALSE),0))</f>
        <v/>
      </c>
      <c r="N513" s="21">
        <f>IF(B513="","",J513-K513-L513-M513-I513)</f>
        <v/>
      </c>
    </row>
    <row r="514">
      <c r="B514" s="11" t="n"/>
      <c r="C514" s="8" t="n"/>
      <c r="D514" s="8" t="n"/>
      <c r="E514" s="8" t="n"/>
      <c r="F514" s="20" t="n"/>
      <c r="G514" s="20" t="n"/>
      <c r="H514" s="8" t="n"/>
      <c r="I514" s="20" t="n"/>
      <c r="J514" s="21">
        <f>IF(B514="","",F514+G514)</f>
        <v/>
      </c>
      <c r="K514" s="21">
        <f>IF(B514="","",J514*(Settings!$C$11+Settings!$C$12+Settings!$C$14)+IF(C514="",Settings!$C$13,IF(COUNTIF($C$5:C514,C514)=1,Settings!$C$13,0))+E514*Settings!$C$15+IF(H514="Yes",J514*Settings!$C$16,0))</f>
        <v/>
      </c>
      <c r="L514" s="21">
        <f>IF(B514="","",IF(Settings!$C$5="Yes",0,K514*Settings!$C$17))</f>
        <v/>
      </c>
      <c r="M514" s="21">
        <f>IF(B514="","",E514*IFERROR(VLOOKUP(D514,Products!$B$5:$F$204,5,FALSE),0))</f>
        <v/>
      </c>
      <c r="N514" s="21">
        <f>IF(B514="","",J514-K514-L514-M514-I514)</f>
        <v/>
      </c>
    </row>
    <row r="515">
      <c r="B515" s="11" t="n"/>
      <c r="C515" s="8" t="n"/>
      <c r="D515" s="8" t="n"/>
      <c r="E515" s="8" t="n"/>
      <c r="F515" s="20" t="n"/>
      <c r="G515" s="20" t="n"/>
      <c r="H515" s="8" t="n"/>
      <c r="I515" s="20" t="n"/>
      <c r="J515" s="21">
        <f>IF(B515="","",F515+G515)</f>
        <v/>
      </c>
      <c r="K515" s="21">
        <f>IF(B515="","",J515*(Settings!$C$11+Settings!$C$12+Settings!$C$14)+IF(C515="",Settings!$C$13,IF(COUNTIF($C$5:C515,C515)=1,Settings!$C$13,0))+E515*Settings!$C$15+IF(H515="Yes",J515*Settings!$C$16,0))</f>
        <v/>
      </c>
      <c r="L515" s="21">
        <f>IF(B515="","",IF(Settings!$C$5="Yes",0,K515*Settings!$C$17))</f>
        <v/>
      </c>
      <c r="M515" s="21">
        <f>IF(B515="","",E515*IFERROR(VLOOKUP(D515,Products!$B$5:$F$204,5,FALSE),0))</f>
        <v/>
      </c>
      <c r="N515" s="21">
        <f>IF(B515="","",J515-K515-L515-M515-I515)</f>
        <v/>
      </c>
    </row>
    <row r="516">
      <c r="B516" s="11" t="n"/>
      <c r="C516" s="8" t="n"/>
      <c r="D516" s="8" t="n"/>
      <c r="E516" s="8" t="n"/>
      <c r="F516" s="20" t="n"/>
      <c r="G516" s="20" t="n"/>
      <c r="H516" s="8" t="n"/>
      <c r="I516" s="20" t="n"/>
      <c r="J516" s="21">
        <f>IF(B516="","",F516+G516)</f>
        <v/>
      </c>
      <c r="K516" s="21">
        <f>IF(B516="","",J516*(Settings!$C$11+Settings!$C$12+Settings!$C$14)+IF(C516="",Settings!$C$13,IF(COUNTIF($C$5:C516,C516)=1,Settings!$C$13,0))+E516*Settings!$C$15+IF(H516="Yes",J516*Settings!$C$16,0))</f>
        <v/>
      </c>
      <c r="L516" s="21">
        <f>IF(B516="","",IF(Settings!$C$5="Yes",0,K516*Settings!$C$17))</f>
        <v/>
      </c>
      <c r="M516" s="21">
        <f>IF(B516="","",E516*IFERROR(VLOOKUP(D516,Products!$B$5:$F$204,5,FALSE),0))</f>
        <v/>
      </c>
      <c r="N516" s="21">
        <f>IF(B516="","",J516-K516-L516-M516-I516)</f>
        <v/>
      </c>
    </row>
    <row r="517">
      <c r="B517" s="11" t="n"/>
      <c r="C517" s="8" t="n"/>
      <c r="D517" s="8" t="n"/>
      <c r="E517" s="8" t="n"/>
      <c r="F517" s="20" t="n"/>
      <c r="G517" s="20" t="n"/>
      <c r="H517" s="8" t="n"/>
      <c r="I517" s="20" t="n"/>
      <c r="J517" s="21">
        <f>IF(B517="","",F517+G517)</f>
        <v/>
      </c>
      <c r="K517" s="21">
        <f>IF(B517="","",J517*(Settings!$C$11+Settings!$C$12+Settings!$C$14)+IF(C517="",Settings!$C$13,IF(COUNTIF($C$5:C517,C517)=1,Settings!$C$13,0))+E517*Settings!$C$15+IF(H517="Yes",J517*Settings!$C$16,0))</f>
        <v/>
      </c>
      <c r="L517" s="21">
        <f>IF(B517="","",IF(Settings!$C$5="Yes",0,K517*Settings!$C$17))</f>
        <v/>
      </c>
      <c r="M517" s="21">
        <f>IF(B517="","",E517*IFERROR(VLOOKUP(D517,Products!$B$5:$F$204,5,FALSE),0))</f>
        <v/>
      </c>
      <c r="N517" s="21">
        <f>IF(B517="","",J517-K517-L517-M517-I517)</f>
        <v/>
      </c>
    </row>
    <row r="518">
      <c r="B518" s="11" t="n"/>
      <c r="C518" s="8" t="n"/>
      <c r="D518" s="8" t="n"/>
      <c r="E518" s="8" t="n"/>
      <c r="F518" s="20" t="n"/>
      <c r="G518" s="20" t="n"/>
      <c r="H518" s="8" t="n"/>
      <c r="I518" s="20" t="n"/>
      <c r="J518" s="21">
        <f>IF(B518="","",F518+G518)</f>
        <v/>
      </c>
      <c r="K518" s="21">
        <f>IF(B518="","",J518*(Settings!$C$11+Settings!$C$12+Settings!$C$14)+IF(C518="",Settings!$C$13,IF(COUNTIF($C$5:C518,C518)=1,Settings!$C$13,0))+E518*Settings!$C$15+IF(H518="Yes",J518*Settings!$C$16,0))</f>
        <v/>
      </c>
      <c r="L518" s="21">
        <f>IF(B518="","",IF(Settings!$C$5="Yes",0,K518*Settings!$C$17))</f>
        <v/>
      </c>
      <c r="M518" s="21">
        <f>IF(B518="","",E518*IFERROR(VLOOKUP(D518,Products!$B$5:$F$204,5,FALSE),0))</f>
        <v/>
      </c>
      <c r="N518" s="21">
        <f>IF(B518="","",J518-K518-L518-M518-I518)</f>
        <v/>
      </c>
    </row>
    <row r="519">
      <c r="B519" s="11" t="n"/>
      <c r="C519" s="8" t="n"/>
      <c r="D519" s="8" t="n"/>
      <c r="E519" s="8" t="n"/>
      <c r="F519" s="20" t="n"/>
      <c r="G519" s="20" t="n"/>
      <c r="H519" s="8" t="n"/>
      <c r="I519" s="20" t="n"/>
      <c r="J519" s="21">
        <f>IF(B519="","",F519+G519)</f>
        <v/>
      </c>
      <c r="K519" s="21">
        <f>IF(B519="","",J519*(Settings!$C$11+Settings!$C$12+Settings!$C$14)+IF(C519="",Settings!$C$13,IF(COUNTIF($C$5:C519,C519)=1,Settings!$C$13,0))+E519*Settings!$C$15+IF(H519="Yes",J519*Settings!$C$16,0))</f>
        <v/>
      </c>
      <c r="L519" s="21">
        <f>IF(B519="","",IF(Settings!$C$5="Yes",0,K519*Settings!$C$17))</f>
        <v/>
      </c>
      <c r="M519" s="21">
        <f>IF(B519="","",E519*IFERROR(VLOOKUP(D519,Products!$B$5:$F$204,5,FALSE),0))</f>
        <v/>
      </c>
      <c r="N519" s="21">
        <f>IF(B519="","",J519-K519-L519-M519-I519)</f>
        <v/>
      </c>
    </row>
    <row r="520">
      <c r="B520" s="11" t="n"/>
      <c r="C520" s="8" t="n"/>
      <c r="D520" s="8" t="n"/>
      <c r="E520" s="8" t="n"/>
      <c r="F520" s="20" t="n"/>
      <c r="G520" s="20" t="n"/>
      <c r="H520" s="8" t="n"/>
      <c r="I520" s="20" t="n"/>
      <c r="J520" s="21">
        <f>IF(B520="","",F520+G520)</f>
        <v/>
      </c>
      <c r="K520" s="21">
        <f>IF(B520="","",J520*(Settings!$C$11+Settings!$C$12+Settings!$C$14)+IF(C520="",Settings!$C$13,IF(COUNTIF($C$5:C520,C520)=1,Settings!$C$13,0))+E520*Settings!$C$15+IF(H520="Yes",J520*Settings!$C$16,0))</f>
        <v/>
      </c>
      <c r="L520" s="21">
        <f>IF(B520="","",IF(Settings!$C$5="Yes",0,K520*Settings!$C$17))</f>
        <v/>
      </c>
      <c r="M520" s="21">
        <f>IF(B520="","",E520*IFERROR(VLOOKUP(D520,Products!$B$5:$F$204,5,FALSE),0))</f>
        <v/>
      </c>
      <c r="N520" s="21">
        <f>IF(B520="","",J520-K520-L520-M520-I520)</f>
        <v/>
      </c>
    </row>
    <row r="521">
      <c r="B521" s="11" t="n"/>
      <c r="C521" s="8" t="n"/>
      <c r="D521" s="8" t="n"/>
      <c r="E521" s="8" t="n"/>
      <c r="F521" s="20" t="n"/>
      <c r="G521" s="20" t="n"/>
      <c r="H521" s="8" t="n"/>
      <c r="I521" s="20" t="n"/>
      <c r="J521" s="21">
        <f>IF(B521="","",F521+G521)</f>
        <v/>
      </c>
      <c r="K521" s="21">
        <f>IF(B521="","",J521*(Settings!$C$11+Settings!$C$12+Settings!$C$14)+IF(C521="",Settings!$C$13,IF(COUNTIF($C$5:C521,C521)=1,Settings!$C$13,0))+E521*Settings!$C$15+IF(H521="Yes",J521*Settings!$C$16,0))</f>
        <v/>
      </c>
      <c r="L521" s="21">
        <f>IF(B521="","",IF(Settings!$C$5="Yes",0,K521*Settings!$C$17))</f>
        <v/>
      </c>
      <c r="M521" s="21">
        <f>IF(B521="","",E521*IFERROR(VLOOKUP(D521,Products!$B$5:$F$204,5,FALSE),0))</f>
        <v/>
      </c>
      <c r="N521" s="21">
        <f>IF(B521="","",J521-K521-L521-M521-I521)</f>
        <v/>
      </c>
    </row>
    <row r="522">
      <c r="B522" s="11" t="n"/>
      <c r="C522" s="8" t="n"/>
      <c r="D522" s="8" t="n"/>
      <c r="E522" s="8" t="n"/>
      <c r="F522" s="20" t="n"/>
      <c r="G522" s="20" t="n"/>
      <c r="H522" s="8" t="n"/>
      <c r="I522" s="20" t="n"/>
      <c r="J522" s="21">
        <f>IF(B522="","",F522+G522)</f>
        <v/>
      </c>
      <c r="K522" s="21">
        <f>IF(B522="","",J522*(Settings!$C$11+Settings!$C$12+Settings!$C$14)+IF(C522="",Settings!$C$13,IF(COUNTIF($C$5:C522,C522)=1,Settings!$C$13,0))+E522*Settings!$C$15+IF(H522="Yes",J522*Settings!$C$16,0))</f>
        <v/>
      </c>
      <c r="L522" s="21">
        <f>IF(B522="","",IF(Settings!$C$5="Yes",0,K522*Settings!$C$17))</f>
        <v/>
      </c>
      <c r="M522" s="21">
        <f>IF(B522="","",E522*IFERROR(VLOOKUP(D522,Products!$B$5:$F$204,5,FALSE),0))</f>
        <v/>
      </c>
      <c r="N522" s="21">
        <f>IF(B522="","",J522-K522-L522-M522-I522)</f>
        <v/>
      </c>
    </row>
    <row r="523">
      <c r="B523" s="11" t="n"/>
      <c r="C523" s="8" t="n"/>
      <c r="D523" s="8" t="n"/>
      <c r="E523" s="8" t="n"/>
      <c r="F523" s="20" t="n"/>
      <c r="G523" s="20" t="n"/>
      <c r="H523" s="8" t="n"/>
      <c r="I523" s="20" t="n"/>
      <c r="J523" s="21">
        <f>IF(B523="","",F523+G523)</f>
        <v/>
      </c>
      <c r="K523" s="21">
        <f>IF(B523="","",J523*(Settings!$C$11+Settings!$C$12+Settings!$C$14)+IF(C523="",Settings!$C$13,IF(COUNTIF($C$5:C523,C523)=1,Settings!$C$13,0))+E523*Settings!$C$15+IF(H523="Yes",J523*Settings!$C$16,0))</f>
        <v/>
      </c>
      <c r="L523" s="21">
        <f>IF(B523="","",IF(Settings!$C$5="Yes",0,K523*Settings!$C$17))</f>
        <v/>
      </c>
      <c r="M523" s="21">
        <f>IF(B523="","",E523*IFERROR(VLOOKUP(D523,Products!$B$5:$F$204,5,FALSE),0))</f>
        <v/>
      </c>
      <c r="N523" s="21">
        <f>IF(B523="","",J523-K523-L523-M523-I523)</f>
        <v/>
      </c>
    </row>
    <row r="524">
      <c r="B524" s="11" t="n"/>
      <c r="C524" s="8" t="n"/>
      <c r="D524" s="8" t="n"/>
      <c r="E524" s="8" t="n"/>
      <c r="F524" s="20" t="n"/>
      <c r="G524" s="20" t="n"/>
      <c r="H524" s="8" t="n"/>
      <c r="I524" s="20" t="n"/>
      <c r="J524" s="21">
        <f>IF(B524="","",F524+G524)</f>
        <v/>
      </c>
      <c r="K524" s="21">
        <f>IF(B524="","",J524*(Settings!$C$11+Settings!$C$12+Settings!$C$14)+IF(C524="",Settings!$C$13,IF(COUNTIF($C$5:C524,C524)=1,Settings!$C$13,0))+E524*Settings!$C$15+IF(H524="Yes",J524*Settings!$C$16,0))</f>
        <v/>
      </c>
      <c r="L524" s="21">
        <f>IF(B524="","",IF(Settings!$C$5="Yes",0,K524*Settings!$C$17))</f>
        <v/>
      </c>
      <c r="M524" s="21">
        <f>IF(B524="","",E524*IFERROR(VLOOKUP(D524,Products!$B$5:$F$204,5,FALSE),0))</f>
        <v/>
      </c>
      <c r="N524" s="21">
        <f>IF(B524="","",J524-K524-L524-M524-I524)</f>
        <v/>
      </c>
    </row>
    <row r="525">
      <c r="B525" s="11" t="n"/>
      <c r="C525" s="8" t="n"/>
      <c r="D525" s="8" t="n"/>
      <c r="E525" s="8" t="n"/>
      <c r="F525" s="20" t="n"/>
      <c r="G525" s="20" t="n"/>
      <c r="H525" s="8" t="n"/>
      <c r="I525" s="20" t="n"/>
      <c r="J525" s="21">
        <f>IF(B525="","",F525+G525)</f>
        <v/>
      </c>
      <c r="K525" s="21">
        <f>IF(B525="","",J525*(Settings!$C$11+Settings!$C$12+Settings!$C$14)+IF(C525="",Settings!$C$13,IF(COUNTIF($C$5:C525,C525)=1,Settings!$C$13,0))+E525*Settings!$C$15+IF(H525="Yes",J525*Settings!$C$16,0))</f>
        <v/>
      </c>
      <c r="L525" s="21">
        <f>IF(B525="","",IF(Settings!$C$5="Yes",0,K525*Settings!$C$17))</f>
        <v/>
      </c>
      <c r="M525" s="21">
        <f>IF(B525="","",E525*IFERROR(VLOOKUP(D525,Products!$B$5:$F$204,5,FALSE),0))</f>
        <v/>
      </c>
      <c r="N525" s="21">
        <f>IF(B525="","",J525-K525-L525-M525-I525)</f>
        <v/>
      </c>
    </row>
    <row r="526">
      <c r="B526" s="11" t="n"/>
      <c r="C526" s="8" t="n"/>
      <c r="D526" s="8" t="n"/>
      <c r="E526" s="8" t="n"/>
      <c r="F526" s="20" t="n"/>
      <c r="G526" s="20" t="n"/>
      <c r="H526" s="8" t="n"/>
      <c r="I526" s="20" t="n"/>
      <c r="J526" s="21">
        <f>IF(B526="","",F526+G526)</f>
        <v/>
      </c>
      <c r="K526" s="21">
        <f>IF(B526="","",J526*(Settings!$C$11+Settings!$C$12+Settings!$C$14)+IF(C526="",Settings!$C$13,IF(COUNTIF($C$5:C526,C526)=1,Settings!$C$13,0))+E526*Settings!$C$15+IF(H526="Yes",J526*Settings!$C$16,0))</f>
        <v/>
      </c>
      <c r="L526" s="21">
        <f>IF(B526="","",IF(Settings!$C$5="Yes",0,K526*Settings!$C$17))</f>
        <v/>
      </c>
      <c r="M526" s="21">
        <f>IF(B526="","",E526*IFERROR(VLOOKUP(D526,Products!$B$5:$F$204,5,FALSE),0))</f>
        <v/>
      </c>
      <c r="N526" s="21">
        <f>IF(B526="","",J526-K526-L526-M526-I526)</f>
        <v/>
      </c>
    </row>
    <row r="527">
      <c r="B527" s="11" t="n"/>
      <c r="C527" s="8" t="n"/>
      <c r="D527" s="8" t="n"/>
      <c r="E527" s="8" t="n"/>
      <c r="F527" s="20" t="n"/>
      <c r="G527" s="20" t="n"/>
      <c r="H527" s="8" t="n"/>
      <c r="I527" s="20" t="n"/>
      <c r="J527" s="21">
        <f>IF(B527="","",F527+G527)</f>
        <v/>
      </c>
      <c r="K527" s="21">
        <f>IF(B527="","",J527*(Settings!$C$11+Settings!$C$12+Settings!$C$14)+IF(C527="",Settings!$C$13,IF(COUNTIF($C$5:C527,C527)=1,Settings!$C$13,0))+E527*Settings!$C$15+IF(H527="Yes",J527*Settings!$C$16,0))</f>
        <v/>
      </c>
      <c r="L527" s="21">
        <f>IF(B527="","",IF(Settings!$C$5="Yes",0,K527*Settings!$C$17))</f>
        <v/>
      </c>
      <c r="M527" s="21">
        <f>IF(B527="","",E527*IFERROR(VLOOKUP(D527,Products!$B$5:$F$204,5,FALSE),0))</f>
        <v/>
      </c>
      <c r="N527" s="21">
        <f>IF(B527="","",J527-K527-L527-M527-I527)</f>
        <v/>
      </c>
    </row>
    <row r="528">
      <c r="B528" s="11" t="n"/>
      <c r="C528" s="8" t="n"/>
      <c r="D528" s="8" t="n"/>
      <c r="E528" s="8" t="n"/>
      <c r="F528" s="20" t="n"/>
      <c r="G528" s="20" t="n"/>
      <c r="H528" s="8" t="n"/>
      <c r="I528" s="20" t="n"/>
      <c r="J528" s="21">
        <f>IF(B528="","",F528+G528)</f>
        <v/>
      </c>
      <c r="K528" s="21">
        <f>IF(B528="","",J528*(Settings!$C$11+Settings!$C$12+Settings!$C$14)+IF(C528="",Settings!$C$13,IF(COUNTIF($C$5:C528,C528)=1,Settings!$C$13,0))+E528*Settings!$C$15+IF(H528="Yes",J528*Settings!$C$16,0))</f>
        <v/>
      </c>
      <c r="L528" s="21">
        <f>IF(B528="","",IF(Settings!$C$5="Yes",0,K528*Settings!$C$17))</f>
        <v/>
      </c>
      <c r="M528" s="21">
        <f>IF(B528="","",E528*IFERROR(VLOOKUP(D528,Products!$B$5:$F$204,5,FALSE),0))</f>
        <v/>
      </c>
      <c r="N528" s="21">
        <f>IF(B528="","",J528-K528-L528-M528-I528)</f>
        <v/>
      </c>
    </row>
    <row r="529">
      <c r="B529" s="11" t="n"/>
      <c r="C529" s="8" t="n"/>
      <c r="D529" s="8" t="n"/>
      <c r="E529" s="8" t="n"/>
      <c r="F529" s="20" t="n"/>
      <c r="G529" s="20" t="n"/>
      <c r="H529" s="8" t="n"/>
      <c r="I529" s="20" t="n"/>
      <c r="J529" s="21">
        <f>IF(B529="","",F529+G529)</f>
        <v/>
      </c>
      <c r="K529" s="21">
        <f>IF(B529="","",J529*(Settings!$C$11+Settings!$C$12+Settings!$C$14)+IF(C529="",Settings!$C$13,IF(COUNTIF($C$5:C529,C529)=1,Settings!$C$13,0))+E529*Settings!$C$15+IF(H529="Yes",J529*Settings!$C$16,0))</f>
        <v/>
      </c>
      <c r="L529" s="21">
        <f>IF(B529="","",IF(Settings!$C$5="Yes",0,K529*Settings!$C$17))</f>
        <v/>
      </c>
      <c r="M529" s="21">
        <f>IF(B529="","",E529*IFERROR(VLOOKUP(D529,Products!$B$5:$F$204,5,FALSE),0))</f>
        <v/>
      </c>
      <c r="N529" s="21">
        <f>IF(B529="","",J529-K529-L529-M529-I529)</f>
        <v/>
      </c>
    </row>
    <row r="530">
      <c r="B530" s="11" t="n"/>
      <c r="C530" s="8" t="n"/>
      <c r="D530" s="8" t="n"/>
      <c r="E530" s="8" t="n"/>
      <c r="F530" s="20" t="n"/>
      <c r="G530" s="20" t="n"/>
      <c r="H530" s="8" t="n"/>
      <c r="I530" s="20" t="n"/>
      <c r="J530" s="21">
        <f>IF(B530="","",F530+G530)</f>
        <v/>
      </c>
      <c r="K530" s="21">
        <f>IF(B530="","",J530*(Settings!$C$11+Settings!$C$12+Settings!$C$14)+IF(C530="",Settings!$C$13,IF(COUNTIF($C$5:C530,C530)=1,Settings!$C$13,0))+E530*Settings!$C$15+IF(H530="Yes",J530*Settings!$C$16,0))</f>
        <v/>
      </c>
      <c r="L530" s="21">
        <f>IF(B530="","",IF(Settings!$C$5="Yes",0,K530*Settings!$C$17))</f>
        <v/>
      </c>
      <c r="M530" s="21">
        <f>IF(B530="","",E530*IFERROR(VLOOKUP(D530,Products!$B$5:$F$204,5,FALSE),0))</f>
        <v/>
      </c>
      <c r="N530" s="21">
        <f>IF(B530="","",J530-K530-L530-M530-I530)</f>
        <v/>
      </c>
    </row>
    <row r="531">
      <c r="B531" s="11" t="n"/>
      <c r="C531" s="8" t="n"/>
      <c r="D531" s="8" t="n"/>
      <c r="E531" s="8" t="n"/>
      <c r="F531" s="20" t="n"/>
      <c r="G531" s="20" t="n"/>
      <c r="H531" s="8" t="n"/>
      <c r="I531" s="20" t="n"/>
      <c r="J531" s="21">
        <f>IF(B531="","",F531+G531)</f>
        <v/>
      </c>
      <c r="K531" s="21">
        <f>IF(B531="","",J531*(Settings!$C$11+Settings!$C$12+Settings!$C$14)+IF(C531="",Settings!$C$13,IF(COUNTIF($C$5:C531,C531)=1,Settings!$C$13,0))+E531*Settings!$C$15+IF(H531="Yes",J531*Settings!$C$16,0))</f>
        <v/>
      </c>
      <c r="L531" s="21">
        <f>IF(B531="","",IF(Settings!$C$5="Yes",0,K531*Settings!$C$17))</f>
        <v/>
      </c>
      <c r="M531" s="21">
        <f>IF(B531="","",E531*IFERROR(VLOOKUP(D531,Products!$B$5:$F$204,5,FALSE),0))</f>
        <v/>
      </c>
      <c r="N531" s="21">
        <f>IF(B531="","",J531-K531-L531-M531-I531)</f>
        <v/>
      </c>
    </row>
    <row r="532">
      <c r="B532" s="11" t="n"/>
      <c r="C532" s="8" t="n"/>
      <c r="D532" s="8" t="n"/>
      <c r="E532" s="8" t="n"/>
      <c r="F532" s="20" t="n"/>
      <c r="G532" s="20" t="n"/>
      <c r="H532" s="8" t="n"/>
      <c r="I532" s="20" t="n"/>
      <c r="J532" s="21">
        <f>IF(B532="","",F532+G532)</f>
        <v/>
      </c>
      <c r="K532" s="21">
        <f>IF(B532="","",J532*(Settings!$C$11+Settings!$C$12+Settings!$C$14)+IF(C532="",Settings!$C$13,IF(COUNTIF($C$5:C532,C532)=1,Settings!$C$13,0))+E532*Settings!$C$15+IF(H532="Yes",J532*Settings!$C$16,0))</f>
        <v/>
      </c>
      <c r="L532" s="21">
        <f>IF(B532="","",IF(Settings!$C$5="Yes",0,K532*Settings!$C$17))</f>
        <v/>
      </c>
      <c r="M532" s="21">
        <f>IF(B532="","",E532*IFERROR(VLOOKUP(D532,Products!$B$5:$F$204,5,FALSE),0))</f>
        <v/>
      </c>
      <c r="N532" s="21">
        <f>IF(B532="","",J532-K532-L532-M532-I532)</f>
        <v/>
      </c>
    </row>
    <row r="533">
      <c r="B533" s="11" t="n"/>
      <c r="C533" s="8" t="n"/>
      <c r="D533" s="8" t="n"/>
      <c r="E533" s="8" t="n"/>
      <c r="F533" s="20" t="n"/>
      <c r="G533" s="20" t="n"/>
      <c r="H533" s="8" t="n"/>
      <c r="I533" s="20" t="n"/>
      <c r="J533" s="21">
        <f>IF(B533="","",F533+G533)</f>
        <v/>
      </c>
      <c r="K533" s="21">
        <f>IF(B533="","",J533*(Settings!$C$11+Settings!$C$12+Settings!$C$14)+IF(C533="",Settings!$C$13,IF(COUNTIF($C$5:C533,C533)=1,Settings!$C$13,0))+E533*Settings!$C$15+IF(H533="Yes",J533*Settings!$C$16,0))</f>
        <v/>
      </c>
      <c r="L533" s="21">
        <f>IF(B533="","",IF(Settings!$C$5="Yes",0,K533*Settings!$C$17))</f>
        <v/>
      </c>
      <c r="M533" s="21">
        <f>IF(B533="","",E533*IFERROR(VLOOKUP(D533,Products!$B$5:$F$204,5,FALSE),0))</f>
        <v/>
      </c>
      <c r="N533" s="21">
        <f>IF(B533="","",J533-K533-L533-M533-I533)</f>
        <v/>
      </c>
    </row>
    <row r="534">
      <c r="B534" s="11" t="n"/>
      <c r="C534" s="8" t="n"/>
      <c r="D534" s="8" t="n"/>
      <c r="E534" s="8" t="n"/>
      <c r="F534" s="20" t="n"/>
      <c r="G534" s="20" t="n"/>
      <c r="H534" s="8" t="n"/>
      <c r="I534" s="20" t="n"/>
      <c r="J534" s="21">
        <f>IF(B534="","",F534+G534)</f>
        <v/>
      </c>
      <c r="K534" s="21">
        <f>IF(B534="","",J534*(Settings!$C$11+Settings!$C$12+Settings!$C$14)+IF(C534="",Settings!$C$13,IF(COUNTIF($C$5:C534,C534)=1,Settings!$C$13,0))+E534*Settings!$C$15+IF(H534="Yes",J534*Settings!$C$16,0))</f>
        <v/>
      </c>
      <c r="L534" s="21">
        <f>IF(B534="","",IF(Settings!$C$5="Yes",0,K534*Settings!$C$17))</f>
        <v/>
      </c>
      <c r="M534" s="21">
        <f>IF(B534="","",E534*IFERROR(VLOOKUP(D534,Products!$B$5:$F$204,5,FALSE),0))</f>
        <v/>
      </c>
      <c r="N534" s="21">
        <f>IF(B534="","",J534-K534-L534-M534-I534)</f>
        <v/>
      </c>
    </row>
    <row r="535">
      <c r="B535" s="11" t="n"/>
      <c r="C535" s="8" t="n"/>
      <c r="D535" s="8" t="n"/>
      <c r="E535" s="8" t="n"/>
      <c r="F535" s="20" t="n"/>
      <c r="G535" s="20" t="n"/>
      <c r="H535" s="8" t="n"/>
      <c r="I535" s="20" t="n"/>
      <c r="J535" s="21">
        <f>IF(B535="","",F535+G535)</f>
        <v/>
      </c>
      <c r="K535" s="21">
        <f>IF(B535="","",J535*(Settings!$C$11+Settings!$C$12+Settings!$C$14)+IF(C535="",Settings!$C$13,IF(COUNTIF($C$5:C535,C535)=1,Settings!$C$13,0))+E535*Settings!$C$15+IF(H535="Yes",J535*Settings!$C$16,0))</f>
        <v/>
      </c>
      <c r="L535" s="21">
        <f>IF(B535="","",IF(Settings!$C$5="Yes",0,K535*Settings!$C$17))</f>
        <v/>
      </c>
      <c r="M535" s="21">
        <f>IF(B535="","",E535*IFERROR(VLOOKUP(D535,Products!$B$5:$F$204,5,FALSE),0))</f>
        <v/>
      </c>
      <c r="N535" s="21">
        <f>IF(B535="","",J535-K535-L535-M535-I535)</f>
        <v/>
      </c>
    </row>
    <row r="536">
      <c r="B536" s="11" t="n"/>
      <c r="C536" s="8" t="n"/>
      <c r="D536" s="8" t="n"/>
      <c r="E536" s="8" t="n"/>
      <c r="F536" s="20" t="n"/>
      <c r="G536" s="20" t="n"/>
      <c r="H536" s="8" t="n"/>
      <c r="I536" s="20" t="n"/>
      <c r="J536" s="21">
        <f>IF(B536="","",F536+G536)</f>
        <v/>
      </c>
      <c r="K536" s="21">
        <f>IF(B536="","",J536*(Settings!$C$11+Settings!$C$12+Settings!$C$14)+IF(C536="",Settings!$C$13,IF(COUNTIF($C$5:C536,C536)=1,Settings!$C$13,0))+E536*Settings!$C$15+IF(H536="Yes",J536*Settings!$C$16,0))</f>
        <v/>
      </c>
      <c r="L536" s="21">
        <f>IF(B536="","",IF(Settings!$C$5="Yes",0,K536*Settings!$C$17))</f>
        <v/>
      </c>
      <c r="M536" s="21">
        <f>IF(B536="","",E536*IFERROR(VLOOKUP(D536,Products!$B$5:$F$204,5,FALSE),0))</f>
        <v/>
      </c>
      <c r="N536" s="21">
        <f>IF(B536="","",J536-K536-L536-M536-I536)</f>
        <v/>
      </c>
    </row>
    <row r="537">
      <c r="B537" s="11" t="n"/>
      <c r="C537" s="8" t="n"/>
      <c r="D537" s="8" t="n"/>
      <c r="E537" s="8" t="n"/>
      <c r="F537" s="20" t="n"/>
      <c r="G537" s="20" t="n"/>
      <c r="H537" s="8" t="n"/>
      <c r="I537" s="20" t="n"/>
      <c r="J537" s="21">
        <f>IF(B537="","",F537+G537)</f>
        <v/>
      </c>
      <c r="K537" s="21">
        <f>IF(B537="","",J537*(Settings!$C$11+Settings!$C$12+Settings!$C$14)+IF(C537="",Settings!$C$13,IF(COUNTIF($C$5:C537,C537)=1,Settings!$C$13,0))+E537*Settings!$C$15+IF(H537="Yes",J537*Settings!$C$16,0))</f>
        <v/>
      </c>
      <c r="L537" s="21">
        <f>IF(B537="","",IF(Settings!$C$5="Yes",0,K537*Settings!$C$17))</f>
        <v/>
      </c>
      <c r="M537" s="21">
        <f>IF(B537="","",E537*IFERROR(VLOOKUP(D537,Products!$B$5:$F$204,5,FALSE),0))</f>
        <v/>
      </c>
      <c r="N537" s="21">
        <f>IF(B537="","",J537-K537-L537-M537-I537)</f>
        <v/>
      </c>
    </row>
    <row r="538">
      <c r="B538" s="11" t="n"/>
      <c r="C538" s="8" t="n"/>
      <c r="D538" s="8" t="n"/>
      <c r="E538" s="8" t="n"/>
      <c r="F538" s="20" t="n"/>
      <c r="G538" s="20" t="n"/>
      <c r="H538" s="8" t="n"/>
      <c r="I538" s="20" t="n"/>
      <c r="J538" s="21">
        <f>IF(B538="","",F538+G538)</f>
        <v/>
      </c>
      <c r="K538" s="21">
        <f>IF(B538="","",J538*(Settings!$C$11+Settings!$C$12+Settings!$C$14)+IF(C538="",Settings!$C$13,IF(COUNTIF($C$5:C538,C538)=1,Settings!$C$13,0))+E538*Settings!$C$15+IF(H538="Yes",J538*Settings!$C$16,0))</f>
        <v/>
      </c>
      <c r="L538" s="21">
        <f>IF(B538="","",IF(Settings!$C$5="Yes",0,K538*Settings!$C$17))</f>
        <v/>
      </c>
      <c r="M538" s="21">
        <f>IF(B538="","",E538*IFERROR(VLOOKUP(D538,Products!$B$5:$F$204,5,FALSE),0))</f>
        <v/>
      </c>
      <c r="N538" s="21">
        <f>IF(B538="","",J538-K538-L538-M538-I538)</f>
        <v/>
      </c>
    </row>
    <row r="539">
      <c r="B539" s="11" t="n"/>
      <c r="C539" s="8" t="n"/>
      <c r="D539" s="8" t="n"/>
      <c r="E539" s="8" t="n"/>
      <c r="F539" s="20" t="n"/>
      <c r="G539" s="20" t="n"/>
      <c r="H539" s="8" t="n"/>
      <c r="I539" s="20" t="n"/>
      <c r="J539" s="21">
        <f>IF(B539="","",F539+G539)</f>
        <v/>
      </c>
      <c r="K539" s="21">
        <f>IF(B539="","",J539*(Settings!$C$11+Settings!$C$12+Settings!$C$14)+IF(C539="",Settings!$C$13,IF(COUNTIF($C$5:C539,C539)=1,Settings!$C$13,0))+E539*Settings!$C$15+IF(H539="Yes",J539*Settings!$C$16,0))</f>
        <v/>
      </c>
      <c r="L539" s="21">
        <f>IF(B539="","",IF(Settings!$C$5="Yes",0,K539*Settings!$C$17))</f>
        <v/>
      </c>
      <c r="M539" s="21">
        <f>IF(B539="","",E539*IFERROR(VLOOKUP(D539,Products!$B$5:$F$204,5,FALSE),0))</f>
        <v/>
      </c>
      <c r="N539" s="21">
        <f>IF(B539="","",J539-K539-L539-M539-I539)</f>
        <v/>
      </c>
    </row>
    <row r="540">
      <c r="B540" s="11" t="n"/>
      <c r="C540" s="8" t="n"/>
      <c r="D540" s="8" t="n"/>
      <c r="E540" s="8" t="n"/>
      <c r="F540" s="20" t="n"/>
      <c r="G540" s="20" t="n"/>
      <c r="H540" s="8" t="n"/>
      <c r="I540" s="20" t="n"/>
      <c r="J540" s="21">
        <f>IF(B540="","",F540+G540)</f>
        <v/>
      </c>
      <c r="K540" s="21">
        <f>IF(B540="","",J540*(Settings!$C$11+Settings!$C$12+Settings!$C$14)+IF(C540="",Settings!$C$13,IF(COUNTIF($C$5:C540,C540)=1,Settings!$C$13,0))+E540*Settings!$C$15+IF(H540="Yes",J540*Settings!$C$16,0))</f>
        <v/>
      </c>
      <c r="L540" s="21">
        <f>IF(B540="","",IF(Settings!$C$5="Yes",0,K540*Settings!$C$17))</f>
        <v/>
      </c>
      <c r="M540" s="21">
        <f>IF(B540="","",E540*IFERROR(VLOOKUP(D540,Products!$B$5:$F$204,5,FALSE),0))</f>
        <v/>
      </c>
      <c r="N540" s="21">
        <f>IF(B540="","",J540-K540-L540-M540-I540)</f>
        <v/>
      </c>
    </row>
    <row r="541">
      <c r="B541" s="11" t="n"/>
      <c r="C541" s="8" t="n"/>
      <c r="D541" s="8" t="n"/>
      <c r="E541" s="8" t="n"/>
      <c r="F541" s="20" t="n"/>
      <c r="G541" s="20" t="n"/>
      <c r="H541" s="8" t="n"/>
      <c r="I541" s="20" t="n"/>
      <c r="J541" s="21">
        <f>IF(B541="","",F541+G541)</f>
        <v/>
      </c>
      <c r="K541" s="21">
        <f>IF(B541="","",J541*(Settings!$C$11+Settings!$C$12+Settings!$C$14)+IF(C541="",Settings!$C$13,IF(COUNTIF($C$5:C541,C541)=1,Settings!$C$13,0))+E541*Settings!$C$15+IF(H541="Yes",J541*Settings!$C$16,0))</f>
        <v/>
      </c>
      <c r="L541" s="21">
        <f>IF(B541="","",IF(Settings!$C$5="Yes",0,K541*Settings!$C$17))</f>
        <v/>
      </c>
      <c r="M541" s="21">
        <f>IF(B541="","",E541*IFERROR(VLOOKUP(D541,Products!$B$5:$F$204,5,FALSE),0))</f>
        <v/>
      </c>
      <c r="N541" s="21">
        <f>IF(B541="","",J541-K541-L541-M541-I541)</f>
        <v/>
      </c>
    </row>
    <row r="542">
      <c r="B542" s="11" t="n"/>
      <c r="C542" s="8" t="n"/>
      <c r="D542" s="8" t="n"/>
      <c r="E542" s="8" t="n"/>
      <c r="F542" s="20" t="n"/>
      <c r="G542" s="20" t="n"/>
      <c r="H542" s="8" t="n"/>
      <c r="I542" s="20" t="n"/>
      <c r="J542" s="21">
        <f>IF(B542="","",F542+G542)</f>
        <v/>
      </c>
      <c r="K542" s="21">
        <f>IF(B542="","",J542*(Settings!$C$11+Settings!$C$12+Settings!$C$14)+IF(C542="",Settings!$C$13,IF(COUNTIF($C$5:C542,C542)=1,Settings!$C$13,0))+E542*Settings!$C$15+IF(H542="Yes",J542*Settings!$C$16,0))</f>
        <v/>
      </c>
      <c r="L542" s="21">
        <f>IF(B542="","",IF(Settings!$C$5="Yes",0,K542*Settings!$C$17))</f>
        <v/>
      </c>
      <c r="M542" s="21">
        <f>IF(B542="","",E542*IFERROR(VLOOKUP(D542,Products!$B$5:$F$204,5,FALSE),0))</f>
        <v/>
      </c>
      <c r="N542" s="21">
        <f>IF(B542="","",J542-K542-L542-M542-I542)</f>
        <v/>
      </c>
    </row>
    <row r="543">
      <c r="B543" s="11" t="n"/>
      <c r="C543" s="8" t="n"/>
      <c r="D543" s="8" t="n"/>
      <c r="E543" s="8" t="n"/>
      <c r="F543" s="20" t="n"/>
      <c r="G543" s="20" t="n"/>
      <c r="H543" s="8" t="n"/>
      <c r="I543" s="20" t="n"/>
      <c r="J543" s="21">
        <f>IF(B543="","",F543+G543)</f>
        <v/>
      </c>
      <c r="K543" s="21">
        <f>IF(B543="","",J543*(Settings!$C$11+Settings!$C$12+Settings!$C$14)+IF(C543="",Settings!$C$13,IF(COUNTIF($C$5:C543,C543)=1,Settings!$C$13,0))+E543*Settings!$C$15+IF(H543="Yes",J543*Settings!$C$16,0))</f>
        <v/>
      </c>
      <c r="L543" s="21">
        <f>IF(B543="","",IF(Settings!$C$5="Yes",0,K543*Settings!$C$17))</f>
        <v/>
      </c>
      <c r="M543" s="21">
        <f>IF(B543="","",E543*IFERROR(VLOOKUP(D543,Products!$B$5:$F$204,5,FALSE),0))</f>
        <v/>
      </c>
      <c r="N543" s="21">
        <f>IF(B543="","",J543-K543-L543-M543-I543)</f>
        <v/>
      </c>
    </row>
    <row r="544">
      <c r="B544" s="11" t="n"/>
      <c r="C544" s="8" t="n"/>
      <c r="D544" s="8" t="n"/>
      <c r="E544" s="8" t="n"/>
      <c r="F544" s="20" t="n"/>
      <c r="G544" s="20" t="n"/>
      <c r="H544" s="8" t="n"/>
      <c r="I544" s="20" t="n"/>
      <c r="J544" s="21">
        <f>IF(B544="","",F544+G544)</f>
        <v/>
      </c>
      <c r="K544" s="21">
        <f>IF(B544="","",J544*(Settings!$C$11+Settings!$C$12+Settings!$C$14)+IF(C544="",Settings!$C$13,IF(COUNTIF($C$5:C544,C544)=1,Settings!$C$13,0))+E544*Settings!$C$15+IF(H544="Yes",J544*Settings!$C$16,0))</f>
        <v/>
      </c>
      <c r="L544" s="21">
        <f>IF(B544="","",IF(Settings!$C$5="Yes",0,K544*Settings!$C$17))</f>
        <v/>
      </c>
      <c r="M544" s="21">
        <f>IF(B544="","",E544*IFERROR(VLOOKUP(D544,Products!$B$5:$F$204,5,FALSE),0))</f>
        <v/>
      </c>
      <c r="N544" s="21">
        <f>IF(B544="","",J544-K544-L544-M544-I544)</f>
        <v/>
      </c>
    </row>
    <row r="545">
      <c r="B545" s="11" t="n"/>
      <c r="C545" s="8" t="n"/>
      <c r="D545" s="8" t="n"/>
      <c r="E545" s="8" t="n"/>
      <c r="F545" s="20" t="n"/>
      <c r="G545" s="20" t="n"/>
      <c r="H545" s="8" t="n"/>
      <c r="I545" s="20" t="n"/>
      <c r="J545" s="21">
        <f>IF(B545="","",F545+G545)</f>
        <v/>
      </c>
      <c r="K545" s="21">
        <f>IF(B545="","",J545*(Settings!$C$11+Settings!$C$12+Settings!$C$14)+IF(C545="",Settings!$C$13,IF(COUNTIF($C$5:C545,C545)=1,Settings!$C$13,0))+E545*Settings!$C$15+IF(H545="Yes",J545*Settings!$C$16,0))</f>
        <v/>
      </c>
      <c r="L545" s="21">
        <f>IF(B545="","",IF(Settings!$C$5="Yes",0,K545*Settings!$C$17))</f>
        <v/>
      </c>
      <c r="M545" s="21">
        <f>IF(B545="","",E545*IFERROR(VLOOKUP(D545,Products!$B$5:$F$204,5,FALSE),0))</f>
        <v/>
      </c>
      <c r="N545" s="21">
        <f>IF(B545="","",J545-K545-L545-M545-I545)</f>
        <v/>
      </c>
    </row>
    <row r="546">
      <c r="B546" s="11" t="n"/>
      <c r="C546" s="8" t="n"/>
      <c r="D546" s="8" t="n"/>
      <c r="E546" s="8" t="n"/>
      <c r="F546" s="20" t="n"/>
      <c r="G546" s="20" t="n"/>
      <c r="H546" s="8" t="n"/>
      <c r="I546" s="20" t="n"/>
      <c r="J546" s="21">
        <f>IF(B546="","",F546+G546)</f>
        <v/>
      </c>
      <c r="K546" s="21">
        <f>IF(B546="","",J546*(Settings!$C$11+Settings!$C$12+Settings!$C$14)+IF(C546="",Settings!$C$13,IF(COUNTIF($C$5:C546,C546)=1,Settings!$C$13,0))+E546*Settings!$C$15+IF(H546="Yes",J546*Settings!$C$16,0))</f>
        <v/>
      </c>
      <c r="L546" s="21">
        <f>IF(B546="","",IF(Settings!$C$5="Yes",0,K546*Settings!$C$17))</f>
        <v/>
      </c>
      <c r="M546" s="21">
        <f>IF(B546="","",E546*IFERROR(VLOOKUP(D546,Products!$B$5:$F$204,5,FALSE),0))</f>
        <v/>
      </c>
      <c r="N546" s="21">
        <f>IF(B546="","",J546-K546-L546-M546-I546)</f>
        <v/>
      </c>
    </row>
    <row r="547">
      <c r="B547" s="11" t="n"/>
      <c r="C547" s="8" t="n"/>
      <c r="D547" s="8" t="n"/>
      <c r="E547" s="8" t="n"/>
      <c r="F547" s="20" t="n"/>
      <c r="G547" s="20" t="n"/>
      <c r="H547" s="8" t="n"/>
      <c r="I547" s="20" t="n"/>
      <c r="J547" s="21">
        <f>IF(B547="","",F547+G547)</f>
        <v/>
      </c>
      <c r="K547" s="21">
        <f>IF(B547="","",J547*(Settings!$C$11+Settings!$C$12+Settings!$C$14)+IF(C547="",Settings!$C$13,IF(COUNTIF($C$5:C547,C547)=1,Settings!$C$13,0))+E547*Settings!$C$15+IF(H547="Yes",J547*Settings!$C$16,0))</f>
        <v/>
      </c>
      <c r="L547" s="21">
        <f>IF(B547="","",IF(Settings!$C$5="Yes",0,K547*Settings!$C$17))</f>
        <v/>
      </c>
      <c r="M547" s="21">
        <f>IF(B547="","",E547*IFERROR(VLOOKUP(D547,Products!$B$5:$F$204,5,FALSE),0))</f>
        <v/>
      </c>
      <c r="N547" s="21">
        <f>IF(B547="","",J547-K547-L547-M547-I547)</f>
        <v/>
      </c>
    </row>
    <row r="548">
      <c r="B548" s="11" t="n"/>
      <c r="C548" s="8" t="n"/>
      <c r="D548" s="8" t="n"/>
      <c r="E548" s="8" t="n"/>
      <c r="F548" s="20" t="n"/>
      <c r="G548" s="20" t="n"/>
      <c r="H548" s="8" t="n"/>
      <c r="I548" s="20" t="n"/>
      <c r="J548" s="21">
        <f>IF(B548="","",F548+G548)</f>
        <v/>
      </c>
      <c r="K548" s="21">
        <f>IF(B548="","",J548*(Settings!$C$11+Settings!$C$12+Settings!$C$14)+IF(C548="",Settings!$C$13,IF(COUNTIF($C$5:C548,C548)=1,Settings!$C$13,0))+E548*Settings!$C$15+IF(H548="Yes",J548*Settings!$C$16,0))</f>
        <v/>
      </c>
      <c r="L548" s="21">
        <f>IF(B548="","",IF(Settings!$C$5="Yes",0,K548*Settings!$C$17))</f>
        <v/>
      </c>
      <c r="M548" s="21">
        <f>IF(B548="","",E548*IFERROR(VLOOKUP(D548,Products!$B$5:$F$204,5,FALSE),0))</f>
        <v/>
      </c>
      <c r="N548" s="21">
        <f>IF(B548="","",J548-K548-L548-M548-I548)</f>
        <v/>
      </c>
    </row>
    <row r="549">
      <c r="B549" s="11" t="n"/>
      <c r="C549" s="8" t="n"/>
      <c r="D549" s="8" t="n"/>
      <c r="E549" s="8" t="n"/>
      <c r="F549" s="20" t="n"/>
      <c r="G549" s="20" t="n"/>
      <c r="H549" s="8" t="n"/>
      <c r="I549" s="20" t="n"/>
      <c r="J549" s="21">
        <f>IF(B549="","",F549+G549)</f>
        <v/>
      </c>
      <c r="K549" s="21">
        <f>IF(B549="","",J549*(Settings!$C$11+Settings!$C$12+Settings!$C$14)+IF(C549="",Settings!$C$13,IF(COUNTIF($C$5:C549,C549)=1,Settings!$C$13,0))+E549*Settings!$C$15+IF(H549="Yes",J549*Settings!$C$16,0))</f>
        <v/>
      </c>
      <c r="L549" s="21">
        <f>IF(B549="","",IF(Settings!$C$5="Yes",0,K549*Settings!$C$17))</f>
        <v/>
      </c>
      <c r="M549" s="21">
        <f>IF(B549="","",E549*IFERROR(VLOOKUP(D549,Products!$B$5:$F$204,5,FALSE),0))</f>
        <v/>
      </c>
      <c r="N549" s="21">
        <f>IF(B549="","",J549-K549-L549-M549-I549)</f>
        <v/>
      </c>
    </row>
    <row r="550">
      <c r="B550" s="11" t="n"/>
      <c r="C550" s="8" t="n"/>
      <c r="D550" s="8" t="n"/>
      <c r="E550" s="8" t="n"/>
      <c r="F550" s="20" t="n"/>
      <c r="G550" s="20" t="n"/>
      <c r="H550" s="8" t="n"/>
      <c r="I550" s="20" t="n"/>
      <c r="J550" s="21">
        <f>IF(B550="","",F550+G550)</f>
        <v/>
      </c>
      <c r="K550" s="21">
        <f>IF(B550="","",J550*(Settings!$C$11+Settings!$C$12+Settings!$C$14)+IF(C550="",Settings!$C$13,IF(COUNTIF($C$5:C550,C550)=1,Settings!$C$13,0))+E550*Settings!$C$15+IF(H550="Yes",J550*Settings!$C$16,0))</f>
        <v/>
      </c>
      <c r="L550" s="21">
        <f>IF(B550="","",IF(Settings!$C$5="Yes",0,K550*Settings!$C$17))</f>
        <v/>
      </c>
      <c r="M550" s="21">
        <f>IF(B550="","",E550*IFERROR(VLOOKUP(D550,Products!$B$5:$F$204,5,FALSE),0))</f>
        <v/>
      </c>
      <c r="N550" s="21">
        <f>IF(B550="","",J550-K550-L550-M550-I550)</f>
        <v/>
      </c>
    </row>
    <row r="551">
      <c r="B551" s="11" t="n"/>
      <c r="C551" s="8" t="n"/>
      <c r="D551" s="8" t="n"/>
      <c r="E551" s="8" t="n"/>
      <c r="F551" s="20" t="n"/>
      <c r="G551" s="20" t="n"/>
      <c r="H551" s="8" t="n"/>
      <c r="I551" s="20" t="n"/>
      <c r="J551" s="21">
        <f>IF(B551="","",F551+G551)</f>
        <v/>
      </c>
      <c r="K551" s="21">
        <f>IF(B551="","",J551*(Settings!$C$11+Settings!$C$12+Settings!$C$14)+IF(C551="",Settings!$C$13,IF(COUNTIF($C$5:C551,C551)=1,Settings!$C$13,0))+E551*Settings!$C$15+IF(H551="Yes",J551*Settings!$C$16,0))</f>
        <v/>
      </c>
      <c r="L551" s="21">
        <f>IF(B551="","",IF(Settings!$C$5="Yes",0,K551*Settings!$C$17))</f>
        <v/>
      </c>
      <c r="M551" s="21">
        <f>IF(B551="","",E551*IFERROR(VLOOKUP(D551,Products!$B$5:$F$204,5,FALSE),0))</f>
        <v/>
      </c>
      <c r="N551" s="21">
        <f>IF(B551="","",J551-K551-L551-M551-I551)</f>
        <v/>
      </c>
    </row>
    <row r="552">
      <c r="B552" s="11" t="n"/>
      <c r="C552" s="8" t="n"/>
      <c r="D552" s="8" t="n"/>
      <c r="E552" s="8" t="n"/>
      <c r="F552" s="20" t="n"/>
      <c r="G552" s="20" t="n"/>
      <c r="H552" s="8" t="n"/>
      <c r="I552" s="20" t="n"/>
      <c r="J552" s="21">
        <f>IF(B552="","",F552+G552)</f>
        <v/>
      </c>
      <c r="K552" s="21">
        <f>IF(B552="","",J552*(Settings!$C$11+Settings!$C$12+Settings!$C$14)+IF(C552="",Settings!$C$13,IF(COUNTIF($C$5:C552,C552)=1,Settings!$C$13,0))+E552*Settings!$C$15+IF(H552="Yes",J552*Settings!$C$16,0))</f>
        <v/>
      </c>
      <c r="L552" s="21">
        <f>IF(B552="","",IF(Settings!$C$5="Yes",0,K552*Settings!$C$17))</f>
        <v/>
      </c>
      <c r="M552" s="21">
        <f>IF(B552="","",E552*IFERROR(VLOOKUP(D552,Products!$B$5:$F$204,5,FALSE),0))</f>
        <v/>
      </c>
      <c r="N552" s="21">
        <f>IF(B552="","",J552-K552-L552-M552-I552)</f>
        <v/>
      </c>
    </row>
    <row r="553">
      <c r="B553" s="11" t="n"/>
      <c r="C553" s="8" t="n"/>
      <c r="D553" s="8" t="n"/>
      <c r="E553" s="8" t="n"/>
      <c r="F553" s="20" t="n"/>
      <c r="G553" s="20" t="n"/>
      <c r="H553" s="8" t="n"/>
      <c r="I553" s="20" t="n"/>
      <c r="J553" s="21">
        <f>IF(B553="","",F553+G553)</f>
        <v/>
      </c>
      <c r="K553" s="21">
        <f>IF(B553="","",J553*(Settings!$C$11+Settings!$C$12+Settings!$C$14)+IF(C553="",Settings!$C$13,IF(COUNTIF($C$5:C553,C553)=1,Settings!$C$13,0))+E553*Settings!$C$15+IF(H553="Yes",J553*Settings!$C$16,0))</f>
        <v/>
      </c>
      <c r="L553" s="21">
        <f>IF(B553="","",IF(Settings!$C$5="Yes",0,K553*Settings!$C$17))</f>
        <v/>
      </c>
      <c r="M553" s="21">
        <f>IF(B553="","",E553*IFERROR(VLOOKUP(D553,Products!$B$5:$F$204,5,FALSE),0))</f>
        <v/>
      </c>
      <c r="N553" s="21">
        <f>IF(B553="","",J553-K553-L553-M553-I553)</f>
        <v/>
      </c>
    </row>
    <row r="554">
      <c r="B554" s="11" t="n"/>
      <c r="C554" s="8" t="n"/>
      <c r="D554" s="8" t="n"/>
      <c r="E554" s="8" t="n"/>
      <c r="F554" s="20" t="n"/>
      <c r="G554" s="20" t="n"/>
      <c r="H554" s="8" t="n"/>
      <c r="I554" s="20" t="n"/>
      <c r="J554" s="21">
        <f>IF(B554="","",F554+G554)</f>
        <v/>
      </c>
      <c r="K554" s="21">
        <f>IF(B554="","",J554*(Settings!$C$11+Settings!$C$12+Settings!$C$14)+IF(C554="",Settings!$C$13,IF(COUNTIF($C$5:C554,C554)=1,Settings!$C$13,0))+E554*Settings!$C$15+IF(H554="Yes",J554*Settings!$C$16,0))</f>
        <v/>
      </c>
      <c r="L554" s="21">
        <f>IF(B554="","",IF(Settings!$C$5="Yes",0,K554*Settings!$C$17))</f>
        <v/>
      </c>
      <c r="M554" s="21">
        <f>IF(B554="","",E554*IFERROR(VLOOKUP(D554,Products!$B$5:$F$204,5,FALSE),0))</f>
        <v/>
      </c>
      <c r="N554" s="21">
        <f>IF(B554="","",J554-K554-L554-M554-I554)</f>
        <v/>
      </c>
    </row>
    <row r="555">
      <c r="B555" s="11" t="n"/>
      <c r="C555" s="8" t="n"/>
      <c r="D555" s="8" t="n"/>
      <c r="E555" s="8" t="n"/>
      <c r="F555" s="20" t="n"/>
      <c r="G555" s="20" t="n"/>
      <c r="H555" s="8" t="n"/>
      <c r="I555" s="20" t="n"/>
      <c r="J555" s="21">
        <f>IF(B555="","",F555+G555)</f>
        <v/>
      </c>
      <c r="K555" s="21">
        <f>IF(B555="","",J555*(Settings!$C$11+Settings!$C$12+Settings!$C$14)+IF(C555="",Settings!$C$13,IF(COUNTIF($C$5:C555,C555)=1,Settings!$C$13,0))+E555*Settings!$C$15+IF(H555="Yes",J555*Settings!$C$16,0))</f>
        <v/>
      </c>
      <c r="L555" s="21">
        <f>IF(B555="","",IF(Settings!$C$5="Yes",0,K555*Settings!$C$17))</f>
        <v/>
      </c>
      <c r="M555" s="21">
        <f>IF(B555="","",E555*IFERROR(VLOOKUP(D555,Products!$B$5:$F$204,5,FALSE),0))</f>
        <v/>
      </c>
      <c r="N555" s="21">
        <f>IF(B555="","",J555-K555-L555-M555-I555)</f>
        <v/>
      </c>
    </row>
    <row r="556">
      <c r="B556" s="11" t="n"/>
      <c r="C556" s="8" t="n"/>
      <c r="D556" s="8" t="n"/>
      <c r="E556" s="8" t="n"/>
      <c r="F556" s="20" t="n"/>
      <c r="G556" s="20" t="n"/>
      <c r="H556" s="8" t="n"/>
      <c r="I556" s="20" t="n"/>
      <c r="J556" s="21">
        <f>IF(B556="","",F556+G556)</f>
        <v/>
      </c>
      <c r="K556" s="21">
        <f>IF(B556="","",J556*(Settings!$C$11+Settings!$C$12+Settings!$C$14)+IF(C556="",Settings!$C$13,IF(COUNTIF($C$5:C556,C556)=1,Settings!$C$13,0))+E556*Settings!$C$15+IF(H556="Yes",J556*Settings!$C$16,0))</f>
        <v/>
      </c>
      <c r="L556" s="21">
        <f>IF(B556="","",IF(Settings!$C$5="Yes",0,K556*Settings!$C$17))</f>
        <v/>
      </c>
      <c r="M556" s="21">
        <f>IF(B556="","",E556*IFERROR(VLOOKUP(D556,Products!$B$5:$F$204,5,FALSE),0))</f>
        <v/>
      </c>
      <c r="N556" s="21">
        <f>IF(B556="","",J556-K556-L556-M556-I556)</f>
        <v/>
      </c>
    </row>
    <row r="557">
      <c r="B557" s="11" t="n"/>
      <c r="C557" s="8" t="n"/>
      <c r="D557" s="8" t="n"/>
      <c r="E557" s="8" t="n"/>
      <c r="F557" s="20" t="n"/>
      <c r="G557" s="20" t="n"/>
      <c r="H557" s="8" t="n"/>
      <c r="I557" s="20" t="n"/>
      <c r="J557" s="21">
        <f>IF(B557="","",F557+G557)</f>
        <v/>
      </c>
      <c r="K557" s="21">
        <f>IF(B557="","",J557*(Settings!$C$11+Settings!$C$12+Settings!$C$14)+IF(C557="",Settings!$C$13,IF(COUNTIF($C$5:C557,C557)=1,Settings!$C$13,0))+E557*Settings!$C$15+IF(H557="Yes",J557*Settings!$C$16,0))</f>
        <v/>
      </c>
      <c r="L557" s="21">
        <f>IF(B557="","",IF(Settings!$C$5="Yes",0,K557*Settings!$C$17))</f>
        <v/>
      </c>
      <c r="M557" s="21">
        <f>IF(B557="","",E557*IFERROR(VLOOKUP(D557,Products!$B$5:$F$204,5,FALSE),0))</f>
        <v/>
      </c>
      <c r="N557" s="21">
        <f>IF(B557="","",J557-K557-L557-M557-I557)</f>
        <v/>
      </c>
    </row>
    <row r="558">
      <c r="B558" s="11" t="n"/>
      <c r="C558" s="8" t="n"/>
      <c r="D558" s="8" t="n"/>
      <c r="E558" s="8" t="n"/>
      <c r="F558" s="20" t="n"/>
      <c r="G558" s="20" t="n"/>
      <c r="H558" s="8" t="n"/>
      <c r="I558" s="20" t="n"/>
      <c r="J558" s="21">
        <f>IF(B558="","",F558+G558)</f>
        <v/>
      </c>
      <c r="K558" s="21">
        <f>IF(B558="","",J558*(Settings!$C$11+Settings!$C$12+Settings!$C$14)+IF(C558="",Settings!$C$13,IF(COUNTIF($C$5:C558,C558)=1,Settings!$C$13,0))+E558*Settings!$C$15+IF(H558="Yes",J558*Settings!$C$16,0))</f>
        <v/>
      </c>
      <c r="L558" s="21">
        <f>IF(B558="","",IF(Settings!$C$5="Yes",0,K558*Settings!$C$17))</f>
        <v/>
      </c>
      <c r="M558" s="21">
        <f>IF(B558="","",E558*IFERROR(VLOOKUP(D558,Products!$B$5:$F$204,5,FALSE),0))</f>
        <v/>
      </c>
      <c r="N558" s="21">
        <f>IF(B558="","",J558-K558-L558-M558-I558)</f>
        <v/>
      </c>
    </row>
    <row r="559">
      <c r="B559" s="11" t="n"/>
      <c r="C559" s="8" t="n"/>
      <c r="D559" s="8" t="n"/>
      <c r="E559" s="8" t="n"/>
      <c r="F559" s="20" t="n"/>
      <c r="G559" s="20" t="n"/>
      <c r="H559" s="8" t="n"/>
      <c r="I559" s="20" t="n"/>
      <c r="J559" s="21">
        <f>IF(B559="","",F559+G559)</f>
        <v/>
      </c>
      <c r="K559" s="21">
        <f>IF(B559="","",J559*(Settings!$C$11+Settings!$C$12+Settings!$C$14)+IF(C559="",Settings!$C$13,IF(COUNTIF($C$5:C559,C559)=1,Settings!$C$13,0))+E559*Settings!$C$15+IF(H559="Yes",J559*Settings!$C$16,0))</f>
        <v/>
      </c>
      <c r="L559" s="21">
        <f>IF(B559="","",IF(Settings!$C$5="Yes",0,K559*Settings!$C$17))</f>
        <v/>
      </c>
      <c r="M559" s="21">
        <f>IF(B559="","",E559*IFERROR(VLOOKUP(D559,Products!$B$5:$F$204,5,FALSE),0))</f>
        <v/>
      </c>
      <c r="N559" s="21">
        <f>IF(B559="","",J559-K559-L559-M559-I559)</f>
        <v/>
      </c>
    </row>
    <row r="560">
      <c r="B560" s="11" t="n"/>
      <c r="C560" s="8" t="n"/>
      <c r="D560" s="8" t="n"/>
      <c r="E560" s="8" t="n"/>
      <c r="F560" s="20" t="n"/>
      <c r="G560" s="20" t="n"/>
      <c r="H560" s="8" t="n"/>
      <c r="I560" s="20" t="n"/>
      <c r="J560" s="21">
        <f>IF(B560="","",F560+G560)</f>
        <v/>
      </c>
      <c r="K560" s="21">
        <f>IF(B560="","",J560*(Settings!$C$11+Settings!$C$12+Settings!$C$14)+IF(C560="",Settings!$C$13,IF(COUNTIF($C$5:C560,C560)=1,Settings!$C$13,0))+E560*Settings!$C$15+IF(H560="Yes",J560*Settings!$C$16,0))</f>
        <v/>
      </c>
      <c r="L560" s="21">
        <f>IF(B560="","",IF(Settings!$C$5="Yes",0,K560*Settings!$C$17))</f>
        <v/>
      </c>
      <c r="M560" s="21">
        <f>IF(B560="","",E560*IFERROR(VLOOKUP(D560,Products!$B$5:$F$204,5,FALSE),0))</f>
        <v/>
      </c>
      <c r="N560" s="21">
        <f>IF(B560="","",J560-K560-L560-M560-I560)</f>
        <v/>
      </c>
    </row>
    <row r="561">
      <c r="B561" s="11" t="n"/>
      <c r="C561" s="8" t="n"/>
      <c r="D561" s="8" t="n"/>
      <c r="E561" s="8" t="n"/>
      <c r="F561" s="20" t="n"/>
      <c r="G561" s="20" t="n"/>
      <c r="H561" s="8" t="n"/>
      <c r="I561" s="20" t="n"/>
      <c r="J561" s="21">
        <f>IF(B561="","",F561+G561)</f>
        <v/>
      </c>
      <c r="K561" s="21">
        <f>IF(B561="","",J561*(Settings!$C$11+Settings!$C$12+Settings!$C$14)+IF(C561="",Settings!$C$13,IF(COUNTIF($C$5:C561,C561)=1,Settings!$C$13,0))+E561*Settings!$C$15+IF(H561="Yes",J561*Settings!$C$16,0))</f>
        <v/>
      </c>
      <c r="L561" s="21">
        <f>IF(B561="","",IF(Settings!$C$5="Yes",0,K561*Settings!$C$17))</f>
        <v/>
      </c>
      <c r="M561" s="21">
        <f>IF(B561="","",E561*IFERROR(VLOOKUP(D561,Products!$B$5:$F$204,5,FALSE),0))</f>
        <v/>
      </c>
      <c r="N561" s="21">
        <f>IF(B561="","",J561-K561-L561-M561-I561)</f>
        <v/>
      </c>
    </row>
    <row r="562">
      <c r="B562" s="11" t="n"/>
      <c r="C562" s="8" t="n"/>
      <c r="D562" s="8" t="n"/>
      <c r="E562" s="8" t="n"/>
      <c r="F562" s="20" t="n"/>
      <c r="G562" s="20" t="n"/>
      <c r="H562" s="8" t="n"/>
      <c r="I562" s="20" t="n"/>
      <c r="J562" s="21">
        <f>IF(B562="","",F562+G562)</f>
        <v/>
      </c>
      <c r="K562" s="21">
        <f>IF(B562="","",J562*(Settings!$C$11+Settings!$C$12+Settings!$C$14)+IF(C562="",Settings!$C$13,IF(COUNTIF($C$5:C562,C562)=1,Settings!$C$13,0))+E562*Settings!$C$15+IF(H562="Yes",J562*Settings!$C$16,0))</f>
        <v/>
      </c>
      <c r="L562" s="21">
        <f>IF(B562="","",IF(Settings!$C$5="Yes",0,K562*Settings!$C$17))</f>
        <v/>
      </c>
      <c r="M562" s="21">
        <f>IF(B562="","",E562*IFERROR(VLOOKUP(D562,Products!$B$5:$F$204,5,FALSE),0))</f>
        <v/>
      </c>
      <c r="N562" s="21">
        <f>IF(B562="","",J562-K562-L562-M562-I562)</f>
        <v/>
      </c>
    </row>
    <row r="563">
      <c r="B563" s="11" t="n"/>
      <c r="C563" s="8" t="n"/>
      <c r="D563" s="8" t="n"/>
      <c r="E563" s="8" t="n"/>
      <c r="F563" s="20" t="n"/>
      <c r="G563" s="20" t="n"/>
      <c r="H563" s="8" t="n"/>
      <c r="I563" s="20" t="n"/>
      <c r="J563" s="21">
        <f>IF(B563="","",F563+G563)</f>
        <v/>
      </c>
      <c r="K563" s="21">
        <f>IF(B563="","",J563*(Settings!$C$11+Settings!$C$12+Settings!$C$14)+IF(C563="",Settings!$C$13,IF(COUNTIF($C$5:C563,C563)=1,Settings!$C$13,0))+E563*Settings!$C$15+IF(H563="Yes",J563*Settings!$C$16,0))</f>
        <v/>
      </c>
      <c r="L563" s="21">
        <f>IF(B563="","",IF(Settings!$C$5="Yes",0,K563*Settings!$C$17))</f>
        <v/>
      </c>
      <c r="M563" s="21">
        <f>IF(B563="","",E563*IFERROR(VLOOKUP(D563,Products!$B$5:$F$204,5,FALSE),0))</f>
        <v/>
      </c>
      <c r="N563" s="21">
        <f>IF(B563="","",J563-K563-L563-M563-I563)</f>
        <v/>
      </c>
    </row>
    <row r="564">
      <c r="B564" s="11" t="n"/>
      <c r="C564" s="8" t="n"/>
      <c r="D564" s="8" t="n"/>
      <c r="E564" s="8" t="n"/>
      <c r="F564" s="20" t="n"/>
      <c r="G564" s="20" t="n"/>
      <c r="H564" s="8" t="n"/>
      <c r="I564" s="20" t="n"/>
      <c r="J564" s="21">
        <f>IF(B564="","",F564+G564)</f>
        <v/>
      </c>
      <c r="K564" s="21">
        <f>IF(B564="","",J564*(Settings!$C$11+Settings!$C$12+Settings!$C$14)+IF(C564="",Settings!$C$13,IF(COUNTIF($C$5:C564,C564)=1,Settings!$C$13,0))+E564*Settings!$C$15+IF(H564="Yes",J564*Settings!$C$16,0))</f>
        <v/>
      </c>
      <c r="L564" s="21">
        <f>IF(B564="","",IF(Settings!$C$5="Yes",0,K564*Settings!$C$17))</f>
        <v/>
      </c>
      <c r="M564" s="21">
        <f>IF(B564="","",E564*IFERROR(VLOOKUP(D564,Products!$B$5:$F$204,5,FALSE),0))</f>
        <v/>
      </c>
      <c r="N564" s="21">
        <f>IF(B564="","",J564-K564-L564-M564-I564)</f>
        <v/>
      </c>
    </row>
    <row r="565">
      <c r="B565" s="11" t="n"/>
      <c r="C565" s="8" t="n"/>
      <c r="D565" s="8" t="n"/>
      <c r="E565" s="8" t="n"/>
      <c r="F565" s="20" t="n"/>
      <c r="G565" s="20" t="n"/>
      <c r="H565" s="8" t="n"/>
      <c r="I565" s="20" t="n"/>
      <c r="J565" s="21">
        <f>IF(B565="","",F565+G565)</f>
        <v/>
      </c>
      <c r="K565" s="21">
        <f>IF(B565="","",J565*(Settings!$C$11+Settings!$C$12+Settings!$C$14)+IF(C565="",Settings!$C$13,IF(COUNTIF($C$5:C565,C565)=1,Settings!$C$13,0))+E565*Settings!$C$15+IF(H565="Yes",J565*Settings!$C$16,0))</f>
        <v/>
      </c>
      <c r="L565" s="21">
        <f>IF(B565="","",IF(Settings!$C$5="Yes",0,K565*Settings!$C$17))</f>
        <v/>
      </c>
      <c r="M565" s="21">
        <f>IF(B565="","",E565*IFERROR(VLOOKUP(D565,Products!$B$5:$F$204,5,FALSE),0))</f>
        <v/>
      </c>
      <c r="N565" s="21">
        <f>IF(B565="","",J565-K565-L565-M565-I565)</f>
        <v/>
      </c>
    </row>
    <row r="566">
      <c r="B566" s="11" t="n"/>
      <c r="C566" s="8" t="n"/>
      <c r="D566" s="8" t="n"/>
      <c r="E566" s="8" t="n"/>
      <c r="F566" s="20" t="n"/>
      <c r="G566" s="20" t="n"/>
      <c r="H566" s="8" t="n"/>
      <c r="I566" s="20" t="n"/>
      <c r="J566" s="21">
        <f>IF(B566="","",F566+G566)</f>
        <v/>
      </c>
      <c r="K566" s="21">
        <f>IF(B566="","",J566*(Settings!$C$11+Settings!$C$12+Settings!$C$14)+IF(C566="",Settings!$C$13,IF(COUNTIF($C$5:C566,C566)=1,Settings!$C$13,0))+E566*Settings!$C$15+IF(H566="Yes",J566*Settings!$C$16,0))</f>
        <v/>
      </c>
      <c r="L566" s="21">
        <f>IF(B566="","",IF(Settings!$C$5="Yes",0,K566*Settings!$C$17))</f>
        <v/>
      </c>
      <c r="M566" s="21">
        <f>IF(B566="","",E566*IFERROR(VLOOKUP(D566,Products!$B$5:$F$204,5,FALSE),0))</f>
        <v/>
      </c>
      <c r="N566" s="21">
        <f>IF(B566="","",J566-K566-L566-M566-I566)</f>
        <v/>
      </c>
    </row>
    <row r="567">
      <c r="B567" s="11" t="n"/>
      <c r="C567" s="8" t="n"/>
      <c r="D567" s="8" t="n"/>
      <c r="E567" s="8" t="n"/>
      <c r="F567" s="20" t="n"/>
      <c r="G567" s="20" t="n"/>
      <c r="H567" s="8" t="n"/>
      <c r="I567" s="20" t="n"/>
      <c r="J567" s="21">
        <f>IF(B567="","",F567+G567)</f>
        <v/>
      </c>
      <c r="K567" s="21">
        <f>IF(B567="","",J567*(Settings!$C$11+Settings!$C$12+Settings!$C$14)+IF(C567="",Settings!$C$13,IF(COUNTIF($C$5:C567,C567)=1,Settings!$C$13,0))+E567*Settings!$C$15+IF(H567="Yes",J567*Settings!$C$16,0))</f>
        <v/>
      </c>
      <c r="L567" s="21">
        <f>IF(B567="","",IF(Settings!$C$5="Yes",0,K567*Settings!$C$17))</f>
        <v/>
      </c>
      <c r="M567" s="21">
        <f>IF(B567="","",E567*IFERROR(VLOOKUP(D567,Products!$B$5:$F$204,5,FALSE),0))</f>
        <v/>
      </c>
      <c r="N567" s="21">
        <f>IF(B567="","",J567-K567-L567-M567-I567)</f>
        <v/>
      </c>
    </row>
    <row r="568">
      <c r="B568" s="11" t="n"/>
      <c r="C568" s="8" t="n"/>
      <c r="D568" s="8" t="n"/>
      <c r="E568" s="8" t="n"/>
      <c r="F568" s="20" t="n"/>
      <c r="G568" s="20" t="n"/>
      <c r="H568" s="8" t="n"/>
      <c r="I568" s="20" t="n"/>
      <c r="J568" s="21">
        <f>IF(B568="","",F568+G568)</f>
        <v/>
      </c>
      <c r="K568" s="21">
        <f>IF(B568="","",J568*(Settings!$C$11+Settings!$C$12+Settings!$C$14)+IF(C568="",Settings!$C$13,IF(COUNTIF($C$5:C568,C568)=1,Settings!$C$13,0))+E568*Settings!$C$15+IF(H568="Yes",J568*Settings!$C$16,0))</f>
        <v/>
      </c>
      <c r="L568" s="21">
        <f>IF(B568="","",IF(Settings!$C$5="Yes",0,K568*Settings!$C$17))</f>
        <v/>
      </c>
      <c r="M568" s="21">
        <f>IF(B568="","",E568*IFERROR(VLOOKUP(D568,Products!$B$5:$F$204,5,FALSE),0))</f>
        <v/>
      </c>
      <c r="N568" s="21">
        <f>IF(B568="","",J568-K568-L568-M568-I568)</f>
        <v/>
      </c>
    </row>
    <row r="569">
      <c r="B569" s="11" t="n"/>
      <c r="C569" s="8" t="n"/>
      <c r="D569" s="8" t="n"/>
      <c r="E569" s="8" t="n"/>
      <c r="F569" s="20" t="n"/>
      <c r="G569" s="20" t="n"/>
      <c r="H569" s="8" t="n"/>
      <c r="I569" s="20" t="n"/>
      <c r="J569" s="21">
        <f>IF(B569="","",F569+G569)</f>
        <v/>
      </c>
      <c r="K569" s="21">
        <f>IF(B569="","",J569*(Settings!$C$11+Settings!$C$12+Settings!$C$14)+IF(C569="",Settings!$C$13,IF(COUNTIF($C$5:C569,C569)=1,Settings!$C$13,0))+E569*Settings!$C$15+IF(H569="Yes",J569*Settings!$C$16,0))</f>
        <v/>
      </c>
      <c r="L569" s="21">
        <f>IF(B569="","",IF(Settings!$C$5="Yes",0,K569*Settings!$C$17))</f>
        <v/>
      </c>
      <c r="M569" s="21">
        <f>IF(B569="","",E569*IFERROR(VLOOKUP(D569,Products!$B$5:$F$204,5,FALSE),0))</f>
        <v/>
      </c>
      <c r="N569" s="21">
        <f>IF(B569="","",J569-K569-L569-M569-I569)</f>
        <v/>
      </c>
    </row>
    <row r="570">
      <c r="B570" s="11" t="n"/>
      <c r="C570" s="8" t="n"/>
      <c r="D570" s="8" t="n"/>
      <c r="E570" s="8" t="n"/>
      <c r="F570" s="20" t="n"/>
      <c r="G570" s="20" t="n"/>
      <c r="H570" s="8" t="n"/>
      <c r="I570" s="20" t="n"/>
      <c r="J570" s="21">
        <f>IF(B570="","",F570+G570)</f>
        <v/>
      </c>
      <c r="K570" s="21">
        <f>IF(B570="","",J570*(Settings!$C$11+Settings!$C$12+Settings!$C$14)+IF(C570="",Settings!$C$13,IF(COUNTIF($C$5:C570,C570)=1,Settings!$C$13,0))+E570*Settings!$C$15+IF(H570="Yes",J570*Settings!$C$16,0))</f>
        <v/>
      </c>
      <c r="L570" s="21">
        <f>IF(B570="","",IF(Settings!$C$5="Yes",0,K570*Settings!$C$17))</f>
        <v/>
      </c>
      <c r="M570" s="21">
        <f>IF(B570="","",E570*IFERROR(VLOOKUP(D570,Products!$B$5:$F$204,5,FALSE),0))</f>
        <v/>
      </c>
      <c r="N570" s="21">
        <f>IF(B570="","",J570-K570-L570-M570-I570)</f>
        <v/>
      </c>
    </row>
    <row r="571">
      <c r="B571" s="11" t="n"/>
      <c r="C571" s="8" t="n"/>
      <c r="D571" s="8" t="n"/>
      <c r="E571" s="8" t="n"/>
      <c r="F571" s="20" t="n"/>
      <c r="G571" s="20" t="n"/>
      <c r="H571" s="8" t="n"/>
      <c r="I571" s="20" t="n"/>
      <c r="J571" s="21">
        <f>IF(B571="","",F571+G571)</f>
        <v/>
      </c>
      <c r="K571" s="21">
        <f>IF(B571="","",J571*(Settings!$C$11+Settings!$C$12+Settings!$C$14)+IF(C571="",Settings!$C$13,IF(COUNTIF($C$5:C571,C571)=1,Settings!$C$13,0))+E571*Settings!$C$15+IF(H571="Yes",J571*Settings!$C$16,0))</f>
        <v/>
      </c>
      <c r="L571" s="21">
        <f>IF(B571="","",IF(Settings!$C$5="Yes",0,K571*Settings!$C$17))</f>
        <v/>
      </c>
      <c r="M571" s="21">
        <f>IF(B571="","",E571*IFERROR(VLOOKUP(D571,Products!$B$5:$F$204,5,FALSE),0))</f>
        <v/>
      </c>
      <c r="N571" s="21">
        <f>IF(B571="","",J571-K571-L571-M571-I571)</f>
        <v/>
      </c>
    </row>
    <row r="572">
      <c r="B572" s="11" t="n"/>
      <c r="C572" s="8" t="n"/>
      <c r="D572" s="8" t="n"/>
      <c r="E572" s="8" t="n"/>
      <c r="F572" s="20" t="n"/>
      <c r="G572" s="20" t="n"/>
      <c r="H572" s="8" t="n"/>
      <c r="I572" s="20" t="n"/>
      <c r="J572" s="21">
        <f>IF(B572="","",F572+G572)</f>
        <v/>
      </c>
      <c r="K572" s="21">
        <f>IF(B572="","",J572*(Settings!$C$11+Settings!$C$12+Settings!$C$14)+IF(C572="",Settings!$C$13,IF(COUNTIF($C$5:C572,C572)=1,Settings!$C$13,0))+E572*Settings!$C$15+IF(H572="Yes",J572*Settings!$C$16,0))</f>
        <v/>
      </c>
      <c r="L572" s="21">
        <f>IF(B572="","",IF(Settings!$C$5="Yes",0,K572*Settings!$C$17))</f>
        <v/>
      </c>
      <c r="M572" s="21">
        <f>IF(B572="","",E572*IFERROR(VLOOKUP(D572,Products!$B$5:$F$204,5,FALSE),0))</f>
        <v/>
      </c>
      <c r="N572" s="21">
        <f>IF(B572="","",J572-K572-L572-M572-I572)</f>
        <v/>
      </c>
    </row>
    <row r="573">
      <c r="B573" s="11" t="n"/>
      <c r="C573" s="8" t="n"/>
      <c r="D573" s="8" t="n"/>
      <c r="E573" s="8" t="n"/>
      <c r="F573" s="20" t="n"/>
      <c r="G573" s="20" t="n"/>
      <c r="H573" s="8" t="n"/>
      <c r="I573" s="20" t="n"/>
      <c r="J573" s="21">
        <f>IF(B573="","",F573+G573)</f>
        <v/>
      </c>
      <c r="K573" s="21">
        <f>IF(B573="","",J573*(Settings!$C$11+Settings!$C$12+Settings!$C$14)+IF(C573="",Settings!$C$13,IF(COUNTIF($C$5:C573,C573)=1,Settings!$C$13,0))+E573*Settings!$C$15+IF(H573="Yes",J573*Settings!$C$16,0))</f>
        <v/>
      </c>
      <c r="L573" s="21">
        <f>IF(B573="","",IF(Settings!$C$5="Yes",0,K573*Settings!$C$17))</f>
        <v/>
      </c>
      <c r="M573" s="21">
        <f>IF(B573="","",E573*IFERROR(VLOOKUP(D573,Products!$B$5:$F$204,5,FALSE),0))</f>
        <v/>
      </c>
      <c r="N573" s="21">
        <f>IF(B573="","",J573-K573-L573-M573-I573)</f>
        <v/>
      </c>
    </row>
    <row r="574">
      <c r="B574" s="11" t="n"/>
      <c r="C574" s="8" t="n"/>
      <c r="D574" s="8" t="n"/>
      <c r="E574" s="8" t="n"/>
      <c r="F574" s="20" t="n"/>
      <c r="G574" s="20" t="n"/>
      <c r="H574" s="8" t="n"/>
      <c r="I574" s="20" t="n"/>
      <c r="J574" s="21">
        <f>IF(B574="","",F574+G574)</f>
        <v/>
      </c>
      <c r="K574" s="21">
        <f>IF(B574="","",J574*(Settings!$C$11+Settings!$C$12+Settings!$C$14)+IF(C574="",Settings!$C$13,IF(COUNTIF($C$5:C574,C574)=1,Settings!$C$13,0))+E574*Settings!$C$15+IF(H574="Yes",J574*Settings!$C$16,0))</f>
        <v/>
      </c>
      <c r="L574" s="21">
        <f>IF(B574="","",IF(Settings!$C$5="Yes",0,K574*Settings!$C$17))</f>
        <v/>
      </c>
      <c r="M574" s="21">
        <f>IF(B574="","",E574*IFERROR(VLOOKUP(D574,Products!$B$5:$F$204,5,FALSE),0))</f>
        <v/>
      </c>
      <c r="N574" s="21">
        <f>IF(B574="","",J574-K574-L574-M574-I574)</f>
        <v/>
      </c>
    </row>
    <row r="575">
      <c r="B575" s="11" t="n"/>
      <c r="C575" s="8" t="n"/>
      <c r="D575" s="8" t="n"/>
      <c r="E575" s="8" t="n"/>
      <c r="F575" s="20" t="n"/>
      <c r="G575" s="20" t="n"/>
      <c r="H575" s="8" t="n"/>
      <c r="I575" s="20" t="n"/>
      <c r="J575" s="21">
        <f>IF(B575="","",F575+G575)</f>
        <v/>
      </c>
      <c r="K575" s="21">
        <f>IF(B575="","",J575*(Settings!$C$11+Settings!$C$12+Settings!$C$14)+IF(C575="",Settings!$C$13,IF(COUNTIF($C$5:C575,C575)=1,Settings!$C$13,0))+E575*Settings!$C$15+IF(H575="Yes",J575*Settings!$C$16,0))</f>
        <v/>
      </c>
      <c r="L575" s="21">
        <f>IF(B575="","",IF(Settings!$C$5="Yes",0,K575*Settings!$C$17))</f>
        <v/>
      </c>
      <c r="M575" s="21">
        <f>IF(B575="","",E575*IFERROR(VLOOKUP(D575,Products!$B$5:$F$204,5,FALSE),0))</f>
        <v/>
      </c>
      <c r="N575" s="21">
        <f>IF(B575="","",J575-K575-L575-M575-I575)</f>
        <v/>
      </c>
    </row>
    <row r="576">
      <c r="B576" s="11" t="n"/>
      <c r="C576" s="8" t="n"/>
      <c r="D576" s="8" t="n"/>
      <c r="E576" s="8" t="n"/>
      <c r="F576" s="20" t="n"/>
      <c r="G576" s="20" t="n"/>
      <c r="H576" s="8" t="n"/>
      <c r="I576" s="20" t="n"/>
      <c r="J576" s="21">
        <f>IF(B576="","",F576+G576)</f>
        <v/>
      </c>
      <c r="K576" s="21">
        <f>IF(B576="","",J576*(Settings!$C$11+Settings!$C$12+Settings!$C$14)+IF(C576="",Settings!$C$13,IF(COUNTIF($C$5:C576,C576)=1,Settings!$C$13,0))+E576*Settings!$C$15+IF(H576="Yes",J576*Settings!$C$16,0))</f>
        <v/>
      </c>
      <c r="L576" s="21">
        <f>IF(B576="","",IF(Settings!$C$5="Yes",0,K576*Settings!$C$17))</f>
        <v/>
      </c>
      <c r="M576" s="21">
        <f>IF(B576="","",E576*IFERROR(VLOOKUP(D576,Products!$B$5:$F$204,5,FALSE),0))</f>
        <v/>
      </c>
      <c r="N576" s="21">
        <f>IF(B576="","",J576-K576-L576-M576-I576)</f>
        <v/>
      </c>
    </row>
    <row r="577">
      <c r="B577" s="11" t="n"/>
      <c r="C577" s="8" t="n"/>
      <c r="D577" s="8" t="n"/>
      <c r="E577" s="8" t="n"/>
      <c r="F577" s="20" t="n"/>
      <c r="G577" s="20" t="n"/>
      <c r="H577" s="8" t="n"/>
      <c r="I577" s="20" t="n"/>
      <c r="J577" s="21">
        <f>IF(B577="","",F577+G577)</f>
        <v/>
      </c>
      <c r="K577" s="21">
        <f>IF(B577="","",J577*(Settings!$C$11+Settings!$C$12+Settings!$C$14)+IF(C577="",Settings!$C$13,IF(COUNTIF($C$5:C577,C577)=1,Settings!$C$13,0))+E577*Settings!$C$15+IF(H577="Yes",J577*Settings!$C$16,0))</f>
        <v/>
      </c>
      <c r="L577" s="21">
        <f>IF(B577="","",IF(Settings!$C$5="Yes",0,K577*Settings!$C$17))</f>
        <v/>
      </c>
      <c r="M577" s="21">
        <f>IF(B577="","",E577*IFERROR(VLOOKUP(D577,Products!$B$5:$F$204,5,FALSE),0))</f>
        <v/>
      </c>
      <c r="N577" s="21">
        <f>IF(B577="","",J577-K577-L577-M577-I577)</f>
        <v/>
      </c>
    </row>
    <row r="578">
      <c r="B578" s="11" t="n"/>
      <c r="C578" s="8" t="n"/>
      <c r="D578" s="8" t="n"/>
      <c r="E578" s="8" t="n"/>
      <c r="F578" s="20" t="n"/>
      <c r="G578" s="20" t="n"/>
      <c r="H578" s="8" t="n"/>
      <c r="I578" s="20" t="n"/>
      <c r="J578" s="21">
        <f>IF(B578="","",F578+G578)</f>
        <v/>
      </c>
      <c r="K578" s="21">
        <f>IF(B578="","",J578*(Settings!$C$11+Settings!$C$12+Settings!$C$14)+IF(C578="",Settings!$C$13,IF(COUNTIF($C$5:C578,C578)=1,Settings!$C$13,0))+E578*Settings!$C$15+IF(H578="Yes",J578*Settings!$C$16,0))</f>
        <v/>
      </c>
      <c r="L578" s="21">
        <f>IF(B578="","",IF(Settings!$C$5="Yes",0,K578*Settings!$C$17))</f>
        <v/>
      </c>
      <c r="M578" s="21">
        <f>IF(B578="","",E578*IFERROR(VLOOKUP(D578,Products!$B$5:$F$204,5,FALSE),0))</f>
        <v/>
      </c>
      <c r="N578" s="21">
        <f>IF(B578="","",J578-K578-L578-M578-I578)</f>
        <v/>
      </c>
    </row>
    <row r="579">
      <c r="B579" s="11" t="n"/>
      <c r="C579" s="8" t="n"/>
      <c r="D579" s="8" t="n"/>
      <c r="E579" s="8" t="n"/>
      <c r="F579" s="20" t="n"/>
      <c r="G579" s="20" t="n"/>
      <c r="H579" s="8" t="n"/>
      <c r="I579" s="20" t="n"/>
      <c r="J579" s="21">
        <f>IF(B579="","",F579+G579)</f>
        <v/>
      </c>
      <c r="K579" s="21">
        <f>IF(B579="","",J579*(Settings!$C$11+Settings!$C$12+Settings!$C$14)+IF(C579="",Settings!$C$13,IF(COUNTIF($C$5:C579,C579)=1,Settings!$C$13,0))+E579*Settings!$C$15+IF(H579="Yes",J579*Settings!$C$16,0))</f>
        <v/>
      </c>
      <c r="L579" s="21">
        <f>IF(B579="","",IF(Settings!$C$5="Yes",0,K579*Settings!$C$17))</f>
        <v/>
      </c>
      <c r="M579" s="21">
        <f>IF(B579="","",E579*IFERROR(VLOOKUP(D579,Products!$B$5:$F$204,5,FALSE),0))</f>
        <v/>
      </c>
      <c r="N579" s="21">
        <f>IF(B579="","",J579-K579-L579-M579-I579)</f>
        <v/>
      </c>
    </row>
    <row r="580">
      <c r="B580" s="11" t="n"/>
      <c r="C580" s="8" t="n"/>
      <c r="D580" s="8" t="n"/>
      <c r="E580" s="8" t="n"/>
      <c r="F580" s="20" t="n"/>
      <c r="G580" s="20" t="n"/>
      <c r="H580" s="8" t="n"/>
      <c r="I580" s="20" t="n"/>
      <c r="J580" s="21">
        <f>IF(B580="","",F580+G580)</f>
        <v/>
      </c>
      <c r="K580" s="21">
        <f>IF(B580="","",J580*(Settings!$C$11+Settings!$C$12+Settings!$C$14)+IF(C580="",Settings!$C$13,IF(COUNTIF($C$5:C580,C580)=1,Settings!$C$13,0))+E580*Settings!$C$15+IF(H580="Yes",J580*Settings!$C$16,0))</f>
        <v/>
      </c>
      <c r="L580" s="21">
        <f>IF(B580="","",IF(Settings!$C$5="Yes",0,K580*Settings!$C$17))</f>
        <v/>
      </c>
      <c r="M580" s="21">
        <f>IF(B580="","",E580*IFERROR(VLOOKUP(D580,Products!$B$5:$F$204,5,FALSE),0))</f>
        <v/>
      </c>
      <c r="N580" s="21">
        <f>IF(B580="","",J580-K580-L580-M580-I580)</f>
        <v/>
      </c>
    </row>
    <row r="581">
      <c r="B581" s="11" t="n"/>
      <c r="C581" s="8" t="n"/>
      <c r="D581" s="8" t="n"/>
      <c r="E581" s="8" t="n"/>
      <c r="F581" s="20" t="n"/>
      <c r="G581" s="20" t="n"/>
      <c r="H581" s="8" t="n"/>
      <c r="I581" s="20" t="n"/>
      <c r="J581" s="21">
        <f>IF(B581="","",F581+G581)</f>
        <v/>
      </c>
      <c r="K581" s="21">
        <f>IF(B581="","",J581*(Settings!$C$11+Settings!$C$12+Settings!$C$14)+IF(C581="",Settings!$C$13,IF(COUNTIF($C$5:C581,C581)=1,Settings!$C$13,0))+E581*Settings!$C$15+IF(H581="Yes",J581*Settings!$C$16,0))</f>
        <v/>
      </c>
      <c r="L581" s="21">
        <f>IF(B581="","",IF(Settings!$C$5="Yes",0,K581*Settings!$C$17))</f>
        <v/>
      </c>
      <c r="M581" s="21">
        <f>IF(B581="","",E581*IFERROR(VLOOKUP(D581,Products!$B$5:$F$204,5,FALSE),0))</f>
        <v/>
      </c>
      <c r="N581" s="21">
        <f>IF(B581="","",J581-K581-L581-M581-I581)</f>
        <v/>
      </c>
    </row>
    <row r="582">
      <c r="B582" s="11" t="n"/>
      <c r="C582" s="8" t="n"/>
      <c r="D582" s="8" t="n"/>
      <c r="E582" s="8" t="n"/>
      <c r="F582" s="20" t="n"/>
      <c r="G582" s="20" t="n"/>
      <c r="H582" s="8" t="n"/>
      <c r="I582" s="20" t="n"/>
      <c r="J582" s="21">
        <f>IF(B582="","",F582+G582)</f>
        <v/>
      </c>
      <c r="K582" s="21">
        <f>IF(B582="","",J582*(Settings!$C$11+Settings!$C$12+Settings!$C$14)+IF(C582="",Settings!$C$13,IF(COUNTIF($C$5:C582,C582)=1,Settings!$C$13,0))+E582*Settings!$C$15+IF(H582="Yes",J582*Settings!$C$16,0))</f>
        <v/>
      </c>
      <c r="L582" s="21">
        <f>IF(B582="","",IF(Settings!$C$5="Yes",0,K582*Settings!$C$17))</f>
        <v/>
      </c>
      <c r="M582" s="21">
        <f>IF(B582="","",E582*IFERROR(VLOOKUP(D582,Products!$B$5:$F$204,5,FALSE),0))</f>
        <v/>
      </c>
      <c r="N582" s="21">
        <f>IF(B582="","",J582-K582-L582-M582-I582)</f>
        <v/>
      </c>
    </row>
    <row r="583">
      <c r="B583" s="11" t="n"/>
      <c r="C583" s="8" t="n"/>
      <c r="D583" s="8" t="n"/>
      <c r="E583" s="8" t="n"/>
      <c r="F583" s="20" t="n"/>
      <c r="G583" s="20" t="n"/>
      <c r="H583" s="8" t="n"/>
      <c r="I583" s="20" t="n"/>
      <c r="J583" s="21">
        <f>IF(B583="","",F583+G583)</f>
        <v/>
      </c>
      <c r="K583" s="21">
        <f>IF(B583="","",J583*(Settings!$C$11+Settings!$C$12+Settings!$C$14)+IF(C583="",Settings!$C$13,IF(COUNTIF($C$5:C583,C583)=1,Settings!$C$13,0))+E583*Settings!$C$15+IF(H583="Yes",J583*Settings!$C$16,0))</f>
        <v/>
      </c>
      <c r="L583" s="21">
        <f>IF(B583="","",IF(Settings!$C$5="Yes",0,K583*Settings!$C$17))</f>
        <v/>
      </c>
      <c r="M583" s="21">
        <f>IF(B583="","",E583*IFERROR(VLOOKUP(D583,Products!$B$5:$F$204,5,FALSE),0))</f>
        <v/>
      </c>
      <c r="N583" s="21">
        <f>IF(B583="","",J583-K583-L583-M583-I583)</f>
        <v/>
      </c>
    </row>
    <row r="584">
      <c r="B584" s="11" t="n"/>
      <c r="C584" s="8" t="n"/>
      <c r="D584" s="8" t="n"/>
      <c r="E584" s="8" t="n"/>
      <c r="F584" s="20" t="n"/>
      <c r="G584" s="20" t="n"/>
      <c r="H584" s="8" t="n"/>
      <c r="I584" s="20" t="n"/>
      <c r="J584" s="21">
        <f>IF(B584="","",F584+G584)</f>
        <v/>
      </c>
      <c r="K584" s="21">
        <f>IF(B584="","",J584*(Settings!$C$11+Settings!$C$12+Settings!$C$14)+IF(C584="",Settings!$C$13,IF(COUNTIF($C$5:C584,C584)=1,Settings!$C$13,0))+E584*Settings!$C$15+IF(H584="Yes",J584*Settings!$C$16,0))</f>
        <v/>
      </c>
      <c r="L584" s="21">
        <f>IF(B584="","",IF(Settings!$C$5="Yes",0,K584*Settings!$C$17))</f>
        <v/>
      </c>
      <c r="M584" s="21">
        <f>IF(B584="","",E584*IFERROR(VLOOKUP(D584,Products!$B$5:$F$204,5,FALSE),0))</f>
        <v/>
      </c>
      <c r="N584" s="21">
        <f>IF(B584="","",J584-K584-L584-M584-I584)</f>
        <v/>
      </c>
    </row>
    <row r="585">
      <c r="B585" s="11" t="n"/>
      <c r="C585" s="8" t="n"/>
      <c r="D585" s="8" t="n"/>
      <c r="E585" s="8" t="n"/>
      <c r="F585" s="20" t="n"/>
      <c r="G585" s="20" t="n"/>
      <c r="H585" s="8" t="n"/>
      <c r="I585" s="20" t="n"/>
      <c r="J585" s="21">
        <f>IF(B585="","",F585+G585)</f>
        <v/>
      </c>
      <c r="K585" s="21">
        <f>IF(B585="","",J585*(Settings!$C$11+Settings!$C$12+Settings!$C$14)+IF(C585="",Settings!$C$13,IF(COUNTIF($C$5:C585,C585)=1,Settings!$C$13,0))+E585*Settings!$C$15+IF(H585="Yes",J585*Settings!$C$16,0))</f>
        <v/>
      </c>
      <c r="L585" s="21">
        <f>IF(B585="","",IF(Settings!$C$5="Yes",0,K585*Settings!$C$17))</f>
        <v/>
      </c>
      <c r="M585" s="21">
        <f>IF(B585="","",E585*IFERROR(VLOOKUP(D585,Products!$B$5:$F$204,5,FALSE),0))</f>
        <v/>
      </c>
      <c r="N585" s="21">
        <f>IF(B585="","",J585-K585-L585-M585-I585)</f>
        <v/>
      </c>
    </row>
    <row r="586">
      <c r="B586" s="11" t="n"/>
      <c r="C586" s="8" t="n"/>
      <c r="D586" s="8" t="n"/>
      <c r="E586" s="8" t="n"/>
      <c r="F586" s="20" t="n"/>
      <c r="G586" s="20" t="n"/>
      <c r="H586" s="8" t="n"/>
      <c r="I586" s="20" t="n"/>
      <c r="J586" s="21">
        <f>IF(B586="","",F586+G586)</f>
        <v/>
      </c>
      <c r="K586" s="21">
        <f>IF(B586="","",J586*(Settings!$C$11+Settings!$C$12+Settings!$C$14)+IF(C586="",Settings!$C$13,IF(COUNTIF($C$5:C586,C586)=1,Settings!$C$13,0))+E586*Settings!$C$15+IF(H586="Yes",J586*Settings!$C$16,0))</f>
        <v/>
      </c>
      <c r="L586" s="21">
        <f>IF(B586="","",IF(Settings!$C$5="Yes",0,K586*Settings!$C$17))</f>
        <v/>
      </c>
      <c r="M586" s="21">
        <f>IF(B586="","",E586*IFERROR(VLOOKUP(D586,Products!$B$5:$F$204,5,FALSE),0))</f>
        <v/>
      </c>
      <c r="N586" s="21">
        <f>IF(B586="","",J586-K586-L586-M586-I586)</f>
        <v/>
      </c>
    </row>
    <row r="587">
      <c r="B587" s="11" t="n"/>
      <c r="C587" s="8" t="n"/>
      <c r="D587" s="8" t="n"/>
      <c r="E587" s="8" t="n"/>
      <c r="F587" s="20" t="n"/>
      <c r="G587" s="20" t="n"/>
      <c r="H587" s="8" t="n"/>
      <c r="I587" s="20" t="n"/>
      <c r="J587" s="21">
        <f>IF(B587="","",F587+G587)</f>
        <v/>
      </c>
      <c r="K587" s="21">
        <f>IF(B587="","",J587*(Settings!$C$11+Settings!$C$12+Settings!$C$14)+IF(C587="",Settings!$C$13,IF(COUNTIF($C$5:C587,C587)=1,Settings!$C$13,0))+E587*Settings!$C$15+IF(H587="Yes",J587*Settings!$C$16,0))</f>
        <v/>
      </c>
      <c r="L587" s="21">
        <f>IF(B587="","",IF(Settings!$C$5="Yes",0,K587*Settings!$C$17))</f>
        <v/>
      </c>
      <c r="M587" s="21">
        <f>IF(B587="","",E587*IFERROR(VLOOKUP(D587,Products!$B$5:$F$204,5,FALSE),0))</f>
        <v/>
      </c>
      <c r="N587" s="21">
        <f>IF(B587="","",J587-K587-L587-M587-I587)</f>
        <v/>
      </c>
    </row>
    <row r="588">
      <c r="B588" s="11" t="n"/>
      <c r="C588" s="8" t="n"/>
      <c r="D588" s="8" t="n"/>
      <c r="E588" s="8" t="n"/>
      <c r="F588" s="20" t="n"/>
      <c r="G588" s="20" t="n"/>
      <c r="H588" s="8" t="n"/>
      <c r="I588" s="20" t="n"/>
      <c r="J588" s="21">
        <f>IF(B588="","",F588+G588)</f>
        <v/>
      </c>
      <c r="K588" s="21">
        <f>IF(B588="","",J588*(Settings!$C$11+Settings!$C$12+Settings!$C$14)+IF(C588="",Settings!$C$13,IF(COUNTIF($C$5:C588,C588)=1,Settings!$C$13,0))+E588*Settings!$C$15+IF(H588="Yes",J588*Settings!$C$16,0))</f>
        <v/>
      </c>
      <c r="L588" s="21">
        <f>IF(B588="","",IF(Settings!$C$5="Yes",0,K588*Settings!$C$17))</f>
        <v/>
      </c>
      <c r="M588" s="21">
        <f>IF(B588="","",E588*IFERROR(VLOOKUP(D588,Products!$B$5:$F$204,5,FALSE),0))</f>
        <v/>
      </c>
      <c r="N588" s="21">
        <f>IF(B588="","",J588-K588-L588-M588-I588)</f>
        <v/>
      </c>
    </row>
    <row r="589">
      <c r="B589" s="11" t="n"/>
      <c r="C589" s="8" t="n"/>
      <c r="D589" s="8" t="n"/>
      <c r="E589" s="8" t="n"/>
      <c r="F589" s="20" t="n"/>
      <c r="G589" s="20" t="n"/>
      <c r="H589" s="8" t="n"/>
      <c r="I589" s="20" t="n"/>
      <c r="J589" s="21">
        <f>IF(B589="","",F589+G589)</f>
        <v/>
      </c>
      <c r="K589" s="21">
        <f>IF(B589="","",J589*(Settings!$C$11+Settings!$C$12+Settings!$C$14)+IF(C589="",Settings!$C$13,IF(COUNTIF($C$5:C589,C589)=1,Settings!$C$13,0))+E589*Settings!$C$15+IF(H589="Yes",J589*Settings!$C$16,0))</f>
        <v/>
      </c>
      <c r="L589" s="21">
        <f>IF(B589="","",IF(Settings!$C$5="Yes",0,K589*Settings!$C$17))</f>
        <v/>
      </c>
      <c r="M589" s="21">
        <f>IF(B589="","",E589*IFERROR(VLOOKUP(D589,Products!$B$5:$F$204,5,FALSE),0))</f>
        <v/>
      </c>
      <c r="N589" s="21">
        <f>IF(B589="","",J589-K589-L589-M589-I589)</f>
        <v/>
      </c>
    </row>
    <row r="590">
      <c r="B590" s="11" t="n"/>
      <c r="C590" s="8" t="n"/>
      <c r="D590" s="8" t="n"/>
      <c r="E590" s="8" t="n"/>
      <c r="F590" s="20" t="n"/>
      <c r="G590" s="20" t="n"/>
      <c r="H590" s="8" t="n"/>
      <c r="I590" s="20" t="n"/>
      <c r="J590" s="21">
        <f>IF(B590="","",F590+G590)</f>
        <v/>
      </c>
      <c r="K590" s="21">
        <f>IF(B590="","",J590*(Settings!$C$11+Settings!$C$12+Settings!$C$14)+IF(C590="",Settings!$C$13,IF(COUNTIF($C$5:C590,C590)=1,Settings!$C$13,0))+E590*Settings!$C$15+IF(H590="Yes",J590*Settings!$C$16,0))</f>
        <v/>
      </c>
      <c r="L590" s="21">
        <f>IF(B590="","",IF(Settings!$C$5="Yes",0,K590*Settings!$C$17))</f>
        <v/>
      </c>
      <c r="M590" s="21">
        <f>IF(B590="","",E590*IFERROR(VLOOKUP(D590,Products!$B$5:$F$204,5,FALSE),0))</f>
        <v/>
      </c>
      <c r="N590" s="21">
        <f>IF(B590="","",J590-K590-L590-M590-I590)</f>
        <v/>
      </c>
    </row>
    <row r="591">
      <c r="B591" s="11" t="n"/>
      <c r="C591" s="8" t="n"/>
      <c r="D591" s="8" t="n"/>
      <c r="E591" s="8" t="n"/>
      <c r="F591" s="20" t="n"/>
      <c r="G591" s="20" t="n"/>
      <c r="H591" s="8" t="n"/>
      <c r="I591" s="20" t="n"/>
      <c r="J591" s="21">
        <f>IF(B591="","",F591+G591)</f>
        <v/>
      </c>
      <c r="K591" s="21">
        <f>IF(B591="","",J591*(Settings!$C$11+Settings!$C$12+Settings!$C$14)+IF(C591="",Settings!$C$13,IF(COUNTIF($C$5:C591,C591)=1,Settings!$C$13,0))+E591*Settings!$C$15+IF(H591="Yes",J591*Settings!$C$16,0))</f>
        <v/>
      </c>
      <c r="L591" s="21">
        <f>IF(B591="","",IF(Settings!$C$5="Yes",0,K591*Settings!$C$17))</f>
        <v/>
      </c>
      <c r="M591" s="21">
        <f>IF(B591="","",E591*IFERROR(VLOOKUP(D591,Products!$B$5:$F$204,5,FALSE),0))</f>
        <v/>
      </c>
      <c r="N591" s="21">
        <f>IF(B591="","",J591-K591-L591-M591-I591)</f>
        <v/>
      </c>
    </row>
    <row r="592">
      <c r="B592" s="11" t="n"/>
      <c r="C592" s="8" t="n"/>
      <c r="D592" s="8" t="n"/>
      <c r="E592" s="8" t="n"/>
      <c r="F592" s="20" t="n"/>
      <c r="G592" s="20" t="n"/>
      <c r="H592" s="8" t="n"/>
      <c r="I592" s="20" t="n"/>
      <c r="J592" s="21">
        <f>IF(B592="","",F592+G592)</f>
        <v/>
      </c>
      <c r="K592" s="21">
        <f>IF(B592="","",J592*(Settings!$C$11+Settings!$C$12+Settings!$C$14)+IF(C592="",Settings!$C$13,IF(COUNTIF($C$5:C592,C592)=1,Settings!$C$13,0))+E592*Settings!$C$15+IF(H592="Yes",J592*Settings!$C$16,0))</f>
        <v/>
      </c>
      <c r="L592" s="21">
        <f>IF(B592="","",IF(Settings!$C$5="Yes",0,K592*Settings!$C$17))</f>
        <v/>
      </c>
      <c r="M592" s="21">
        <f>IF(B592="","",E592*IFERROR(VLOOKUP(D592,Products!$B$5:$F$204,5,FALSE),0))</f>
        <v/>
      </c>
      <c r="N592" s="21">
        <f>IF(B592="","",J592-K592-L592-M592-I592)</f>
        <v/>
      </c>
    </row>
    <row r="593">
      <c r="B593" s="11" t="n"/>
      <c r="C593" s="8" t="n"/>
      <c r="D593" s="8" t="n"/>
      <c r="E593" s="8" t="n"/>
      <c r="F593" s="20" t="n"/>
      <c r="G593" s="20" t="n"/>
      <c r="H593" s="8" t="n"/>
      <c r="I593" s="20" t="n"/>
      <c r="J593" s="21">
        <f>IF(B593="","",F593+G593)</f>
        <v/>
      </c>
      <c r="K593" s="21">
        <f>IF(B593="","",J593*(Settings!$C$11+Settings!$C$12+Settings!$C$14)+IF(C593="",Settings!$C$13,IF(COUNTIF($C$5:C593,C593)=1,Settings!$C$13,0))+E593*Settings!$C$15+IF(H593="Yes",J593*Settings!$C$16,0))</f>
        <v/>
      </c>
      <c r="L593" s="21">
        <f>IF(B593="","",IF(Settings!$C$5="Yes",0,K593*Settings!$C$17))</f>
        <v/>
      </c>
      <c r="M593" s="21">
        <f>IF(B593="","",E593*IFERROR(VLOOKUP(D593,Products!$B$5:$F$204,5,FALSE),0))</f>
        <v/>
      </c>
      <c r="N593" s="21">
        <f>IF(B593="","",J593-K593-L593-M593-I593)</f>
        <v/>
      </c>
    </row>
    <row r="594">
      <c r="B594" s="11" t="n"/>
      <c r="C594" s="8" t="n"/>
      <c r="D594" s="8" t="n"/>
      <c r="E594" s="8" t="n"/>
      <c r="F594" s="20" t="n"/>
      <c r="G594" s="20" t="n"/>
      <c r="H594" s="8" t="n"/>
      <c r="I594" s="20" t="n"/>
      <c r="J594" s="21">
        <f>IF(B594="","",F594+G594)</f>
        <v/>
      </c>
      <c r="K594" s="21">
        <f>IF(B594="","",J594*(Settings!$C$11+Settings!$C$12+Settings!$C$14)+IF(C594="",Settings!$C$13,IF(COUNTIF($C$5:C594,C594)=1,Settings!$C$13,0))+E594*Settings!$C$15+IF(H594="Yes",J594*Settings!$C$16,0))</f>
        <v/>
      </c>
      <c r="L594" s="21">
        <f>IF(B594="","",IF(Settings!$C$5="Yes",0,K594*Settings!$C$17))</f>
        <v/>
      </c>
      <c r="M594" s="21">
        <f>IF(B594="","",E594*IFERROR(VLOOKUP(D594,Products!$B$5:$F$204,5,FALSE),0))</f>
        <v/>
      </c>
      <c r="N594" s="21">
        <f>IF(B594="","",J594-K594-L594-M594-I594)</f>
        <v/>
      </c>
    </row>
    <row r="595">
      <c r="B595" s="11" t="n"/>
      <c r="C595" s="8" t="n"/>
      <c r="D595" s="8" t="n"/>
      <c r="E595" s="8" t="n"/>
      <c r="F595" s="20" t="n"/>
      <c r="G595" s="20" t="n"/>
      <c r="H595" s="8" t="n"/>
      <c r="I595" s="20" t="n"/>
      <c r="J595" s="21">
        <f>IF(B595="","",F595+G595)</f>
        <v/>
      </c>
      <c r="K595" s="21">
        <f>IF(B595="","",J595*(Settings!$C$11+Settings!$C$12+Settings!$C$14)+IF(C595="",Settings!$C$13,IF(COUNTIF($C$5:C595,C595)=1,Settings!$C$13,0))+E595*Settings!$C$15+IF(H595="Yes",J595*Settings!$C$16,0))</f>
        <v/>
      </c>
      <c r="L595" s="21">
        <f>IF(B595="","",IF(Settings!$C$5="Yes",0,K595*Settings!$C$17))</f>
        <v/>
      </c>
      <c r="M595" s="21">
        <f>IF(B595="","",E595*IFERROR(VLOOKUP(D595,Products!$B$5:$F$204,5,FALSE),0))</f>
        <v/>
      </c>
      <c r="N595" s="21">
        <f>IF(B595="","",J595-K595-L595-M595-I595)</f>
        <v/>
      </c>
    </row>
    <row r="596">
      <c r="B596" s="11" t="n"/>
      <c r="C596" s="8" t="n"/>
      <c r="D596" s="8" t="n"/>
      <c r="E596" s="8" t="n"/>
      <c r="F596" s="20" t="n"/>
      <c r="G596" s="20" t="n"/>
      <c r="H596" s="8" t="n"/>
      <c r="I596" s="20" t="n"/>
      <c r="J596" s="21">
        <f>IF(B596="","",F596+G596)</f>
        <v/>
      </c>
      <c r="K596" s="21">
        <f>IF(B596="","",J596*(Settings!$C$11+Settings!$C$12+Settings!$C$14)+IF(C596="",Settings!$C$13,IF(COUNTIF($C$5:C596,C596)=1,Settings!$C$13,0))+E596*Settings!$C$15+IF(H596="Yes",J596*Settings!$C$16,0))</f>
        <v/>
      </c>
      <c r="L596" s="21">
        <f>IF(B596="","",IF(Settings!$C$5="Yes",0,K596*Settings!$C$17))</f>
        <v/>
      </c>
      <c r="M596" s="21">
        <f>IF(B596="","",E596*IFERROR(VLOOKUP(D596,Products!$B$5:$F$204,5,FALSE),0))</f>
        <v/>
      </c>
      <c r="N596" s="21">
        <f>IF(B596="","",J596-K596-L596-M596-I596)</f>
        <v/>
      </c>
    </row>
    <row r="597">
      <c r="B597" s="11" t="n"/>
      <c r="C597" s="8" t="n"/>
      <c r="D597" s="8" t="n"/>
      <c r="E597" s="8" t="n"/>
      <c r="F597" s="20" t="n"/>
      <c r="G597" s="20" t="n"/>
      <c r="H597" s="8" t="n"/>
      <c r="I597" s="20" t="n"/>
      <c r="J597" s="21">
        <f>IF(B597="","",F597+G597)</f>
        <v/>
      </c>
      <c r="K597" s="21">
        <f>IF(B597="","",J597*(Settings!$C$11+Settings!$C$12+Settings!$C$14)+IF(C597="",Settings!$C$13,IF(COUNTIF($C$5:C597,C597)=1,Settings!$C$13,0))+E597*Settings!$C$15+IF(H597="Yes",J597*Settings!$C$16,0))</f>
        <v/>
      </c>
      <c r="L597" s="21">
        <f>IF(B597="","",IF(Settings!$C$5="Yes",0,K597*Settings!$C$17))</f>
        <v/>
      </c>
      <c r="M597" s="21">
        <f>IF(B597="","",E597*IFERROR(VLOOKUP(D597,Products!$B$5:$F$204,5,FALSE),0))</f>
        <v/>
      </c>
      <c r="N597" s="21">
        <f>IF(B597="","",J597-K597-L597-M597-I597)</f>
        <v/>
      </c>
    </row>
    <row r="598">
      <c r="B598" s="11" t="n"/>
      <c r="C598" s="8" t="n"/>
      <c r="D598" s="8" t="n"/>
      <c r="E598" s="8" t="n"/>
      <c r="F598" s="20" t="n"/>
      <c r="G598" s="20" t="n"/>
      <c r="H598" s="8" t="n"/>
      <c r="I598" s="20" t="n"/>
      <c r="J598" s="21">
        <f>IF(B598="","",F598+G598)</f>
        <v/>
      </c>
      <c r="K598" s="21">
        <f>IF(B598="","",J598*(Settings!$C$11+Settings!$C$12+Settings!$C$14)+IF(C598="",Settings!$C$13,IF(COUNTIF($C$5:C598,C598)=1,Settings!$C$13,0))+E598*Settings!$C$15+IF(H598="Yes",J598*Settings!$C$16,0))</f>
        <v/>
      </c>
      <c r="L598" s="21">
        <f>IF(B598="","",IF(Settings!$C$5="Yes",0,K598*Settings!$C$17))</f>
        <v/>
      </c>
      <c r="M598" s="21">
        <f>IF(B598="","",E598*IFERROR(VLOOKUP(D598,Products!$B$5:$F$204,5,FALSE),0))</f>
        <v/>
      </c>
      <c r="N598" s="21">
        <f>IF(B598="","",J598-K598-L598-M598-I598)</f>
        <v/>
      </c>
    </row>
    <row r="599">
      <c r="B599" s="11" t="n"/>
      <c r="C599" s="8" t="n"/>
      <c r="D599" s="8" t="n"/>
      <c r="E599" s="8" t="n"/>
      <c r="F599" s="20" t="n"/>
      <c r="G599" s="20" t="n"/>
      <c r="H599" s="8" t="n"/>
      <c r="I599" s="20" t="n"/>
      <c r="J599" s="21">
        <f>IF(B599="","",F599+G599)</f>
        <v/>
      </c>
      <c r="K599" s="21">
        <f>IF(B599="","",J599*(Settings!$C$11+Settings!$C$12+Settings!$C$14)+IF(C599="",Settings!$C$13,IF(COUNTIF($C$5:C599,C599)=1,Settings!$C$13,0))+E599*Settings!$C$15+IF(H599="Yes",J599*Settings!$C$16,0))</f>
        <v/>
      </c>
      <c r="L599" s="21">
        <f>IF(B599="","",IF(Settings!$C$5="Yes",0,K599*Settings!$C$17))</f>
        <v/>
      </c>
      <c r="M599" s="21">
        <f>IF(B599="","",E599*IFERROR(VLOOKUP(D599,Products!$B$5:$F$204,5,FALSE),0))</f>
        <v/>
      </c>
      <c r="N599" s="21">
        <f>IF(B599="","",J599-K599-L599-M599-I599)</f>
        <v/>
      </c>
    </row>
    <row r="600">
      <c r="B600" s="11" t="n"/>
      <c r="C600" s="8" t="n"/>
      <c r="D600" s="8" t="n"/>
      <c r="E600" s="8" t="n"/>
      <c r="F600" s="20" t="n"/>
      <c r="G600" s="20" t="n"/>
      <c r="H600" s="8" t="n"/>
      <c r="I600" s="20" t="n"/>
      <c r="J600" s="21">
        <f>IF(B600="","",F600+G600)</f>
        <v/>
      </c>
      <c r="K600" s="21">
        <f>IF(B600="","",J600*(Settings!$C$11+Settings!$C$12+Settings!$C$14)+IF(C600="",Settings!$C$13,IF(COUNTIF($C$5:C600,C600)=1,Settings!$C$13,0))+E600*Settings!$C$15+IF(H600="Yes",J600*Settings!$C$16,0))</f>
        <v/>
      </c>
      <c r="L600" s="21">
        <f>IF(B600="","",IF(Settings!$C$5="Yes",0,K600*Settings!$C$17))</f>
        <v/>
      </c>
      <c r="M600" s="21">
        <f>IF(B600="","",E600*IFERROR(VLOOKUP(D600,Products!$B$5:$F$204,5,FALSE),0))</f>
        <v/>
      </c>
      <c r="N600" s="21">
        <f>IF(B600="","",J600-K600-L600-M600-I600)</f>
        <v/>
      </c>
    </row>
    <row r="601">
      <c r="B601" s="11" t="n"/>
      <c r="C601" s="8" t="n"/>
      <c r="D601" s="8" t="n"/>
      <c r="E601" s="8" t="n"/>
      <c r="F601" s="20" t="n"/>
      <c r="G601" s="20" t="n"/>
      <c r="H601" s="8" t="n"/>
      <c r="I601" s="20" t="n"/>
      <c r="J601" s="21">
        <f>IF(B601="","",F601+G601)</f>
        <v/>
      </c>
      <c r="K601" s="21">
        <f>IF(B601="","",J601*(Settings!$C$11+Settings!$C$12+Settings!$C$14)+IF(C601="",Settings!$C$13,IF(COUNTIF($C$5:C601,C601)=1,Settings!$C$13,0))+E601*Settings!$C$15+IF(H601="Yes",J601*Settings!$C$16,0))</f>
        <v/>
      </c>
      <c r="L601" s="21">
        <f>IF(B601="","",IF(Settings!$C$5="Yes",0,K601*Settings!$C$17))</f>
        <v/>
      </c>
      <c r="M601" s="21">
        <f>IF(B601="","",E601*IFERROR(VLOOKUP(D601,Products!$B$5:$F$204,5,FALSE),0))</f>
        <v/>
      </c>
      <c r="N601" s="21">
        <f>IF(B601="","",J601-K601-L601-M601-I601)</f>
        <v/>
      </c>
    </row>
    <row r="602">
      <c r="B602" s="11" t="n"/>
      <c r="C602" s="8" t="n"/>
      <c r="D602" s="8" t="n"/>
      <c r="E602" s="8" t="n"/>
      <c r="F602" s="20" t="n"/>
      <c r="G602" s="20" t="n"/>
      <c r="H602" s="8" t="n"/>
      <c r="I602" s="20" t="n"/>
      <c r="J602" s="21">
        <f>IF(B602="","",F602+G602)</f>
        <v/>
      </c>
      <c r="K602" s="21">
        <f>IF(B602="","",J602*(Settings!$C$11+Settings!$C$12+Settings!$C$14)+IF(C602="",Settings!$C$13,IF(COUNTIF($C$5:C602,C602)=1,Settings!$C$13,0))+E602*Settings!$C$15+IF(H602="Yes",J602*Settings!$C$16,0))</f>
        <v/>
      </c>
      <c r="L602" s="21">
        <f>IF(B602="","",IF(Settings!$C$5="Yes",0,K602*Settings!$C$17))</f>
        <v/>
      </c>
      <c r="M602" s="21">
        <f>IF(B602="","",E602*IFERROR(VLOOKUP(D602,Products!$B$5:$F$204,5,FALSE),0))</f>
        <v/>
      </c>
      <c r="N602" s="21">
        <f>IF(B602="","",J602-K602-L602-M602-I602)</f>
        <v/>
      </c>
    </row>
    <row r="603">
      <c r="B603" s="11" t="n"/>
      <c r="C603" s="8" t="n"/>
      <c r="D603" s="8" t="n"/>
      <c r="E603" s="8" t="n"/>
      <c r="F603" s="20" t="n"/>
      <c r="G603" s="20" t="n"/>
      <c r="H603" s="8" t="n"/>
      <c r="I603" s="20" t="n"/>
      <c r="J603" s="21">
        <f>IF(B603="","",F603+G603)</f>
        <v/>
      </c>
      <c r="K603" s="21">
        <f>IF(B603="","",J603*(Settings!$C$11+Settings!$C$12+Settings!$C$14)+IF(C603="",Settings!$C$13,IF(COUNTIF($C$5:C603,C603)=1,Settings!$C$13,0))+E603*Settings!$C$15+IF(H603="Yes",J603*Settings!$C$16,0))</f>
        <v/>
      </c>
      <c r="L603" s="21">
        <f>IF(B603="","",IF(Settings!$C$5="Yes",0,K603*Settings!$C$17))</f>
        <v/>
      </c>
      <c r="M603" s="21">
        <f>IF(B603="","",E603*IFERROR(VLOOKUP(D603,Products!$B$5:$F$204,5,FALSE),0))</f>
        <v/>
      </c>
      <c r="N603" s="21">
        <f>IF(B603="","",J603-K603-L603-M603-I603)</f>
        <v/>
      </c>
    </row>
    <row r="604">
      <c r="B604" s="11" t="n"/>
      <c r="C604" s="8" t="n"/>
      <c r="D604" s="8" t="n"/>
      <c r="E604" s="8" t="n"/>
      <c r="F604" s="20" t="n"/>
      <c r="G604" s="20" t="n"/>
      <c r="H604" s="8" t="n"/>
      <c r="I604" s="20" t="n"/>
      <c r="J604" s="21">
        <f>IF(B604="","",F604+G604)</f>
        <v/>
      </c>
      <c r="K604" s="21">
        <f>IF(B604="","",J604*(Settings!$C$11+Settings!$C$12+Settings!$C$14)+IF(C604="",Settings!$C$13,IF(COUNTIF($C$5:C604,C604)=1,Settings!$C$13,0))+E604*Settings!$C$15+IF(H604="Yes",J604*Settings!$C$16,0))</f>
        <v/>
      </c>
      <c r="L604" s="21">
        <f>IF(B604="","",IF(Settings!$C$5="Yes",0,K604*Settings!$C$17))</f>
        <v/>
      </c>
      <c r="M604" s="21">
        <f>IF(B604="","",E604*IFERROR(VLOOKUP(D604,Products!$B$5:$F$204,5,FALSE),0))</f>
        <v/>
      </c>
      <c r="N604" s="21">
        <f>IF(B604="","",J604-K604-L604-M604-I604)</f>
        <v/>
      </c>
    </row>
    <row r="605">
      <c r="B605" s="11" t="n"/>
      <c r="C605" s="8" t="n"/>
      <c r="D605" s="8" t="n"/>
      <c r="E605" s="8" t="n"/>
      <c r="F605" s="20" t="n"/>
      <c r="G605" s="20" t="n"/>
      <c r="H605" s="8" t="n"/>
      <c r="I605" s="20" t="n"/>
      <c r="J605" s="21">
        <f>IF(B605="","",F605+G605)</f>
        <v/>
      </c>
      <c r="K605" s="21">
        <f>IF(B605="","",J605*(Settings!$C$11+Settings!$C$12+Settings!$C$14)+IF(C605="",Settings!$C$13,IF(COUNTIF($C$5:C605,C605)=1,Settings!$C$13,0))+E605*Settings!$C$15+IF(H605="Yes",J605*Settings!$C$16,0))</f>
        <v/>
      </c>
      <c r="L605" s="21">
        <f>IF(B605="","",IF(Settings!$C$5="Yes",0,K605*Settings!$C$17))</f>
        <v/>
      </c>
      <c r="M605" s="21">
        <f>IF(B605="","",E605*IFERROR(VLOOKUP(D605,Products!$B$5:$F$204,5,FALSE),0))</f>
        <v/>
      </c>
      <c r="N605" s="21">
        <f>IF(B605="","",J605-K605-L605-M605-I605)</f>
        <v/>
      </c>
    </row>
    <row r="606">
      <c r="B606" s="11" t="n"/>
      <c r="C606" s="8" t="n"/>
      <c r="D606" s="8" t="n"/>
      <c r="E606" s="8" t="n"/>
      <c r="F606" s="20" t="n"/>
      <c r="G606" s="20" t="n"/>
      <c r="H606" s="8" t="n"/>
      <c r="I606" s="20" t="n"/>
      <c r="J606" s="21">
        <f>IF(B606="","",F606+G606)</f>
        <v/>
      </c>
      <c r="K606" s="21">
        <f>IF(B606="","",J606*(Settings!$C$11+Settings!$C$12+Settings!$C$14)+IF(C606="",Settings!$C$13,IF(COUNTIF($C$5:C606,C606)=1,Settings!$C$13,0))+E606*Settings!$C$15+IF(H606="Yes",J606*Settings!$C$16,0))</f>
        <v/>
      </c>
      <c r="L606" s="21">
        <f>IF(B606="","",IF(Settings!$C$5="Yes",0,K606*Settings!$C$17))</f>
        <v/>
      </c>
      <c r="M606" s="21">
        <f>IF(B606="","",E606*IFERROR(VLOOKUP(D606,Products!$B$5:$F$204,5,FALSE),0))</f>
        <v/>
      </c>
      <c r="N606" s="21">
        <f>IF(B606="","",J606-K606-L606-M606-I606)</f>
        <v/>
      </c>
    </row>
    <row r="607">
      <c r="B607" s="11" t="n"/>
      <c r="C607" s="8" t="n"/>
      <c r="D607" s="8" t="n"/>
      <c r="E607" s="8" t="n"/>
      <c r="F607" s="20" t="n"/>
      <c r="G607" s="20" t="n"/>
      <c r="H607" s="8" t="n"/>
      <c r="I607" s="20" t="n"/>
      <c r="J607" s="21">
        <f>IF(B607="","",F607+G607)</f>
        <v/>
      </c>
      <c r="K607" s="21">
        <f>IF(B607="","",J607*(Settings!$C$11+Settings!$C$12+Settings!$C$14)+IF(C607="",Settings!$C$13,IF(COUNTIF($C$5:C607,C607)=1,Settings!$C$13,0))+E607*Settings!$C$15+IF(H607="Yes",J607*Settings!$C$16,0))</f>
        <v/>
      </c>
      <c r="L607" s="21">
        <f>IF(B607="","",IF(Settings!$C$5="Yes",0,K607*Settings!$C$17))</f>
        <v/>
      </c>
      <c r="M607" s="21">
        <f>IF(B607="","",E607*IFERROR(VLOOKUP(D607,Products!$B$5:$F$204,5,FALSE),0))</f>
        <v/>
      </c>
      <c r="N607" s="21">
        <f>IF(B607="","",J607-K607-L607-M607-I607)</f>
        <v/>
      </c>
    </row>
    <row r="608">
      <c r="B608" s="11" t="n"/>
      <c r="C608" s="8" t="n"/>
      <c r="D608" s="8" t="n"/>
      <c r="E608" s="8" t="n"/>
      <c r="F608" s="20" t="n"/>
      <c r="G608" s="20" t="n"/>
      <c r="H608" s="8" t="n"/>
      <c r="I608" s="20" t="n"/>
      <c r="J608" s="21">
        <f>IF(B608="","",F608+G608)</f>
        <v/>
      </c>
      <c r="K608" s="21">
        <f>IF(B608="","",J608*(Settings!$C$11+Settings!$C$12+Settings!$C$14)+IF(C608="",Settings!$C$13,IF(COUNTIF($C$5:C608,C608)=1,Settings!$C$13,0))+E608*Settings!$C$15+IF(H608="Yes",J608*Settings!$C$16,0))</f>
        <v/>
      </c>
      <c r="L608" s="21">
        <f>IF(B608="","",IF(Settings!$C$5="Yes",0,K608*Settings!$C$17))</f>
        <v/>
      </c>
      <c r="M608" s="21">
        <f>IF(B608="","",E608*IFERROR(VLOOKUP(D608,Products!$B$5:$F$204,5,FALSE),0))</f>
        <v/>
      </c>
      <c r="N608" s="21">
        <f>IF(B608="","",J608-K608-L608-M608-I608)</f>
        <v/>
      </c>
    </row>
    <row r="609">
      <c r="B609" s="11" t="n"/>
      <c r="C609" s="8" t="n"/>
      <c r="D609" s="8" t="n"/>
      <c r="E609" s="8" t="n"/>
      <c r="F609" s="20" t="n"/>
      <c r="G609" s="20" t="n"/>
      <c r="H609" s="8" t="n"/>
      <c r="I609" s="20" t="n"/>
      <c r="J609" s="21">
        <f>IF(B609="","",F609+G609)</f>
        <v/>
      </c>
      <c r="K609" s="21">
        <f>IF(B609="","",J609*(Settings!$C$11+Settings!$C$12+Settings!$C$14)+IF(C609="",Settings!$C$13,IF(COUNTIF($C$5:C609,C609)=1,Settings!$C$13,0))+E609*Settings!$C$15+IF(H609="Yes",J609*Settings!$C$16,0))</f>
        <v/>
      </c>
      <c r="L609" s="21">
        <f>IF(B609="","",IF(Settings!$C$5="Yes",0,K609*Settings!$C$17))</f>
        <v/>
      </c>
      <c r="M609" s="21">
        <f>IF(B609="","",E609*IFERROR(VLOOKUP(D609,Products!$B$5:$F$204,5,FALSE),0))</f>
        <v/>
      </c>
      <c r="N609" s="21">
        <f>IF(B609="","",J609-K609-L609-M609-I609)</f>
        <v/>
      </c>
    </row>
    <row r="610">
      <c r="B610" s="11" t="n"/>
      <c r="C610" s="8" t="n"/>
      <c r="D610" s="8" t="n"/>
      <c r="E610" s="8" t="n"/>
      <c r="F610" s="20" t="n"/>
      <c r="G610" s="20" t="n"/>
      <c r="H610" s="8" t="n"/>
      <c r="I610" s="20" t="n"/>
      <c r="J610" s="21">
        <f>IF(B610="","",F610+G610)</f>
        <v/>
      </c>
      <c r="K610" s="21">
        <f>IF(B610="","",J610*(Settings!$C$11+Settings!$C$12+Settings!$C$14)+IF(C610="",Settings!$C$13,IF(COUNTIF($C$5:C610,C610)=1,Settings!$C$13,0))+E610*Settings!$C$15+IF(H610="Yes",J610*Settings!$C$16,0))</f>
        <v/>
      </c>
      <c r="L610" s="21">
        <f>IF(B610="","",IF(Settings!$C$5="Yes",0,K610*Settings!$C$17))</f>
        <v/>
      </c>
      <c r="M610" s="21">
        <f>IF(B610="","",E610*IFERROR(VLOOKUP(D610,Products!$B$5:$F$204,5,FALSE),0))</f>
        <v/>
      </c>
      <c r="N610" s="21">
        <f>IF(B610="","",J610-K610-L610-M610-I610)</f>
        <v/>
      </c>
    </row>
    <row r="611">
      <c r="B611" s="11" t="n"/>
      <c r="C611" s="8" t="n"/>
      <c r="D611" s="8" t="n"/>
      <c r="E611" s="8" t="n"/>
      <c r="F611" s="20" t="n"/>
      <c r="G611" s="20" t="n"/>
      <c r="H611" s="8" t="n"/>
      <c r="I611" s="20" t="n"/>
      <c r="J611" s="21">
        <f>IF(B611="","",F611+G611)</f>
        <v/>
      </c>
      <c r="K611" s="21">
        <f>IF(B611="","",J611*(Settings!$C$11+Settings!$C$12+Settings!$C$14)+IF(C611="",Settings!$C$13,IF(COUNTIF($C$5:C611,C611)=1,Settings!$C$13,0))+E611*Settings!$C$15+IF(H611="Yes",J611*Settings!$C$16,0))</f>
        <v/>
      </c>
      <c r="L611" s="21">
        <f>IF(B611="","",IF(Settings!$C$5="Yes",0,K611*Settings!$C$17))</f>
        <v/>
      </c>
      <c r="M611" s="21">
        <f>IF(B611="","",E611*IFERROR(VLOOKUP(D611,Products!$B$5:$F$204,5,FALSE),0))</f>
        <v/>
      </c>
      <c r="N611" s="21">
        <f>IF(B611="","",J611-K611-L611-M611-I611)</f>
        <v/>
      </c>
    </row>
    <row r="612">
      <c r="B612" s="11" t="n"/>
      <c r="C612" s="8" t="n"/>
      <c r="D612" s="8" t="n"/>
      <c r="E612" s="8" t="n"/>
      <c r="F612" s="20" t="n"/>
      <c r="G612" s="20" t="n"/>
      <c r="H612" s="8" t="n"/>
      <c r="I612" s="20" t="n"/>
      <c r="J612" s="21">
        <f>IF(B612="","",F612+G612)</f>
        <v/>
      </c>
      <c r="K612" s="21">
        <f>IF(B612="","",J612*(Settings!$C$11+Settings!$C$12+Settings!$C$14)+IF(C612="",Settings!$C$13,IF(COUNTIF($C$5:C612,C612)=1,Settings!$C$13,0))+E612*Settings!$C$15+IF(H612="Yes",J612*Settings!$C$16,0))</f>
        <v/>
      </c>
      <c r="L612" s="21">
        <f>IF(B612="","",IF(Settings!$C$5="Yes",0,K612*Settings!$C$17))</f>
        <v/>
      </c>
      <c r="M612" s="21">
        <f>IF(B612="","",E612*IFERROR(VLOOKUP(D612,Products!$B$5:$F$204,5,FALSE),0))</f>
        <v/>
      </c>
      <c r="N612" s="21">
        <f>IF(B612="","",J612-K612-L612-M612-I612)</f>
        <v/>
      </c>
    </row>
    <row r="613">
      <c r="B613" s="11" t="n"/>
      <c r="C613" s="8" t="n"/>
      <c r="D613" s="8" t="n"/>
      <c r="E613" s="8" t="n"/>
      <c r="F613" s="20" t="n"/>
      <c r="G613" s="20" t="n"/>
      <c r="H613" s="8" t="n"/>
      <c r="I613" s="20" t="n"/>
      <c r="J613" s="21">
        <f>IF(B613="","",F613+G613)</f>
        <v/>
      </c>
      <c r="K613" s="21">
        <f>IF(B613="","",J613*(Settings!$C$11+Settings!$C$12+Settings!$C$14)+IF(C613="",Settings!$C$13,IF(COUNTIF($C$5:C613,C613)=1,Settings!$C$13,0))+E613*Settings!$C$15+IF(H613="Yes",J613*Settings!$C$16,0))</f>
        <v/>
      </c>
      <c r="L613" s="21">
        <f>IF(B613="","",IF(Settings!$C$5="Yes",0,K613*Settings!$C$17))</f>
        <v/>
      </c>
      <c r="M613" s="21">
        <f>IF(B613="","",E613*IFERROR(VLOOKUP(D613,Products!$B$5:$F$204,5,FALSE),0))</f>
        <v/>
      </c>
      <c r="N613" s="21">
        <f>IF(B613="","",J613-K613-L613-M613-I613)</f>
        <v/>
      </c>
    </row>
    <row r="614">
      <c r="B614" s="11" t="n"/>
      <c r="C614" s="8" t="n"/>
      <c r="D614" s="8" t="n"/>
      <c r="E614" s="8" t="n"/>
      <c r="F614" s="20" t="n"/>
      <c r="G614" s="20" t="n"/>
      <c r="H614" s="8" t="n"/>
      <c r="I614" s="20" t="n"/>
      <c r="J614" s="21">
        <f>IF(B614="","",F614+G614)</f>
        <v/>
      </c>
      <c r="K614" s="21">
        <f>IF(B614="","",J614*(Settings!$C$11+Settings!$C$12+Settings!$C$14)+IF(C614="",Settings!$C$13,IF(COUNTIF($C$5:C614,C614)=1,Settings!$C$13,0))+E614*Settings!$C$15+IF(H614="Yes",J614*Settings!$C$16,0))</f>
        <v/>
      </c>
      <c r="L614" s="21">
        <f>IF(B614="","",IF(Settings!$C$5="Yes",0,K614*Settings!$C$17))</f>
        <v/>
      </c>
      <c r="M614" s="21">
        <f>IF(B614="","",E614*IFERROR(VLOOKUP(D614,Products!$B$5:$F$204,5,FALSE),0))</f>
        <v/>
      </c>
      <c r="N614" s="21">
        <f>IF(B614="","",J614-K614-L614-M614-I614)</f>
        <v/>
      </c>
    </row>
    <row r="615">
      <c r="B615" s="11" t="n"/>
      <c r="C615" s="8" t="n"/>
      <c r="D615" s="8" t="n"/>
      <c r="E615" s="8" t="n"/>
      <c r="F615" s="20" t="n"/>
      <c r="G615" s="20" t="n"/>
      <c r="H615" s="8" t="n"/>
      <c r="I615" s="20" t="n"/>
      <c r="J615" s="21">
        <f>IF(B615="","",F615+G615)</f>
        <v/>
      </c>
      <c r="K615" s="21">
        <f>IF(B615="","",J615*(Settings!$C$11+Settings!$C$12+Settings!$C$14)+IF(C615="",Settings!$C$13,IF(COUNTIF($C$5:C615,C615)=1,Settings!$C$13,0))+E615*Settings!$C$15+IF(H615="Yes",J615*Settings!$C$16,0))</f>
        <v/>
      </c>
      <c r="L615" s="21">
        <f>IF(B615="","",IF(Settings!$C$5="Yes",0,K615*Settings!$C$17))</f>
        <v/>
      </c>
      <c r="M615" s="21">
        <f>IF(B615="","",E615*IFERROR(VLOOKUP(D615,Products!$B$5:$F$204,5,FALSE),0))</f>
        <v/>
      </c>
      <c r="N615" s="21">
        <f>IF(B615="","",J615-K615-L615-M615-I615)</f>
        <v/>
      </c>
    </row>
    <row r="616">
      <c r="B616" s="11" t="n"/>
      <c r="C616" s="8" t="n"/>
      <c r="D616" s="8" t="n"/>
      <c r="E616" s="8" t="n"/>
      <c r="F616" s="20" t="n"/>
      <c r="G616" s="20" t="n"/>
      <c r="H616" s="8" t="n"/>
      <c r="I616" s="20" t="n"/>
      <c r="J616" s="21">
        <f>IF(B616="","",F616+G616)</f>
        <v/>
      </c>
      <c r="K616" s="21">
        <f>IF(B616="","",J616*(Settings!$C$11+Settings!$C$12+Settings!$C$14)+IF(C616="",Settings!$C$13,IF(COUNTIF($C$5:C616,C616)=1,Settings!$C$13,0))+E616*Settings!$C$15+IF(H616="Yes",J616*Settings!$C$16,0))</f>
        <v/>
      </c>
      <c r="L616" s="21">
        <f>IF(B616="","",IF(Settings!$C$5="Yes",0,K616*Settings!$C$17))</f>
        <v/>
      </c>
      <c r="M616" s="21">
        <f>IF(B616="","",E616*IFERROR(VLOOKUP(D616,Products!$B$5:$F$204,5,FALSE),0))</f>
        <v/>
      </c>
      <c r="N616" s="21">
        <f>IF(B616="","",J616-K616-L616-M616-I616)</f>
        <v/>
      </c>
    </row>
    <row r="617">
      <c r="B617" s="11" t="n"/>
      <c r="C617" s="8" t="n"/>
      <c r="D617" s="8" t="n"/>
      <c r="E617" s="8" t="n"/>
      <c r="F617" s="20" t="n"/>
      <c r="G617" s="20" t="n"/>
      <c r="H617" s="8" t="n"/>
      <c r="I617" s="20" t="n"/>
      <c r="J617" s="21">
        <f>IF(B617="","",F617+G617)</f>
        <v/>
      </c>
      <c r="K617" s="21">
        <f>IF(B617="","",J617*(Settings!$C$11+Settings!$C$12+Settings!$C$14)+IF(C617="",Settings!$C$13,IF(COUNTIF($C$5:C617,C617)=1,Settings!$C$13,0))+E617*Settings!$C$15+IF(H617="Yes",J617*Settings!$C$16,0))</f>
        <v/>
      </c>
      <c r="L617" s="21">
        <f>IF(B617="","",IF(Settings!$C$5="Yes",0,K617*Settings!$C$17))</f>
        <v/>
      </c>
      <c r="M617" s="21">
        <f>IF(B617="","",E617*IFERROR(VLOOKUP(D617,Products!$B$5:$F$204,5,FALSE),0))</f>
        <v/>
      </c>
      <c r="N617" s="21">
        <f>IF(B617="","",J617-K617-L617-M617-I617)</f>
        <v/>
      </c>
    </row>
    <row r="618">
      <c r="B618" s="11" t="n"/>
      <c r="C618" s="8" t="n"/>
      <c r="D618" s="8" t="n"/>
      <c r="E618" s="8" t="n"/>
      <c r="F618" s="20" t="n"/>
      <c r="G618" s="20" t="n"/>
      <c r="H618" s="8" t="n"/>
      <c r="I618" s="20" t="n"/>
      <c r="J618" s="21">
        <f>IF(B618="","",F618+G618)</f>
        <v/>
      </c>
      <c r="K618" s="21">
        <f>IF(B618="","",J618*(Settings!$C$11+Settings!$C$12+Settings!$C$14)+IF(C618="",Settings!$C$13,IF(COUNTIF($C$5:C618,C618)=1,Settings!$C$13,0))+E618*Settings!$C$15+IF(H618="Yes",J618*Settings!$C$16,0))</f>
        <v/>
      </c>
      <c r="L618" s="21">
        <f>IF(B618="","",IF(Settings!$C$5="Yes",0,K618*Settings!$C$17))</f>
        <v/>
      </c>
      <c r="M618" s="21">
        <f>IF(B618="","",E618*IFERROR(VLOOKUP(D618,Products!$B$5:$F$204,5,FALSE),0))</f>
        <v/>
      </c>
      <c r="N618" s="21">
        <f>IF(B618="","",J618-K618-L618-M618-I618)</f>
        <v/>
      </c>
    </row>
    <row r="619">
      <c r="B619" s="11" t="n"/>
      <c r="C619" s="8" t="n"/>
      <c r="D619" s="8" t="n"/>
      <c r="E619" s="8" t="n"/>
      <c r="F619" s="20" t="n"/>
      <c r="G619" s="20" t="n"/>
      <c r="H619" s="8" t="n"/>
      <c r="I619" s="20" t="n"/>
      <c r="J619" s="21">
        <f>IF(B619="","",F619+G619)</f>
        <v/>
      </c>
      <c r="K619" s="21">
        <f>IF(B619="","",J619*(Settings!$C$11+Settings!$C$12+Settings!$C$14)+IF(C619="",Settings!$C$13,IF(COUNTIF($C$5:C619,C619)=1,Settings!$C$13,0))+E619*Settings!$C$15+IF(H619="Yes",J619*Settings!$C$16,0))</f>
        <v/>
      </c>
      <c r="L619" s="21">
        <f>IF(B619="","",IF(Settings!$C$5="Yes",0,K619*Settings!$C$17))</f>
        <v/>
      </c>
      <c r="M619" s="21">
        <f>IF(B619="","",E619*IFERROR(VLOOKUP(D619,Products!$B$5:$F$204,5,FALSE),0))</f>
        <v/>
      </c>
      <c r="N619" s="21">
        <f>IF(B619="","",J619-K619-L619-M619-I619)</f>
        <v/>
      </c>
    </row>
    <row r="620">
      <c r="B620" s="11" t="n"/>
      <c r="C620" s="8" t="n"/>
      <c r="D620" s="8" t="n"/>
      <c r="E620" s="8" t="n"/>
      <c r="F620" s="20" t="n"/>
      <c r="G620" s="20" t="n"/>
      <c r="H620" s="8" t="n"/>
      <c r="I620" s="20" t="n"/>
      <c r="J620" s="21">
        <f>IF(B620="","",F620+G620)</f>
        <v/>
      </c>
      <c r="K620" s="21">
        <f>IF(B620="","",J620*(Settings!$C$11+Settings!$C$12+Settings!$C$14)+IF(C620="",Settings!$C$13,IF(COUNTIF($C$5:C620,C620)=1,Settings!$C$13,0))+E620*Settings!$C$15+IF(H620="Yes",J620*Settings!$C$16,0))</f>
        <v/>
      </c>
      <c r="L620" s="21">
        <f>IF(B620="","",IF(Settings!$C$5="Yes",0,K620*Settings!$C$17))</f>
        <v/>
      </c>
      <c r="M620" s="21">
        <f>IF(B620="","",E620*IFERROR(VLOOKUP(D620,Products!$B$5:$F$204,5,FALSE),0))</f>
        <v/>
      </c>
      <c r="N620" s="21">
        <f>IF(B620="","",J620-K620-L620-M620-I620)</f>
        <v/>
      </c>
    </row>
    <row r="621">
      <c r="B621" s="11" t="n"/>
      <c r="C621" s="8" t="n"/>
      <c r="D621" s="8" t="n"/>
      <c r="E621" s="8" t="n"/>
      <c r="F621" s="20" t="n"/>
      <c r="G621" s="20" t="n"/>
      <c r="H621" s="8" t="n"/>
      <c r="I621" s="20" t="n"/>
      <c r="J621" s="21">
        <f>IF(B621="","",F621+G621)</f>
        <v/>
      </c>
      <c r="K621" s="21">
        <f>IF(B621="","",J621*(Settings!$C$11+Settings!$C$12+Settings!$C$14)+IF(C621="",Settings!$C$13,IF(COUNTIF($C$5:C621,C621)=1,Settings!$C$13,0))+E621*Settings!$C$15+IF(H621="Yes",J621*Settings!$C$16,0))</f>
        <v/>
      </c>
      <c r="L621" s="21">
        <f>IF(B621="","",IF(Settings!$C$5="Yes",0,K621*Settings!$C$17))</f>
        <v/>
      </c>
      <c r="M621" s="21">
        <f>IF(B621="","",E621*IFERROR(VLOOKUP(D621,Products!$B$5:$F$204,5,FALSE),0))</f>
        <v/>
      </c>
      <c r="N621" s="21">
        <f>IF(B621="","",J621-K621-L621-M621-I621)</f>
        <v/>
      </c>
    </row>
    <row r="622">
      <c r="B622" s="11" t="n"/>
      <c r="C622" s="8" t="n"/>
      <c r="D622" s="8" t="n"/>
      <c r="E622" s="8" t="n"/>
      <c r="F622" s="20" t="n"/>
      <c r="G622" s="20" t="n"/>
      <c r="H622" s="8" t="n"/>
      <c r="I622" s="20" t="n"/>
      <c r="J622" s="21">
        <f>IF(B622="","",F622+G622)</f>
        <v/>
      </c>
      <c r="K622" s="21">
        <f>IF(B622="","",J622*(Settings!$C$11+Settings!$C$12+Settings!$C$14)+IF(C622="",Settings!$C$13,IF(COUNTIF($C$5:C622,C622)=1,Settings!$C$13,0))+E622*Settings!$C$15+IF(H622="Yes",J622*Settings!$C$16,0))</f>
        <v/>
      </c>
      <c r="L622" s="21">
        <f>IF(B622="","",IF(Settings!$C$5="Yes",0,K622*Settings!$C$17))</f>
        <v/>
      </c>
      <c r="M622" s="21">
        <f>IF(B622="","",E622*IFERROR(VLOOKUP(D622,Products!$B$5:$F$204,5,FALSE),0))</f>
        <v/>
      </c>
      <c r="N622" s="21">
        <f>IF(B622="","",J622-K622-L622-M622-I622)</f>
        <v/>
      </c>
    </row>
    <row r="623">
      <c r="B623" s="11" t="n"/>
      <c r="C623" s="8" t="n"/>
      <c r="D623" s="8" t="n"/>
      <c r="E623" s="8" t="n"/>
      <c r="F623" s="20" t="n"/>
      <c r="G623" s="20" t="n"/>
      <c r="H623" s="8" t="n"/>
      <c r="I623" s="20" t="n"/>
      <c r="J623" s="21">
        <f>IF(B623="","",F623+G623)</f>
        <v/>
      </c>
      <c r="K623" s="21">
        <f>IF(B623="","",J623*(Settings!$C$11+Settings!$C$12+Settings!$C$14)+IF(C623="",Settings!$C$13,IF(COUNTIF($C$5:C623,C623)=1,Settings!$C$13,0))+E623*Settings!$C$15+IF(H623="Yes",J623*Settings!$C$16,0))</f>
        <v/>
      </c>
      <c r="L623" s="21">
        <f>IF(B623="","",IF(Settings!$C$5="Yes",0,K623*Settings!$C$17))</f>
        <v/>
      </c>
      <c r="M623" s="21">
        <f>IF(B623="","",E623*IFERROR(VLOOKUP(D623,Products!$B$5:$F$204,5,FALSE),0))</f>
        <v/>
      </c>
      <c r="N623" s="21">
        <f>IF(B623="","",J623-K623-L623-M623-I623)</f>
        <v/>
      </c>
    </row>
    <row r="624">
      <c r="B624" s="11" t="n"/>
      <c r="C624" s="8" t="n"/>
      <c r="D624" s="8" t="n"/>
      <c r="E624" s="8" t="n"/>
      <c r="F624" s="20" t="n"/>
      <c r="G624" s="20" t="n"/>
      <c r="H624" s="8" t="n"/>
      <c r="I624" s="20" t="n"/>
      <c r="J624" s="21">
        <f>IF(B624="","",F624+G624)</f>
        <v/>
      </c>
      <c r="K624" s="21">
        <f>IF(B624="","",J624*(Settings!$C$11+Settings!$C$12+Settings!$C$14)+IF(C624="",Settings!$C$13,IF(COUNTIF($C$5:C624,C624)=1,Settings!$C$13,0))+E624*Settings!$C$15+IF(H624="Yes",J624*Settings!$C$16,0))</f>
        <v/>
      </c>
      <c r="L624" s="21">
        <f>IF(B624="","",IF(Settings!$C$5="Yes",0,K624*Settings!$C$17))</f>
        <v/>
      </c>
      <c r="M624" s="21">
        <f>IF(B624="","",E624*IFERROR(VLOOKUP(D624,Products!$B$5:$F$204,5,FALSE),0))</f>
        <v/>
      </c>
      <c r="N624" s="21">
        <f>IF(B624="","",J624-K624-L624-M624-I624)</f>
        <v/>
      </c>
    </row>
    <row r="625">
      <c r="B625" s="11" t="n"/>
      <c r="C625" s="8" t="n"/>
      <c r="D625" s="8" t="n"/>
      <c r="E625" s="8" t="n"/>
      <c r="F625" s="20" t="n"/>
      <c r="G625" s="20" t="n"/>
      <c r="H625" s="8" t="n"/>
      <c r="I625" s="20" t="n"/>
      <c r="J625" s="21">
        <f>IF(B625="","",F625+G625)</f>
        <v/>
      </c>
      <c r="K625" s="21">
        <f>IF(B625="","",J625*(Settings!$C$11+Settings!$C$12+Settings!$C$14)+IF(C625="",Settings!$C$13,IF(COUNTIF($C$5:C625,C625)=1,Settings!$C$13,0))+E625*Settings!$C$15+IF(H625="Yes",J625*Settings!$C$16,0))</f>
        <v/>
      </c>
      <c r="L625" s="21">
        <f>IF(B625="","",IF(Settings!$C$5="Yes",0,K625*Settings!$C$17))</f>
        <v/>
      </c>
      <c r="M625" s="21">
        <f>IF(B625="","",E625*IFERROR(VLOOKUP(D625,Products!$B$5:$F$204,5,FALSE),0))</f>
        <v/>
      </c>
      <c r="N625" s="21">
        <f>IF(B625="","",J625-K625-L625-M625-I625)</f>
        <v/>
      </c>
    </row>
    <row r="626">
      <c r="B626" s="11" t="n"/>
      <c r="C626" s="8" t="n"/>
      <c r="D626" s="8" t="n"/>
      <c r="E626" s="8" t="n"/>
      <c r="F626" s="20" t="n"/>
      <c r="G626" s="20" t="n"/>
      <c r="H626" s="8" t="n"/>
      <c r="I626" s="20" t="n"/>
      <c r="J626" s="21">
        <f>IF(B626="","",F626+G626)</f>
        <v/>
      </c>
      <c r="K626" s="21">
        <f>IF(B626="","",J626*(Settings!$C$11+Settings!$C$12+Settings!$C$14)+IF(C626="",Settings!$C$13,IF(COUNTIF($C$5:C626,C626)=1,Settings!$C$13,0))+E626*Settings!$C$15+IF(H626="Yes",J626*Settings!$C$16,0))</f>
        <v/>
      </c>
      <c r="L626" s="21">
        <f>IF(B626="","",IF(Settings!$C$5="Yes",0,K626*Settings!$C$17))</f>
        <v/>
      </c>
      <c r="M626" s="21">
        <f>IF(B626="","",E626*IFERROR(VLOOKUP(D626,Products!$B$5:$F$204,5,FALSE),0))</f>
        <v/>
      </c>
      <c r="N626" s="21">
        <f>IF(B626="","",J626-K626-L626-M626-I626)</f>
        <v/>
      </c>
    </row>
    <row r="627">
      <c r="B627" s="11" t="n"/>
      <c r="C627" s="8" t="n"/>
      <c r="D627" s="8" t="n"/>
      <c r="E627" s="8" t="n"/>
      <c r="F627" s="20" t="n"/>
      <c r="G627" s="20" t="n"/>
      <c r="H627" s="8" t="n"/>
      <c r="I627" s="20" t="n"/>
      <c r="J627" s="21">
        <f>IF(B627="","",F627+G627)</f>
        <v/>
      </c>
      <c r="K627" s="21">
        <f>IF(B627="","",J627*(Settings!$C$11+Settings!$C$12+Settings!$C$14)+IF(C627="",Settings!$C$13,IF(COUNTIF($C$5:C627,C627)=1,Settings!$C$13,0))+E627*Settings!$C$15+IF(H627="Yes",J627*Settings!$C$16,0))</f>
        <v/>
      </c>
      <c r="L627" s="21">
        <f>IF(B627="","",IF(Settings!$C$5="Yes",0,K627*Settings!$C$17))</f>
        <v/>
      </c>
      <c r="M627" s="21">
        <f>IF(B627="","",E627*IFERROR(VLOOKUP(D627,Products!$B$5:$F$204,5,FALSE),0))</f>
        <v/>
      </c>
      <c r="N627" s="21">
        <f>IF(B627="","",J627-K627-L627-M627-I627)</f>
        <v/>
      </c>
    </row>
    <row r="628">
      <c r="B628" s="11" t="n"/>
      <c r="C628" s="8" t="n"/>
      <c r="D628" s="8" t="n"/>
      <c r="E628" s="8" t="n"/>
      <c r="F628" s="20" t="n"/>
      <c r="G628" s="20" t="n"/>
      <c r="H628" s="8" t="n"/>
      <c r="I628" s="20" t="n"/>
      <c r="J628" s="21">
        <f>IF(B628="","",F628+G628)</f>
        <v/>
      </c>
      <c r="K628" s="21">
        <f>IF(B628="","",J628*(Settings!$C$11+Settings!$C$12+Settings!$C$14)+IF(C628="",Settings!$C$13,IF(COUNTIF($C$5:C628,C628)=1,Settings!$C$13,0))+E628*Settings!$C$15+IF(H628="Yes",J628*Settings!$C$16,0))</f>
        <v/>
      </c>
      <c r="L628" s="21">
        <f>IF(B628="","",IF(Settings!$C$5="Yes",0,K628*Settings!$C$17))</f>
        <v/>
      </c>
      <c r="M628" s="21">
        <f>IF(B628="","",E628*IFERROR(VLOOKUP(D628,Products!$B$5:$F$204,5,FALSE),0))</f>
        <v/>
      </c>
      <c r="N628" s="21">
        <f>IF(B628="","",J628-K628-L628-M628-I628)</f>
        <v/>
      </c>
    </row>
    <row r="629">
      <c r="B629" s="11" t="n"/>
      <c r="C629" s="8" t="n"/>
      <c r="D629" s="8" t="n"/>
      <c r="E629" s="8" t="n"/>
      <c r="F629" s="20" t="n"/>
      <c r="G629" s="20" t="n"/>
      <c r="H629" s="8" t="n"/>
      <c r="I629" s="20" t="n"/>
      <c r="J629" s="21">
        <f>IF(B629="","",F629+G629)</f>
        <v/>
      </c>
      <c r="K629" s="21">
        <f>IF(B629="","",J629*(Settings!$C$11+Settings!$C$12+Settings!$C$14)+IF(C629="",Settings!$C$13,IF(COUNTIF($C$5:C629,C629)=1,Settings!$C$13,0))+E629*Settings!$C$15+IF(H629="Yes",J629*Settings!$C$16,0))</f>
        <v/>
      </c>
      <c r="L629" s="21">
        <f>IF(B629="","",IF(Settings!$C$5="Yes",0,K629*Settings!$C$17))</f>
        <v/>
      </c>
      <c r="M629" s="21">
        <f>IF(B629="","",E629*IFERROR(VLOOKUP(D629,Products!$B$5:$F$204,5,FALSE),0))</f>
        <v/>
      </c>
      <c r="N629" s="21">
        <f>IF(B629="","",J629-K629-L629-M629-I629)</f>
        <v/>
      </c>
    </row>
    <row r="630">
      <c r="B630" s="11" t="n"/>
      <c r="C630" s="8" t="n"/>
      <c r="D630" s="8" t="n"/>
      <c r="E630" s="8" t="n"/>
      <c r="F630" s="20" t="n"/>
      <c r="G630" s="20" t="n"/>
      <c r="H630" s="8" t="n"/>
      <c r="I630" s="20" t="n"/>
      <c r="J630" s="21">
        <f>IF(B630="","",F630+G630)</f>
        <v/>
      </c>
      <c r="K630" s="21">
        <f>IF(B630="","",J630*(Settings!$C$11+Settings!$C$12+Settings!$C$14)+IF(C630="",Settings!$C$13,IF(COUNTIF($C$5:C630,C630)=1,Settings!$C$13,0))+E630*Settings!$C$15+IF(H630="Yes",J630*Settings!$C$16,0))</f>
        <v/>
      </c>
      <c r="L630" s="21">
        <f>IF(B630="","",IF(Settings!$C$5="Yes",0,K630*Settings!$C$17))</f>
        <v/>
      </c>
      <c r="M630" s="21">
        <f>IF(B630="","",E630*IFERROR(VLOOKUP(D630,Products!$B$5:$F$204,5,FALSE),0))</f>
        <v/>
      </c>
      <c r="N630" s="21">
        <f>IF(B630="","",J630-K630-L630-M630-I630)</f>
        <v/>
      </c>
    </row>
    <row r="631">
      <c r="B631" s="11" t="n"/>
      <c r="C631" s="8" t="n"/>
      <c r="D631" s="8" t="n"/>
      <c r="E631" s="8" t="n"/>
      <c r="F631" s="20" t="n"/>
      <c r="G631" s="20" t="n"/>
      <c r="H631" s="8" t="n"/>
      <c r="I631" s="20" t="n"/>
      <c r="J631" s="21">
        <f>IF(B631="","",F631+G631)</f>
        <v/>
      </c>
      <c r="K631" s="21">
        <f>IF(B631="","",J631*(Settings!$C$11+Settings!$C$12+Settings!$C$14)+IF(C631="",Settings!$C$13,IF(COUNTIF($C$5:C631,C631)=1,Settings!$C$13,0))+E631*Settings!$C$15+IF(H631="Yes",J631*Settings!$C$16,0))</f>
        <v/>
      </c>
      <c r="L631" s="21">
        <f>IF(B631="","",IF(Settings!$C$5="Yes",0,K631*Settings!$C$17))</f>
        <v/>
      </c>
      <c r="M631" s="21">
        <f>IF(B631="","",E631*IFERROR(VLOOKUP(D631,Products!$B$5:$F$204,5,FALSE),0))</f>
        <v/>
      </c>
      <c r="N631" s="21">
        <f>IF(B631="","",J631-K631-L631-M631-I631)</f>
        <v/>
      </c>
    </row>
    <row r="632">
      <c r="B632" s="11" t="n"/>
      <c r="C632" s="8" t="n"/>
      <c r="D632" s="8" t="n"/>
      <c r="E632" s="8" t="n"/>
      <c r="F632" s="20" t="n"/>
      <c r="G632" s="20" t="n"/>
      <c r="H632" s="8" t="n"/>
      <c r="I632" s="20" t="n"/>
      <c r="J632" s="21">
        <f>IF(B632="","",F632+G632)</f>
        <v/>
      </c>
      <c r="K632" s="21">
        <f>IF(B632="","",J632*(Settings!$C$11+Settings!$C$12+Settings!$C$14)+IF(C632="",Settings!$C$13,IF(COUNTIF($C$5:C632,C632)=1,Settings!$C$13,0))+E632*Settings!$C$15+IF(H632="Yes",J632*Settings!$C$16,0))</f>
        <v/>
      </c>
      <c r="L632" s="21">
        <f>IF(B632="","",IF(Settings!$C$5="Yes",0,K632*Settings!$C$17))</f>
        <v/>
      </c>
      <c r="M632" s="21">
        <f>IF(B632="","",E632*IFERROR(VLOOKUP(D632,Products!$B$5:$F$204,5,FALSE),0))</f>
        <v/>
      </c>
      <c r="N632" s="21">
        <f>IF(B632="","",J632-K632-L632-M632-I632)</f>
        <v/>
      </c>
    </row>
    <row r="633">
      <c r="B633" s="11" t="n"/>
      <c r="C633" s="8" t="n"/>
      <c r="D633" s="8" t="n"/>
      <c r="E633" s="8" t="n"/>
      <c r="F633" s="20" t="n"/>
      <c r="G633" s="20" t="n"/>
      <c r="H633" s="8" t="n"/>
      <c r="I633" s="20" t="n"/>
      <c r="J633" s="21">
        <f>IF(B633="","",F633+G633)</f>
        <v/>
      </c>
      <c r="K633" s="21">
        <f>IF(B633="","",J633*(Settings!$C$11+Settings!$C$12+Settings!$C$14)+IF(C633="",Settings!$C$13,IF(COUNTIF($C$5:C633,C633)=1,Settings!$C$13,0))+E633*Settings!$C$15+IF(H633="Yes",J633*Settings!$C$16,0))</f>
        <v/>
      </c>
      <c r="L633" s="21">
        <f>IF(B633="","",IF(Settings!$C$5="Yes",0,K633*Settings!$C$17))</f>
        <v/>
      </c>
      <c r="M633" s="21">
        <f>IF(B633="","",E633*IFERROR(VLOOKUP(D633,Products!$B$5:$F$204,5,FALSE),0))</f>
        <v/>
      </c>
      <c r="N633" s="21">
        <f>IF(B633="","",J633-K633-L633-M633-I633)</f>
        <v/>
      </c>
    </row>
    <row r="634">
      <c r="B634" s="11" t="n"/>
      <c r="C634" s="8" t="n"/>
      <c r="D634" s="8" t="n"/>
      <c r="E634" s="8" t="n"/>
      <c r="F634" s="20" t="n"/>
      <c r="G634" s="20" t="n"/>
      <c r="H634" s="8" t="n"/>
      <c r="I634" s="20" t="n"/>
      <c r="J634" s="21">
        <f>IF(B634="","",F634+G634)</f>
        <v/>
      </c>
      <c r="K634" s="21">
        <f>IF(B634="","",J634*(Settings!$C$11+Settings!$C$12+Settings!$C$14)+IF(C634="",Settings!$C$13,IF(COUNTIF($C$5:C634,C634)=1,Settings!$C$13,0))+E634*Settings!$C$15+IF(H634="Yes",J634*Settings!$C$16,0))</f>
        <v/>
      </c>
      <c r="L634" s="21">
        <f>IF(B634="","",IF(Settings!$C$5="Yes",0,K634*Settings!$C$17))</f>
        <v/>
      </c>
      <c r="M634" s="21">
        <f>IF(B634="","",E634*IFERROR(VLOOKUP(D634,Products!$B$5:$F$204,5,FALSE),0))</f>
        <v/>
      </c>
      <c r="N634" s="21">
        <f>IF(B634="","",J634-K634-L634-M634-I634)</f>
        <v/>
      </c>
    </row>
    <row r="635">
      <c r="B635" s="11" t="n"/>
      <c r="C635" s="8" t="n"/>
      <c r="D635" s="8" t="n"/>
      <c r="E635" s="8" t="n"/>
      <c r="F635" s="20" t="n"/>
      <c r="G635" s="20" t="n"/>
      <c r="H635" s="8" t="n"/>
      <c r="I635" s="20" t="n"/>
      <c r="J635" s="21">
        <f>IF(B635="","",F635+G635)</f>
        <v/>
      </c>
      <c r="K635" s="21">
        <f>IF(B635="","",J635*(Settings!$C$11+Settings!$C$12+Settings!$C$14)+IF(C635="",Settings!$C$13,IF(COUNTIF($C$5:C635,C635)=1,Settings!$C$13,0))+E635*Settings!$C$15+IF(H635="Yes",J635*Settings!$C$16,0))</f>
        <v/>
      </c>
      <c r="L635" s="21">
        <f>IF(B635="","",IF(Settings!$C$5="Yes",0,K635*Settings!$C$17))</f>
        <v/>
      </c>
      <c r="M635" s="21">
        <f>IF(B635="","",E635*IFERROR(VLOOKUP(D635,Products!$B$5:$F$204,5,FALSE),0))</f>
        <v/>
      </c>
      <c r="N635" s="21">
        <f>IF(B635="","",J635-K635-L635-M635-I635)</f>
        <v/>
      </c>
    </row>
    <row r="636">
      <c r="B636" s="11" t="n"/>
      <c r="C636" s="8" t="n"/>
      <c r="D636" s="8" t="n"/>
      <c r="E636" s="8" t="n"/>
      <c r="F636" s="20" t="n"/>
      <c r="G636" s="20" t="n"/>
      <c r="H636" s="8" t="n"/>
      <c r="I636" s="20" t="n"/>
      <c r="J636" s="21">
        <f>IF(B636="","",F636+G636)</f>
        <v/>
      </c>
      <c r="K636" s="21">
        <f>IF(B636="","",J636*(Settings!$C$11+Settings!$C$12+Settings!$C$14)+IF(C636="",Settings!$C$13,IF(COUNTIF($C$5:C636,C636)=1,Settings!$C$13,0))+E636*Settings!$C$15+IF(H636="Yes",J636*Settings!$C$16,0))</f>
        <v/>
      </c>
      <c r="L636" s="21">
        <f>IF(B636="","",IF(Settings!$C$5="Yes",0,K636*Settings!$C$17))</f>
        <v/>
      </c>
      <c r="M636" s="21">
        <f>IF(B636="","",E636*IFERROR(VLOOKUP(D636,Products!$B$5:$F$204,5,FALSE),0))</f>
        <v/>
      </c>
      <c r="N636" s="21">
        <f>IF(B636="","",J636-K636-L636-M636-I636)</f>
        <v/>
      </c>
    </row>
    <row r="637">
      <c r="B637" s="11" t="n"/>
      <c r="C637" s="8" t="n"/>
      <c r="D637" s="8" t="n"/>
      <c r="E637" s="8" t="n"/>
      <c r="F637" s="20" t="n"/>
      <c r="G637" s="20" t="n"/>
      <c r="H637" s="8" t="n"/>
      <c r="I637" s="20" t="n"/>
      <c r="J637" s="21">
        <f>IF(B637="","",F637+G637)</f>
        <v/>
      </c>
      <c r="K637" s="21">
        <f>IF(B637="","",J637*(Settings!$C$11+Settings!$C$12+Settings!$C$14)+IF(C637="",Settings!$C$13,IF(COUNTIF($C$5:C637,C637)=1,Settings!$C$13,0))+E637*Settings!$C$15+IF(H637="Yes",J637*Settings!$C$16,0))</f>
        <v/>
      </c>
      <c r="L637" s="21">
        <f>IF(B637="","",IF(Settings!$C$5="Yes",0,K637*Settings!$C$17))</f>
        <v/>
      </c>
      <c r="M637" s="21">
        <f>IF(B637="","",E637*IFERROR(VLOOKUP(D637,Products!$B$5:$F$204,5,FALSE),0))</f>
        <v/>
      </c>
      <c r="N637" s="21">
        <f>IF(B637="","",J637-K637-L637-M637-I637)</f>
        <v/>
      </c>
    </row>
    <row r="638">
      <c r="B638" s="11" t="n"/>
      <c r="C638" s="8" t="n"/>
      <c r="D638" s="8" t="n"/>
      <c r="E638" s="8" t="n"/>
      <c r="F638" s="20" t="n"/>
      <c r="G638" s="20" t="n"/>
      <c r="H638" s="8" t="n"/>
      <c r="I638" s="20" t="n"/>
      <c r="J638" s="21">
        <f>IF(B638="","",F638+G638)</f>
        <v/>
      </c>
      <c r="K638" s="21">
        <f>IF(B638="","",J638*(Settings!$C$11+Settings!$C$12+Settings!$C$14)+IF(C638="",Settings!$C$13,IF(COUNTIF($C$5:C638,C638)=1,Settings!$C$13,0))+E638*Settings!$C$15+IF(H638="Yes",J638*Settings!$C$16,0))</f>
        <v/>
      </c>
      <c r="L638" s="21">
        <f>IF(B638="","",IF(Settings!$C$5="Yes",0,K638*Settings!$C$17))</f>
        <v/>
      </c>
      <c r="M638" s="21">
        <f>IF(B638="","",E638*IFERROR(VLOOKUP(D638,Products!$B$5:$F$204,5,FALSE),0))</f>
        <v/>
      </c>
      <c r="N638" s="21">
        <f>IF(B638="","",J638-K638-L638-M638-I638)</f>
        <v/>
      </c>
    </row>
    <row r="639">
      <c r="B639" s="11" t="n"/>
      <c r="C639" s="8" t="n"/>
      <c r="D639" s="8" t="n"/>
      <c r="E639" s="8" t="n"/>
      <c r="F639" s="20" t="n"/>
      <c r="G639" s="20" t="n"/>
      <c r="H639" s="8" t="n"/>
      <c r="I639" s="20" t="n"/>
      <c r="J639" s="21">
        <f>IF(B639="","",F639+G639)</f>
        <v/>
      </c>
      <c r="K639" s="21">
        <f>IF(B639="","",J639*(Settings!$C$11+Settings!$C$12+Settings!$C$14)+IF(C639="",Settings!$C$13,IF(COUNTIF($C$5:C639,C639)=1,Settings!$C$13,0))+E639*Settings!$C$15+IF(H639="Yes",J639*Settings!$C$16,0))</f>
        <v/>
      </c>
      <c r="L639" s="21">
        <f>IF(B639="","",IF(Settings!$C$5="Yes",0,K639*Settings!$C$17))</f>
        <v/>
      </c>
      <c r="M639" s="21">
        <f>IF(B639="","",E639*IFERROR(VLOOKUP(D639,Products!$B$5:$F$204,5,FALSE),0))</f>
        <v/>
      </c>
      <c r="N639" s="21">
        <f>IF(B639="","",J639-K639-L639-M639-I639)</f>
        <v/>
      </c>
    </row>
    <row r="640">
      <c r="B640" s="11" t="n"/>
      <c r="C640" s="8" t="n"/>
      <c r="D640" s="8" t="n"/>
      <c r="E640" s="8" t="n"/>
      <c r="F640" s="20" t="n"/>
      <c r="G640" s="20" t="n"/>
      <c r="H640" s="8" t="n"/>
      <c r="I640" s="20" t="n"/>
      <c r="J640" s="21">
        <f>IF(B640="","",F640+G640)</f>
        <v/>
      </c>
      <c r="K640" s="21">
        <f>IF(B640="","",J640*(Settings!$C$11+Settings!$C$12+Settings!$C$14)+IF(C640="",Settings!$C$13,IF(COUNTIF($C$5:C640,C640)=1,Settings!$C$13,0))+E640*Settings!$C$15+IF(H640="Yes",J640*Settings!$C$16,0))</f>
        <v/>
      </c>
      <c r="L640" s="21">
        <f>IF(B640="","",IF(Settings!$C$5="Yes",0,K640*Settings!$C$17))</f>
        <v/>
      </c>
      <c r="M640" s="21">
        <f>IF(B640="","",E640*IFERROR(VLOOKUP(D640,Products!$B$5:$F$204,5,FALSE),0))</f>
        <v/>
      </c>
      <c r="N640" s="21">
        <f>IF(B640="","",J640-K640-L640-M640-I640)</f>
        <v/>
      </c>
    </row>
    <row r="641">
      <c r="B641" s="11" t="n"/>
      <c r="C641" s="8" t="n"/>
      <c r="D641" s="8" t="n"/>
      <c r="E641" s="8" t="n"/>
      <c r="F641" s="20" t="n"/>
      <c r="G641" s="20" t="n"/>
      <c r="H641" s="8" t="n"/>
      <c r="I641" s="20" t="n"/>
      <c r="J641" s="21">
        <f>IF(B641="","",F641+G641)</f>
        <v/>
      </c>
      <c r="K641" s="21">
        <f>IF(B641="","",J641*(Settings!$C$11+Settings!$C$12+Settings!$C$14)+IF(C641="",Settings!$C$13,IF(COUNTIF($C$5:C641,C641)=1,Settings!$C$13,0))+E641*Settings!$C$15+IF(H641="Yes",J641*Settings!$C$16,0))</f>
        <v/>
      </c>
      <c r="L641" s="21">
        <f>IF(B641="","",IF(Settings!$C$5="Yes",0,K641*Settings!$C$17))</f>
        <v/>
      </c>
      <c r="M641" s="21">
        <f>IF(B641="","",E641*IFERROR(VLOOKUP(D641,Products!$B$5:$F$204,5,FALSE),0))</f>
        <v/>
      </c>
      <c r="N641" s="21">
        <f>IF(B641="","",J641-K641-L641-M641-I641)</f>
        <v/>
      </c>
    </row>
    <row r="642">
      <c r="B642" s="11" t="n"/>
      <c r="C642" s="8" t="n"/>
      <c r="D642" s="8" t="n"/>
      <c r="E642" s="8" t="n"/>
      <c r="F642" s="20" t="n"/>
      <c r="G642" s="20" t="n"/>
      <c r="H642" s="8" t="n"/>
      <c r="I642" s="20" t="n"/>
      <c r="J642" s="21">
        <f>IF(B642="","",F642+G642)</f>
        <v/>
      </c>
      <c r="K642" s="21">
        <f>IF(B642="","",J642*(Settings!$C$11+Settings!$C$12+Settings!$C$14)+IF(C642="",Settings!$C$13,IF(COUNTIF($C$5:C642,C642)=1,Settings!$C$13,0))+E642*Settings!$C$15+IF(H642="Yes",J642*Settings!$C$16,0))</f>
        <v/>
      </c>
      <c r="L642" s="21">
        <f>IF(B642="","",IF(Settings!$C$5="Yes",0,K642*Settings!$C$17))</f>
        <v/>
      </c>
      <c r="M642" s="21">
        <f>IF(B642="","",E642*IFERROR(VLOOKUP(D642,Products!$B$5:$F$204,5,FALSE),0))</f>
        <v/>
      </c>
      <c r="N642" s="21">
        <f>IF(B642="","",J642-K642-L642-M642-I642)</f>
        <v/>
      </c>
    </row>
    <row r="643">
      <c r="B643" s="11" t="n"/>
      <c r="C643" s="8" t="n"/>
      <c r="D643" s="8" t="n"/>
      <c r="E643" s="8" t="n"/>
      <c r="F643" s="20" t="n"/>
      <c r="G643" s="20" t="n"/>
      <c r="H643" s="8" t="n"/>
      <c r="I643" s="20" t="n"/>
      <c r="J643" s="21">
        <f>IF(B643="","",F643+G643)</f>
        <v/>
      </c>
      <c r="K643" s="21">
        <f>IF(B643="","",J643*(Settings!$C$11+Settings!$C$12+Settings!$C$14)+IF(C643="",Settings!$C$13,IF(COUNTIF($C$5:C643,C643)=1,Settings!$C$13,0))+E643*Settings!$C$15+IF(H643="Yes",J643*Settings!$C$16,0))</f>
        <v/>
      </c>
      <c r="L643" s="21">
        <f>IF(B643="","",IF(Settings!$C$5="Yes",0,K643*Settings!$C$17))</f>
        <v/>
      </c>
      <c r="M643" s="21">
        <f>IF(B643="","",E643*IFERROR(VLOOKUP(D643,Products!$B$5:$F$204,5,FALSE),0))</f>
        <v/>
      </c>
      <c r="N643" s="21">
        <f>IF(B643="","",J643-K643-L643-M643-I643)</f>
        <v/>
      </c>
    </row>
    <row r="644">
      <c r="B644" s="11" t="n"/>
      <c r="C644" s="8" t="n"/>
      <c r="D644" s="8" t="n"/>
      <c r="E644" s="8" t="n"/>
      <c r="F644" s="20" t="n"/>
      <c r="G644" s="20" t="n"/>
      <c r="H644" s="8" t="n"/>
      <c r="I644" s="20" t="n"/>
      <c r="J644" s="21">
        <f>IF(B644="","",F644+G644)</f>
        <v/>
      </c>
      <c r="K644" s="21">
        <f>IF(B644="","",J644*(Settings!$C$11+Settings!$C$12+Settings!$C$14)+IF(C644="",Settings!$C$13,IF(COUNTIF($C$5:C644,C644)=1,Settings!$C$13,0))+E644*Settings!$C$15+IF(H644="Yes",J644*Settings!$C$16,0))</f>
        <v/>
      </c>
      <c r="L644" s="21">
        <f>IF(B644="","",IF(Settings!$C$5="Yes",0,K644*Settings!$C$17))</f>
        <v/>
      </c>
      <c r="M644" s="21">
        <f>IF(B644="","",E644*IFERROR(VLOOKUP(D644,Products!$B$5:$F$204,5,FALSE),0))</f>
        <v/>
      </c>
      <c r="N644" s="21">
        <f>IF(B644="","",J644-K644-L644-M644-I644)</f>
        <v/>
      </c>
    </row>
    <row r="645">
      <c r="B645" s="11" t="n"/>
      <c r="C645" s="8" t="n"/>
      <c r="D645" s="8" t="n"/>
      <c r="E645" s="8" t="n"/>
      <c r="F645" s="20" t="n"/>
      <c r="G645" s="20" t="n"/>
      <c r="H645" s="8" t="n"/>
      <c r="I645" s="20" t="n"/>
      <c r="J645" s="21">
        <f>IF(B645="","",F645+G645)</f>
        <v/>
      </c>
      <c r="K645" s="21">
        <f>IF(B645="","",J645*(Settings!$C$11+Settings!$C$12+Settings!$C$14)+IF(C645="",Settings!$C$13,IF(COUNTIF($C$5:C645,C645)=1,Settings!$C$13,0))+E645*Settings!$C$15+IF(H645="Yes",J645*Settings!$C$16,0))</f>
        <v/>
      </c>
      <c r="L645" s="21">
        <f>IF(B645="","",IF(Settings!$C$5="Yes",0,K645*Settings!$C$17))</f>
        <v/>
      </c>
      <c r="M645" s="21">
        <f>IF(B645="","",E645*IFERROR(VLOOKUP(D645,Products!$B$5:$F$204,5,FALSE),0))</f>
        <v/>
      </c>
      <c r="N645" s="21">
        <f>IF(B645="","",J645-K645-L645-M645-I645)</f>
        <v/>
      </c>
    </row>
    <row r="646">
      <c r="B646" s="11" t="n"/>
      <c r="C646" s="8" t="n"/>
      <c r="D646" s="8" t="n"/>
      <c r="E646" s="8" t="n"/>
      <c r="F646" s="20" t="n"/>
      <c r="G646" s="20" t="n"/>
      <c r="H646" s="8" t="n"/>
      <c r="I646" s="20" t="n"/>
      <c r="J646" s="21">
        <f>IF(B646="","",F646+G646)</f>
        <v/>
      </c>
      <c r="K646" s="21">
        <f>IF(B646="","",J646*(Settings!$C$11+Settings!$C$12+Settings!$C$14)+IF(C646="",Settings!$C$13,IF(COUNTIF($C$5:C646,C646)=1,Settings!$C$13,0))+E646*Settings!$C$15+IF(H646="Yes",J646*Settings!$C$16,0))</f>
        <v/>
      </c>
      <c r="L646" s="21">
        <f>IF(B646="","",IF(Settings!$C$5="Yes",0,K646*Settings!$C$17))</f>
        <v/>
      </c>
      <c r="M646" s="21">
        <f>IF(B646="","",E646*IFERROR(VLOOKUP(D646,Products!$B$5:$F$204,5,FALSE),0))</f>
        <v/>
      </c>
      <c r="N646" s="21">
        <f>IF(B646="","",J646-K646-L646-M646-I646)</f>
        <v/>
      </c>
    </row>
    <row r="647">
      <c r="B647" s="11" t="n"/>
      <c r="C647" s="8" t="n"/>
      <c r="D647" s="8" t="n"/>
      <c r="E647" s="8" t="n"/>
      <c r="F647" s="20" t="n"/>
      <c r="G647" s="20" t="n"/>
      <c r="H647" s="8" t="n"/>
      <c r="I647" s="20" t="n"/>
      <c r="J647" s="21">
        <f>IF(B647="","",F647+G647)</f>
        <v/>
      </c>
      <c r="K647" s="21">
        <f>IF(B647="","",J647*(Settings!$C$11+Settings!$C$12+Settings!$C$14)+IF(C647="",Settings!$C$13,IF(COUNTIF($C$5:C647,C647)=1,Settings!$C$13,0))+E647*Settings!$C$15+IF(H647="Yes",J647*Settings!$C$16,0))</f>
        <v/>
      </c>
      <c r="L647" s="21">
        <f>IF(B647="","",IF(Settings!$C$5="Yes",0,K647*Settings!$C$17))</f>
        <v/>
      </c>
      <c r="M647" s="21">
        <f>IF(B647="","",E647*IFERROR(VLOOKUP(D647,Products!$B$5:$F$204,5,FALSE),0))</f>
        <v/>
      </c>
      <c r="N647" s="21">
        <f>IF(B647="","",J647-K647-L647-M647-I647)</f>
        <v/>
      </c>
    </row>
    <row r="648">
      <c r="B648" s="11" t="n"/>
      <c r="C648" s="8" t="n"/>
      <c r="D648" s="8" t="n"/>
      <c r="E648" s="8" t="n"/>
      <c r="F648" s="20" t="n"/>
      <c r="G648" s="20" t="n"/>
      <c r="H648" s="8" t="n"/>
      <c r="I648" s="20" t="n"/>
      <c r="J648" s="21">
        <f>IF(B648="","",F648+G648)</f>
        <v/>
      </c>
      <c r="K648" s="21">
        <f>IF(B648="","",J648*(Settings!$C$11+Settings!$C$12+Settings!$C$14)+IF(C648="",Settings!$C$13,IF(COUNTIF($C$5:C648,C648)=1,Settings!$C$13,0))+E648*Settings!$C$15+IF(H648="Yes",J648*Settings!$C$16,0))</f>
        <v/>
      </c>
      <c r="L648" s="21">
        <f>IF(B648="","",IF(Settings!$C$5="Yes",0,K648*Settings!$C$17))</f>
        <v/>
      </c>
      <c r="M648" s="21">
        <f>IF(B648="","",E648*IFERROR(VLOOKUP(D648,Products!$B$5:$F$204,5,FALSE),0))</f>
        <v/>
      </c>
      <c r="N648" s="21">
        <f>IF(B648="","",J648-K648-L648-M648-I648)</f>
        <v/>
      </c>
    </row>
    <row r="649">
      <c r="B649" s="11" t="n"/>
      <c r="C649" s="8" t="n"/>
      <c r="D649" s="8" t="n"/>
      <c r="E649" s="8" t="n"/>
      <c r="F649" s="20" t="n"/>
      <c r="G649" s="20" t="n"/>
      <c r="H649" s="8" t="n"/>
      <c r="I649" s="20" t="n"/>
      <c r="J649" s="21">
        <f>IF(B649="","",F649+G649)</f>
        <v/>
      </c>
      <c r="K649" s="21">
        <f>IF(B649="","",J649*(Settings!$C$11+Settings!$C$12+Settings!$C$14)+IF(C649="",Settings!$C$13,IF(COUNTIF($C$5:C649,C649)=1,Settings!$C$13,0))+E649*Settings!$C$15+IF(H649="Yes",J649*Settings!$C$16,0))</f>
        <v/>
      </c>
      <c r="L649" s="21">
        <f>IF(B649="","",IF(Settings!$C$5="Yes",0,K649*Settings!$C$17))</f>
        <v/>
      </c>
      <c r="M649" s="21">
        <f>IF(B649="","",E649*IFERROR(VLOOKUP(D649,Products!$B$5:$F$204,5,FALSE),0))</f>
        <v/>
      </c>
      <c r="N649" s="21">
        <f>IF(B649="","",J649-K649-L649-M649-I649)</f>
        <v/>
      </c>
    </row>
    <row r="650">
      <c r="B650" s="11" t="n"/>
      <c r="C650" s="8" t="n"/>
      <c r="D650" s="8" t="n"/>
      <c r="E650" s="8" t="n"/>
      <c r="F650" s="20" t="n"/>
      <c r="G650" s="20" t="n"/>
      <c r="H650" s="8" t="n"/>
      <c r="I650" s="20" t="n"/>
      <c r="J650" s="21">
        <f>IF(B650="","",F650+G650)</f>
        <v/>
      </c>
      <c r="K650" s="21">
        <f>IF(B650="","",J650*(Settings!$C$11+Settings!$C$12+Settings!$C$14)+IF(C650="",Settings!$C$13,IF(COUNTIF($C$5:C650,C650)=1,Settings!$C$13,0))+E650*Settings!$C$15+IF(H650="Yes",J650*Settings!$C$16,0))</f>
        <v/>
      </c>
      <c r="L650" s="21">
        <f>IF(B650="","",IF(Settings!$C$5="Yes",0,K650*Settings!$C$17))</f>
        <v/>
      </c>
      <c r="M650" s="21">
        <f>IF(B650="","",E650*IFERROR(VLOOKUP(D650,Products!$B$5:$F$204,5,FALSE),0))</f>
        <v/>
      </c>
      <c r="N650" s="21">
        <f>IF(B650="","",J650-K650-L650-M650-I650)</f>
        <v/>
      </c>
    </row>
    <row r="651">
      <c r="B651" s="11" t="n"/>
      <c r="C651" s="8" t="n"/>
      <c r="D651" s="8" t="n"/>
      <c r="E651" s="8" t="n"/>
      <c r="F651" s="20" t="n"/>
      <c r="G651" s="20" t="n"/>
      <c r="H651" s="8" t="n"/>
      <c r="I651" s="20" t="n"/>
      <c r="J651" s="21">
        <f>IF(B651="","",F651+G651)</f>
        <v/>
      </c>
      <c r="K651" s="21">
        <f>IF(B651="","",J651*(Settings!$C$11+Settings!$C$12+Settings!$C$14)+IF(C651="",Settings!$C$13,IF(COUNTIF($C$5:C651,C651)=1,Settings!$C$13,0))+E651*Settings!$C$15+IF(H651="Yes",J651*Settings!$C$16,0))</f>
        <v/>
      </c>
      <c r="L651" s="21">
        <f>IF(B651="","",IF(Settings!$C$5="Yes",0,K651*Settings!$C$17))</f>
        <v/>
      </c>
      <c r="M651" s="21">
        <f>IF(B651="","",E651*IFERROR(VLOOKUP(D651,Products!$B$5:$F$204,5,FALSE),0))</f>
        <v/>
      </c>
      <c r="N651" s="21">
        <f>IF(B651="","",J651-K651-L651-M651-I651)</f>
        <v/>
      </c>
    </row>
    <row r="652">
      <c r="B652" s="11" t="n"/>
      <c r="C652" s="8" t="n"/>
      <c r="D652" s="8" t="n"/>
      <c r="E652" s="8" t="n"/>
      <c r="F652" s="20" t="n"/>
      <c r="G652" s="20" t="n"/>
      <c r="H652" s="8" t="n"/>
      <c r="I652" s="20" t="n"/>
      <c r="J652" s="21">
        <f>IF(B652="","",F652+G652)</f>
        <v/>
      </c>
      <c r="K652" s="21">
        <f>IF(B652="","",J652*(Settings!$C$11+Settings!$C$12+Settings!$C$14)+IF(C652="",Settings!$C$13,IF(COUNTIF($C$5:C652,C652)=1,Settings!$C$13,0))+E652*Settings!$C$15+IF(H652="Yes",J652*Settings!$C$16,0))</f>
        <v/>
      </c>
      <c r="L652" s="21">
        <f>IF(B652="","",IF(Settings!$C$5="Yes",0,K652*Settings!$C$17))</f>
        <v/>
      </c>
      <c r="M652" s="21">
        <f>IF(B652="","",E652*IFERROR(VLOOKUP(D652,Products!$B$5:$F$204,5,FALSE),0))</f>
        <v/>
      </c>
      <c r="N652" s="21">
        <f>IF(B652="","",J652-K652-L652-M652-I652)</f>
        <v/>
      </c>
    </row>
    <row r="653">
      <c r="B653" s="11" t="n"/>
      <c r="C653" s="8" t="n"/>
      <c r="D653" s="8" t="n"/>
      <c r="E653" s="8" t="n"/>
      <c r="F653" s="20" t="n"/>
      <c r="G653" s="20" t="n"/>
      <c r="H653" s="8" t="n"/>
      <c r="I653" s="20" t="n"/>
      <c r="J653" s="21">
        <f>IF(B653="","",F653+G653)</f>
        <v/>
      </c>
      <c r="K653" s="21">
        <f>IF(B653="","",J653*(Settings!$C$11+Settings!$C$12+Settings!$C$14)+IF(C653="",Settings!$C$13,IF(COUNTIF($C$5:C653,C653)=1,Settings!$C$13,0))+E653*Settings!$C$15+IF(H653="Yes",J653*Settings!$C$16,0))</f>
        <v/>
      </c>
      <c r="L653" s="21">
        <f>IF(B653="","",IF(Settings!$C$5="Yes",0,K653*Settings!$C$17))</f>
        <v/>
      </c>
      <c r="M653" s="21">
        <f>IF(B653="","",E653*IFERROR(VLOOKUP(D653,Products!$B$5:$F$204,5,FALSE),0))</f>
        <v/>
      </c>
      <c r="N653" s="21">
        <f>IF(B653="","",J653-K653-L653-M653-I653)</f>
        <v/>
      </c>
    </row>
    <row r="654">
      <c r="B654" s="11" t="n"/>
      <c r="C654" s="8" t="n"/>
      <c r="D654" s="8" t="n"/>
      <c r="E654" s="8" t="n"/>
      <c r="F654" s="20" t="n"/>
      <c r="G654" s="20" t="n"/>
      <c r="H654" s="8" t="n"/>
      <c r="I654" s="20" t="n"/>
      <c r="J654" s="21">
        <f>IF(B654="","",F654+G654)</f>
        <v/>
      </c>
      <c r="K654" s="21">
        <f>IF(B654="","",J654*(Settings!$C$11+Settings!$C$12+Settings!$C$14)+IF(C654="",Settings!$C$13,IF(COUNTIF($C$5:C654,C654)=1,Settings!$C$13,0))+E654*Settings!$C$15+IF(H654="Yes",J654*Settings!$C$16,0))</f>
        <v/>
      </c>
      <c r="L654" s="21">
        <f>IF(B654="","",IF(Settings!$C$5="Yes",0,K654*Settings!$C$17))</f>
        <v/>
      </c>
      <c r="M654" s="21">
        <f>IF(B654="","",E654*IFERROR(VLOOKUP(D654,Products!$B$5:$F$204,5,FALSE),0))</f>
        <v/>
      </c>
      <c r="N654" s="21">
        <f>IF(B654="","",J654-K654-L654-M654-I654)</f>
        <v/>
      </c>
    </row>
    <row r="655">
      <c r="B655" s="11" t="n"/>
      <c r="C655" s="8" t="n"/>
      <c r="D655" s="8" t="n"/>
      <c r="E655" s="8" t="n"/>
      <c r="F655" s="20" t="n"/>
      <c r="G655" s="20" t="n"/>
      <c r="H655" s="8" t="n"/>
      <c r="I655" s="20" t="n"/>
      <c r="J655" s="21">
        <f>IF(B655="","",F655+G655)</f>
        <v/>
      </c>
      <c r="K655" s="21">
        <f>IF(B655="","",J655*(Settings!$C$11+Settings!$C$12+Settings!$C$14)+IF(C655="",Settings!$C$13,IF(COUNTIF($C$5:C655,C655)=1,Settings!$C$13,0))+E655*Settings!$C$15+IF(H655="Yes",J655*Settings!$C$16,0))</f>
        <v/>
      </c>
      <c r="L655" s="21">
        <f>IF(B655="","",IF(Settings!$C$5="Yes",0,K655*Settings!$C$17))</f>
        <v/>
      </c>
      <c r="M655" s="21">
        <f>IF(B655="","",E655*IFERROR(VLOOKUP(D655,Products!$B$5:$F$204,5,FALSE),0))</f>
        <v/>
      </c>
      <c r="N655" s="21">
        <f>IF(B655="","",J655-K655-L655-M655-I655)</f>
        <v/>
      </c>
    </row>
    <row r="656">
      <c r="B656" s="11" t="n"/>
      <c r="C656" s="8" t="n"/>
      <c r="D656" s="8" t="n"/>
      <c r="E656" s="8" t="n"/>
      <c r="F656" s="20" t="n"/>
      <c r="G656" s="20" t="n"/>
      <c r="H656" s="8" t="n"/>
      <c r="I656" s="20" t="n"/>
      <c r="J656" s="21">
        <f>IF(B656="","",F656+G656)</f>
        <v/>
      </c>
      <c r="K656" s="21">
        <f>IF(B656="","",J656*(Settings!$C$11+Settings!$C$12+Settings!$C$14)+IF(C656="",Settings!$C$13,IF(COUNTIF($C$5:C656,C656)=1,Settings!$C$13,0))+E656*Settings!$C$15+IF(H656="Yes",J656*Settings!$C$16,0))</f>
        <v/>
      </c>
      <c r="L656" s="21">
        <f>IF(B656="","",IF(Settings!$C$5="Yes",0,K656*Settings!$C$17))</f>
        <v/>
      </c>
      <c r="M656" s="21">
        <f>IF(B656="","",E656*IFERROR(VLOOKUP(D656,Products!$B$5:$F$204,5,FALSE),0))</f>
        <v/>
      </c>
      <c r="N656" s="21">
        <f>IF(B656="","",J656-K656-L656-M656-I656)</f>
        <v/>
      </c>
    </row>
    <row r="657">
      <c r="B657" s="11" t="n"/>
      <c r="C657" s="8" t="n"/>
      <c r="D657" s="8" t="n"/>
      <c r="E657" s="8" t="n"/>
      <c r="F657" s="20" t="n"/>
      <c r="G657" s="20" t="n"/>
      <c r="H657" s="8" t="n"/>
      <c r="I657" s="20" t="n"/>
      <c r="J657" s="21">
        <f>IF(B657="","",F657+G657)</f>
        <v/>
      </c>
      <c r="K657" s="21">
        <f>IF(B657="","",J657*(Settings!$C$11+Settings!$C$12+Settings!$C$14)+IF(C657="",Settings!$C$13,IF(COUNTIF($C$5:C657,C657)=1,Settings!$C$13,0))+E657*Settings!$C$15+IF(H657="Yes",J657*Settings!$C$16,0))</f>
        <v/>
      </c>
      <c r="L657" s="21">
        <f>IF(B657="","",IF(Settings!$C$5="Yes",0,K657*Settings!$C$17))</f>
        <v/>
      </c>
      <c r="M657" s="21">
        <f>IF(B657="","",E657*IFERROR(VLOOKUP(D657,Products!$B$5:$F$204,5,FALSE),0))</f>
        <v/>
      </c>
      <c r="N657" s="21">
        <f>IF(B657="","",J657-K657-L657-M657-I657)</f>
        <v/>
      </c>
    </row>
    <row r="658">
      <c r="B658" s="11" t="n"/>
      <c r="C658" s="8" t="n"/>
      <c r="D658" s="8" t="n"/>
      <c r="E658" s="8" t="n"/>
      <c r="F658" s="20" t="n"/>
      <c r="G658" s="20" t="n"/>
      <c r="H658" s="8" t="n"/>
      <c r="I658" s="20" t="n"/>
      <c r="J658" s="21">
        <f>IF(B658="","",F658+G658)</f>
        <v/>
      </c>
      <c r="K658" s="21">
        <f>IF(B658="","",J658*(Settings!$C$11+Settings!$C$12+Settings!$C$14)+IF(C658="",Settings!$C$13,IF(COUNTIF($C$5:C658,C658)=1,Settings!$C$13,0))+E658*Settings!$C$15+IF(H658="Yes",J658*Settings!$C$16,0))</f>
        <v/>
      </c>
      <c r="L658" s="21">
        <f>IF(B658="","",IF(Settings!$C$5="Yes",0,K658*Settings!$C$17))</f>
        <v/>
      </c>
      <c r="M658" s="21">
        <f>IF(B658="","",E658*IFERROR(VLOOKUP(D658,Products!$B$5:$F$204,5,FALSE),0))</f>
        <v/>
      </c>
      <c r="N658" s="21">
        <f>IF(B658="","",J658-K658-L658-M658-I658)</f>
        <v/>
      </c>
    </row>
    <row r="659">
      <c r="B659" s="11" t="n"/>
      <c r="C659" s="8" t="n"/>
      <c r="D659" s="8" t="n"/>
      <c r="E659" s="8" t="n"/>
      <c r="F659" s="20" t="n"/>
      <c r="G659" s="20" t="n"/>
      <c r="H659" s="8" t="n"/>
      <c r="I659" s="20" t="n"/>
      <c r="J659" s="21">
        <f>IF(B659="","",F659+G659)</f>
        <v/>
      </c>
      <c r="K659" s="21">
        <f>IF(B659="","",J659*(Settings!$C$11+Settings!$C$12+Settings!$C$14)+IF(C659="",Settings!$C$13,IF(COUNTIF($C$5:C659,C659)=1,Settings!$C$13,0))+E659*Settings!$C$15+IF(H659="Yes",J659*Settings!$C$16,0))</f>
        <v/>
      </c>
      <c r="L659" s="21">
        <f>IF(B659="","",IF(Settings!$C$5="Yes",0,K659*Settings!$C$17))</f>
        <v/>
      </c>
      <c r="M659" s="21">
        <f>IF(B659="","",E659*IFERROR(VLOOKUP(D659,Products!$B$5:$F$204,5,FALSE),0))</f>
        <v/>
      </c>
      <c r="N659" s="21">
        <f>IF(B659="","",J659-K659-L659-M659-I659)</f>
        <v/>
      </c>
    </row>
    <row r="660">
      <c r="B660" s="11" t="n"/>
      <c r="C660" s="8" t="n"/>
      <c r="D660" s="8" t="n"/>
      <c r="E660" s="8" t="n"/>
      <c r="F660" s="20" t="n"/>
      <c r="G660" s="20" t="n"/>
      <c r="H660" s="8" t="n"/>
      <c r="I660" s="20" t="n"/>
      <c r="J660" s="21">
        <f>IF(B660="","",F660+G660)</f>
        <v/>
      </c>
      <c r="K660" s="21">
        <f>IF(B660="","",J660*(Settings!$C$11+Settings!$C$12+Settings!$C$14)+IF(C660="",Settings!$C$13,IF(COUNTIF($C$5:C660,C660)=1,Settings!$C$13,0))+E660*Settings!$C$15+IF(H660="Yes",J660*Settings!$C$16,0))</f>
        <v/>
      </c>
      <c r="L660" s="21">
        <f>IF(B660="","",IF(Settings!$C$5="Yes",0,K660*Settings!$C$17))</f>
        <v/>
      </c>
      <c r="M660" s="21">
        <f>IF(B660="","",E660*IFERROR(VLOOKUP(D660,Products!$B$5:$F$204,5,FALSE),0))</f>
        <v/>
      </c>
      <c r="N660" s="21">
        <f>IF(B660="","",J660-K660-L660-M660-I660)</f>
        <v/>
      </c>
    </row>
    <row r="661">
      <c r="B661" s="11" t="n"/>
      <c r="C661" s="8" t="n"/>
      <c r="D661" s="8" t="n"/>
      <c r="E661" s="8" t="n"/>
      <c r="F661" s="20" t="n"/>
      <c r="G661" s="20" t="n"/>
      <c r="H661" s="8" t="n"/>
      <c r="I661" s="20" t="n"/>
      <c r="J661" s="21">
        <f>IF(B661="","",F661+G661)</f>
        <v/>
      </c>
      <c r="K661" s="21">
        <f>IF(B661="","",J661*(Settings!$C$11+Settings!$C$12+Settings!$C$14)+IF(C661="",Settings!$C$13,IF(COUNTIF($C$5:C661,C661)=1,Settings!$C$13,0))+E661*Settings!$C$15+IF(H661="Yes",J661*Settings!$C$16,0))</f>
        <v/>
      </c>
      <c r="L661" s="21">
        <f>IF(B661="","",IF(Settings!$C$5="Yes",0,K661*Settings!$C$17))</f>
        <v/>
      </c>
      <c r="M661" s="21">
        <f>IF(B661="","",E661*IFERROR(VLOOKUP(D661,Products!$B$5:$F$204,5,FALSE),0))</f>
        <v/>
      </c>
      <c r="N661" s="21">
        <f>IF(B661="","",J661-K661-L661-M661-I661)</f>
        <v/>
      </c>
    </row>
    <row r="662">
      <c r="B662" s="11" t="n"/>
      <c r="C662" s="8" t="n"/>
      <c r="D662" s="8" t="n"/>
      <c r="E662" s="8" t="n"/>
      <c r="F662" s="20" t="n"/>
      <c r="G662" s="20" t="n"/>
      <c r="H662" s="8" t="n"/>
      <c r="I662" s="20" t="n"/>
      <c r="J662" s="21">
        <f>IF(B662="","",F662+G662)</f>
        <v/>
      </c>
      <c r="K662" s="21">
        <f>IF(B662="","",J662*(Settings!$C$11+Settings!$C$12+Settings!$C$14)+IF(C662="",Settings!$C$13,IF(COUNTIF($C$5:C662,C662)=1,Settings!$C$13,0))+E662*Settings!$C$15+IF(H662="Yes",J662*Settings!$C$16,0))</f>
        <v/>
      </c>
      <c r="L662" s="21">
        <f>IF(B662="","",IF(Settings!$C$5="Yes",0,K662*Settings!$C$17))</f>
        <v/>
      </c>
      <c r="M662" s="21">
        <f>IF(B662="","",E662*IFERROR(VLOOKUP(D662,Products!$B$5:$F$204,5,FALSE),0))</f>
        <v/>
      </c>
      <c r="N662" s="21">
        <f>IF(B662="","",J662-K662-L662-M662-I662)</f>
        <v/>
      </c>
    </row>
    <row r="663">
      <c r="B663" s="11" t="n"/>
      <c r="C663" s="8" t="n"/>
      <c r="D663" s="8" t="n"/>
      <c r="E663" s="8" t="n"/>
      <c r="F663" s="20" t="n"/>
      <c r="G663" s="20" t="n"/>
      <c r="H663" s="8" t="n"/>
      <c r="I663" s="20" t="n"/>
      <c r="J663" s="21">
        <f>IF(B663="","",F663+G663)</f>
        <v/>
      </c>
      <c r="K663" s="21">
        <f>IF(B663="","",J663*(Settings!$C$11+Settings!$C$12+Settings!$C$14)+IF(C663="",Settings!$C$13,IF(COUNTIF($C$5:C663,C663)=1,Settings!$C$13,0))+E663*Settings!$C$15+IF(H663="Yes",J663*Settings!$C$16,0))</f>
        <v/>
      </c>
      <c r="L663" s="21">
        <f>IF(B663="","",IF(Settings!$C$5="Yes",0,K663*Settings!$C$17))</f>
        <v/>
      </c>
      <c r="M663" s="21">
        <f>IF(B663="","",E663*IFERROR(VLOOKUP(D663,Products!$B$5:$F$204,5,FALSE),0))</f>
        <v/>
      </c>
      <c r="N663" s="21">
        <f>IF(B663="","",J663-K663-L663-M663-I663)</f>
        <v/>
      </c>
    </row>
    <row r="664">
      <c r="B664" s="11" t="n"/>
      <c r="C664" s="8" t="n"/>
      <c r="D664" s="8" t="n"/>
      <c r="E664" s="8" t="n"/>
      <c r="F664" s="20" t="n"/>
      <c r="G664" s="20" t="n"/>
      <c r="H664" s="8" t="n"/>
      <c r="I664" s="20" t="n"/>
      <c r="J664" s="21">
        <f>IF(B664="","",F664+G664)</f>
        <v/>
      </c>
      <c r="K664" s="21">
        <f>IF(B664="","",J664*(Settings!$C$11+Settings!$C$12+Settings!$C$14)+IF(C664="",Settings!$C$13,IF(COUNTIF($C$5:C664,C664)=1,Settings!$C$13,0))+E664*Settings!$C$15+IF(H664="Yes",J664*Settings!$C$16,0))</f>
        <v/>
      </c>
      <c r="L664" s="21">
        <f>IF(B664="","",IF(Settings!$C$5="Yes",0,K664*Settings!$C$17))</f>
        <v/>
      </c>
      <c r="M664" s="21">
        <f>IF(B664="","",E664*IFERROR(VLOOKUP(D664,Products!$B$5:$F$204,5,FALSE),0))</f>
        <v/>
      </c>
      <c r="N664" s="21">
        <f>IF(B664="","",J664-K664-L664-M664-I664)</f>
        <v/>
      </c>
    </row>
    <row r="665">
      <c r="B665" s="11" t="n"/>
      <c r="C665" s="8" t="n"/>
      <c r="D665" s="8" t="n"/>
      <c r="E665" s="8" t="n"/>
      <c r="F665" s="20" t="n"/>
      <c r="G665" s="20" t="n"/>
      <c r="H665" s="8" t="n"/>
      <c r="I665" s="20" t="n"/>
      <c r="J665" s="21">
        <f>IF(B665="","",F665+G665)</f>
        <v/>
      </c>
      <c r="K665" s="21">
        <f>IF(B665="","",J665*(Settings!$C$11+Settings!$C$12+Settings!$C$14)+IF(C665="",Settings!$C$13,IF(COUNTIF($C$5:C665,C665)=1,Settings!$C$13,0))+E665*Settings!$C$15+IF(H665="Yes",J665*Settings!$C$16,0))</f>
        <v/>
      </c>
      <c r="L665" s="21">
        <f>IF(B665="","",IF(Settings!$C$5="Yes",0,K665*Settings!$C$17))</f>
        <v/>
      </c>
      <c r="M665" s="21">
        <f>IF(B665="","",E665*IFERROR(VLOOKUP(D665,Products!$B$5:$F$204,5,FALSE),0))</f>
        <v/>
      </c>
      <c r="N665" s="21">
        <f>IF(B665="","",J665-K665-L665-M665-I665)</f>
        <v/>
      </c>
    </row>
    <row r="666">
      <c r="B666" s="11" t="n"/>
      <c r="C666" s="8" t="n"/>
      <c r="D666" s="8" t="n"/>
      <c r="E666" s="8" t="n"/>
      <c r="F666" s="20" t="n"/>
      <c r="G666" s="20" t="n"/>
      <c r="H666" s="8" t="n"/>
      <c r="I666" s="20" t="n"/>
      <c r="J666" s="21">
        <f>IF(B666="","",F666+G666)</f>
        <v/>
      </c>
      <c r="K666" s="21">
        <f>IF(B666="","",J666*(Settings!$C$11+Settings!$C$12+Settings!$C$14)+IF(C666="",Settings!$C$13,IF(COUNTIF($C$5:C666,C666)=1,Settings!$C$13,0))+E666*Settings!$C$15+IF(H666="Yes",J666*Settings!$C$16,0))</f>
        <v/>
      </c>
      <c r="L666" s="21">
        <f>IF(B666="","",IF(Settings!$C$5="Yes",0,K666*Settings!$C$17))</f>
        <v/>
      </c>
      <c r="M666" s="21">
        <f>IF(B666="","",E666*IFERROR(VLOOKUP(D666,Products!$B$5:$F$204,5,FALSE),0))</f>
        <v/>
      </c>
      <c r="N666" s="21">
        <f>IF(B666="","",J666-K666-L666-M666-I666)</f>
        <v/>
      </c>
    </row>
    <row r="667">
      <c r="B667" s="11" t="n"/>
      <c r="C667" s="8" t="n"/>
      <c r="D667" s="8" t="n"/>
      <c r="E667" s="8" t="n"/>
      <c r="F667" s="20" t="n"/>
      <c r="G667" s="20" t="n"/>
      <c r="H667" s="8" t="n"/>
      <c r="I667" s="20" t="n"/>
      <c r="J667" s="21">
        <f>IF(B667="","",F667+G667)</f>
        <v/>
      </c>
      <c r="K667" s="21">
        <f>IF(B667="","",J667*(Settings!$C$11+Settings!$C$12+Settings!$C$14)+IF(C667="",Settings!$C$13,IF(COUNTIF($C$5:C667,C667)=1,Settings!$C$13,0))+E667*Settings!$C$15+IF(H667="Yes",J667*Settings!$C$16,0))</f>
        <v/>
      </c>
      <c r="L667" s="21">
        <f>IF(B667="","",IF(Settings!$C$5="Yes",0,K667*Settings!$C$17))</f>
        <v/>
      </c>
      <c r="M667" s="21">
        <f>IF(B667="","",E667*IFERROR(VLOOKUP(D667,Products!$B$5:$F$204,5,FALSE),0))</f>
        <v/>
      </c>
      <c r="N667" s="21">
        <f>IF(B667="","",J667-K667-L667-M667-I667)</f>
        <v/>
      </c>
    </row>
    <row r="668">
      <c r="B668" s="11" t="n"/>
      <c r="C668" s="8" t="n"/>
      <c r="D668" s="8" t="n"/>
      <c r="E668" s="8" t="n"/>
      <c r="F668" s="20" t="n"/>
      <c r="G668" s="20" t="n"/>
      <c r="H668" s="8" t="n"/>
      <c r="I668" s="20" t="n"/>
      <c r="J668" s="21">
        <f>IF(B668="","",F668+G668)</f>
        <v/>
      </c>
      <c r="K668" s="21">
        <f>IF(B668="","",J668*(Settings!$C$11+Settings!$C$12+Settings!$C$14)+IF(C668="",Settings!$C$13,IF(COUNTIF($C$5:C668,C668)=1,Settings!$C$13,0))+E668*Settings!$C$15+IF(H668="Yes",J668*Settings!$C$16,0))</f>
        <v/>
      </c>
      <c r="L668" s="21">
        <f>IF(B668="","",IF(Settings!$C$5="Yes",0,K668*Settings!$C$17))</f>
        <v/>
      </c>
      <c r="M668" s="21">
        <f>IF(B668="","",E668*IFERROR(VLOOKUP(D668,Products!$B$5:$F$204,5,FALSE),0))</f>
        <v/>
      </c>
      <c r="N668" s="21">
        <f>IF(B668="","",J668-K668-L668-M668-I668)</f>
        <v/>
      </c>
    </row>
    <row r="669">
      <c r="B669" s="11" t="n"/>
      <c r="C669" s="8" t="n"/>
      <c r="D669" s="8" t="n"/>
      <c r="E669" s="8" t="n"/>
      <c r="F669" s="20" t="n"/>
      <c r="G669" s="20" t="n"/>
      <c r="H669" s="8" t="n"/>
      <c r="I669" s="20" t="n"/>
      <c r="J669" s="21">
        <f>IF(B669="","",F669+G669)</f>
        <v/>
      </c>
      <c r="K669" s="21">
        <f>IF(B669="","",J669*(Settings!$C$11+Settings!$C$12+Settings!$C$14)+IF(C669="",Settings!$C$13,IF(COUNTIF($C$5:C669,C669)=1,Settings!$C$13,0))+E669*Settings!$C$15+IF(H669="Yes",J669*Settings!$C$16,0))</f>
        <v/>
      </c>
      <c r="L669" s="21">
        <f>IF(B669="","",IF(Settings!$C$5="Yes",0,K669*Settings!$C$17))</f>
        <v/>
      </c>
      <c r="M669" s="21">
        <f>IF(B669="","",E669*IFERROR(VLOOKUP(D669,Products!$B$5:$F$204,5,FALSE),0))</f>
        <v/>
      </c>
      <c r="N669" s="21">
        <f>IF(B669="","",J669-K669-L669-M669-I669)</f>
        <v/>
      </c>
    </row>
    <row r="670">
      <c r="B670" s="11" t="n"/>
      <c r="C670" s="8" t="n"/>
      <c r="D670" s="8" t="n"/>
      <c r="E670" s="8" t="n"/>
      <c r="F670" s="20" t="n"/>
      <c r="G670" s="20" t="n"/>
      <c r="H670" s="8" t="n"/>
      <c r="I670" s="20" t="n"/>
      <c r="J670" s="21">
        <f>IF(B670="","",F670+G670)</f>
        <v/>
      </c>
      <c r="K670" s="21">
        <f>IF(B670="","",J670*(Settings!$C$11+Settings!$C$12+Settings!$C$14)+IF(C670="",Settings!$C$13,IF(COUNTIF($C$5:C670,C670)=1,Settings!$C$13,0))+E670*Settings!$C$15+IF(H670="Yes",J670*Settings!$C$16,0))</f>
        <v/>
      </c>
      <c r="L670" s="21">
        <f>IF(B670="","",IF(Settings!$C$5="Yes",0,K670*Settings!$C$17))</f>
        <v/>
      </c>
      <c r="M670" s="21">
        <f>IF(B670="","",E670*IFERROR(VLOOKUP(D670,Products!$B$5:$F$204,5,FALSE),0))</f>
        <v/>
      </c>
      <c r="N670" s="21">
        <f>IF(B670="","",J670-K670-L670-M670-I670)</f>
        <v/>
      </c>
    </row>
    <row r="671">
      <c r="B671" s="11" t="n"/>
      <c r="C671" s="8" t="n"/>
      <c r="D671" s="8" t="n"/>
      <c r="E671" s="8" t="n"/>
      <c r="F671" s="20" t="n"/>
      <c r="G671" s="20" t="n"/>
      <c r="H671" s="8" t="n"/>
      <c r="I671" s="20" t="n"/>
      <c r="J671" s="21">
        <f>IF(B671="","",F671+G671)</f>
        <v/>
      </c>
      <c r="K671" s="21">
        <f>IF(B671="","",J671*(Settings!$C$11+Settings!$C$12+Settings!$C$14)+IF(C671="",Settings!$C$13,IF(COUNTIF($C$5:C671,C671)=1,Settings!$C$13,0))+E671*Settings!$C$15+IF(H671="Yes",J671*Settings!$C$16,0))</f>
        <v/>
      </c>
      <c r="L671" s="21">
        <f>IF(B671="","",IF(Settings!$C$5="Yes",0,K671*Settings!$C$17))</f>
        <v/>
      </c>
      <c r="M671" s="21">
        <f>IF(B671="","",E671*IFERROR(VLOOKUP(D671,Products!$B$5:$F$204,5,FALSE),0))</f>
        <v/>
      </c>
      <c r="N671" s="21">
        <f>IF(B671="","",J671-K671-L671-M671-I671)</f>
        <v/>
      </c>
    </row>
    <row r="672">
      <c r="B672" s="11" t="n"/>
      <c r="C672" s="8" t="n"/>
      <c r="D672" s="8" t="n"/>
      <c r="E672" s="8" t="n"/>
      <c r="F672" s="20" t="n"/>
      <c r="G672" s="20" t="n"/>
      <c r="H672" s="8" t="n"/>
      <c r="I672" s="20" t="n"/>
      <c r="J672" s="21">
        <f>IF(B672="","",F672+G672)</f>
        <v/>
      </c>
      <c r="K672" s="21">
        <f>IF(B672="","",J672*(Settings!$C$11+Settings!$C$12+Settings!$C$14)+IF(C672="",Settings!$C$13,IF(COUNTIF($C$5:C672,C672)=1,Settings!$C$13,0))+E672*Settings!$C$15+IF(H672="Yes",J672*Settings!$C$16,0))</f>
        <v/>
      </c>
      <c r="L672" s="21">
        <f>IF(B672="","",IF(Settings!$C$5="Yes",0,K672*Settings!$C$17))</f>
        <v/>
      </c>
      <c r="M672" s="21">
        <f>IF(B672="","",E672*IFERROR(VLOOKUP(D672,Products!$B$5:$F$204,5,FALSE),0))</f>
        <v/>
      </c>
      <c r="N672" s="21">
        <f>IF(B672="","",J672-K672-L672-M672-I672)</f>
        <v/>
      </c>
    </row>
    <row r="673">
      <c r="B673" s="11" t="n"/>
      <c r="C673" s="8" t="n"/>
      <c r="D673" s="8" t="n"/>
      <c r="E673" s="8" t="n"/>
      <c r="F673" s="20" t="n"/>
      <c r="G673" s="20" t="n"/>
      <c r="H673" s="8" t="n"/>
      <c r="I673" s="20" t="n"/>
      <c r="J673" s="21">
        <f>IF(B673="","",F673+G673)</f>
        <v/>
      </c>
      <c r="K673" s="21">
        <f>IF(B673="","",J673*(Settings!$C$11+Settings!$C$12+Settings!$C$14)+IF(C673="",Settings!$C$13,IF(COUNTIF($C$5:C673,C673)=1,Settings!$C$13,0))+E673*Settings!$C$15+IF(H673="Yes",J673*Settings!$C$16,0))</f>
        <v/>
      </c>
      <c r="L673" s="21">
        <f>IF(B673="","",IF(Settings!$C$5="Yes",0,K673*Settings!$C$17))</f>
        <v/>
      </c>
      <c r="M673" s="21">
        <f>IF(B673="","",E673*IFERROR(VLOOKUP(D673,Products!$B$5:$F$204,5,FALSE),0))</f>
        <v/>
      </c>
      <c r="N673" s="21">
        <f>IF(B673="","",J673-K673-L673-M673-I673)</f>
        <v/>
      </c>
    </row>
    <row r="674">
      <c r="B674" s="11" t="n"/>
      <c r="C674" s="8" t="n"/>
      <c r="D674" s="8" t="n"/>
      <c r="E674" s="8" t="n"/>
      <c r="F674" s="20" t="n"/>
      <c r="G674" s="20" t="n"/>
      <c r="H674" s="8" t="n"/>
      <c r="I674" s="20" t="n"/>
      <c r="J674" s="21">
        <f>IF(B674="","",F674+G674)</f>
        <v/>
      </c>
      <c r="K674" s="21">
        <f>IF(B674="","",J674*(Settings!$C$11+Settings!$C$12+Settings!$C$14)+IF(C674="",Settings!$C$13,IF(COUNTIF($C$5:C674,C674)=1,Settings!$C$13,0))+E674*Settings!$C$15+IF(H674="Yes",J674*Settings!$C$16,0))</f>
        <v/>
      </c>
      <c r="L674" s="21">
        <f>IF(B674="","",IF(Settings!$C$5="Yes",0,K674*Settings!$C$17))</f>
        <v/>
      </c>
      <c r="M674" s="21">
        <f>IF(B674="","",E674*IFERROR(VLOOKUP(D674,Products!$B$5:$F$204,5,FALSE),0))</f>
        <v/>
      </c>
      <c r="N674" s="21">
        <f>IF(B674="","",J674-K674-L674-M674-I674)</f>
        <v/>
      </c>
    </row>
    <row r="675">
      <c r="B675" s="11" t="n"/>
      <c r="C675" s="8" t="n"/>
      <c r="D675" s="8" t="n"/>
      <c r="E675" s="8" t="n"/>
      <c r="F675" s="20" t="n"/>
      <c r="G675" s="20" t="n"/>
      <c r="H675" s="8" t="n"/>
      <c r="I675" s="20" t="n"/>
      <c r="J675" s="21">
        <f>IF(B675="","",F675+G675)</f>
        <v/>
      </c>
      <c r="K675" s="21">
        <f>IF(B675="","",J675*(Settings!$C$11+Settings!$C$12+Settings!$C$14)+IF(C675="",Settings!$C$13,IF(COUNTIF($C$5:C675,C675)=1,Settings!$C$13,0))+E675*Settings!$C$15+IF(H675="Yes",J675*Settings!$C$16,0))</f>
        <v/>
      </c>
      <c r="L675" s="21">
        <f>IF(B675="","",IF(Settings!$C$5="Yes",0,K675*Settings!$C$17))</f>
        <v/>
      </c>
      <c r="M675" s="21">
        <f>IF(B675="","",E675*IFERROR(VLOOKUP(D675,Products!$B$5:$F$204,5,FALSE),0))</f>
        <v/>
      </c>
      <c r="N675" s="21">
        <f>IF(B675="","",J675-K675-L675-M675-I675)</f>
        <v/>
      </c>
    </row>
    <row r="676">
      <c r="B676" s="11" t="n"/>
      <c r="C676" s="8" t="n"/>
      <c r="D676" s="8" t="n"/>
      <c r="E676" s="8" t="n"/>
      <c r="F676" s="20" t="n"/>
      <c r="G676" s="20" t="n"/>
      <c r="H676" s="8" t="n"/>
      <c r="I676" s="20" t="n"/>
      <c r="J676" s="21">
        <f>IF(B676="","",F676+G676)</f>
        <v/>
      </c>
      <c r="K676" s="21">
        <f>IF(B676="","",J676*(Settings!$C$11+Settings!$C$12+Settings!$C$14)+IF(C676="",Settings!$C$13,IF(COUNTIF($C$5:C676,C676)=1,Settings!$C$13,0))+E676*Settings!$C$15+IF(H676="Yes",J676*Settings!$C$16,0))</f>
        <v/>
      </c>
      <c r="L676" s="21">
        <f>IF(B676="","",IF(Settings!$C$5="Yes",0,K676*Settings!$C$17))</f>
        <v/>
      </c>
      <c r="M676" s="21">
        <f>IF(B676="","",E676*IFERROR(VLOOKUP(D676,Products!$B$5:$F$204,5,FALSE),0))</f>
        <v/>
      </c>
      <c r="N676" s="21">
        <f>IF(B676="","",J676-K676-L676-M676-I676)</f>
        <v/>
      </c>
    </row>
    <row r="677">
      <c r="B677" s="11" t="n"/>
      <c r="C677" s="8" t="n"/>
      <c r="D677" s="8" t="n"/>
      <c r="E677" s="8" t="n"/>
      <c r="F677" s="20" t="n"/>
      <c r="G677" s="20" t="n"/>
      <c r="H677" s="8" t="n"/>
      <c r="I677" s="20" t="n"/>
      <c r="J677" s="21">
        <f>IF(B677="","",F677+G677)</f>
        <v/>
      </c>
      <c r="K677" s="21">
        <f>IF(B677="","",J677*(Settings!$C$11+Settings!$C$12+Settings!$C$14)+IF(C677="",Settings!$C$13,IF(COUNTIF($C$5:C677,C677)=1,Settings!$C$13,0))+E677*Settings!$C$15+IF(H677="Yes",J677*Settings!$C$16,0))</f>
        <v/>
      </c>
      <c r="L677" s="21">
        <f>IF(B677="","",IF(Settings!$C$5="Yes",0,K677*Settings!$C$17))</f>
        <v/>
      </c>
      <c r="M677" s="21">
        <f>IF(B677="","",E677*IFERROR(VLOOKUP(D677,Products!$B$5:$F$204,5,FALSE),0))</f>
        <v/>
      </c>
      <c r="N677" s="21">
        <f>IF(B677="","",J677-K677-L677-M677-I677)</f>
        <v/>
      </c>
    </row>
    <row r="678">
      <c r="B678" s="11" t="n"/>
      <c r="C678" s="8" t="n"/>
      <c r="D678" s="8" t="n"/>
      <c r="E678" s="8" t="n"/>
      <c r="F678" s="20" t="n"/>
      <c r="G678" s="20" t="n"/>
      <c r="H678" s="8" t="n"/>
      <c r="I678" s="20" t="n"/>
      <c r="J678" s="21">
        <f>IF(B678="","",F678+G678)</f>
        <v/>
      </c>
      <c r="K678" s="21">
        <f>IF(B678="","",J678*(Settings!$C$11+Settings!$C$12+Settings!$C$14)+IF(C678="",Settings!$C$13,IF(COUNTIF($C$5:C678,C678)=1,Settings!$C$13,0))+E678*Settings!$C$15+IF(H678="Yes",J678*Settings!$C$16,0))</f>
        <v/>
      </c>
      <c r="L678" s="21">
        <f>IF(B678="","",IF(Settings!$C$5="Yes",0,K678*Settings!$C$17))</f>
        <v/>
      </c>
      <c r="M678" s="21">
        <f>IF(B678="","",E678*IFERROR(VLOOKUP(D678,Products!$B$5:$F$204,5,FALSE),0))</f>
        <v/>
      </c>
      <c r="N678" s="21">
        <f>IF(B678="","",J678-K678-L678-M678-I678)</f>
        <v/>
      </c>
    </row>
    <row r="679">
      <c r="B679" s="11" t="n"/>
      <c r="C679" s="8" t="n"/>
      <c r="D679" s="8" t="n"/>
      <c r="E679" s="8" t="n"/>
      <c r="F679" s="20" t="n"/>
      <c r="G679" s="20" t="n"/>
      <c r="H679" s="8" t="n"/>
      <c r="I679" s="20" t="n"/>
      <c r="J679" s="21">
        <f>IF(B679="","",F679+G679)</f>
        <v/>
      </c>
      <c r="K679" s="21">
        <f>IF(B679="","",J679*(Settings!$C$11+Settings!$C$12+Settings!$C$14)+IF(C679="",Settings!$C$13,IF(COUNTIF($C$5:C679,C679)=1,Settings!$C$13,0))+E679*Settings!$C$15+IF(H679="Yes",J679*Settings!$C$16,0))</f>
        <v/>
      </c>
      <c r="L679" s="21">
        <f>IF(B679="","",IF(Settings!$C$5="Yes",0,K679*Settings!$C$17))</f>
        <v/>
      </c>
      <c r="M679" s="21">
        <f>IF(B679="","",E679*IFERROR(VLOOKUP(D679,Products!$B$5:$F$204,5,FALSE),0))</f>
        <v/>
      </c>
      <c r="N679" s="21">
        <f>IF(B679="","",J679-K679-L679-M679-I679)</f>
        <v/>
      </c>
    </row>
    <row r="680">
      <c r="B680" s="11" t="n"/>
      <c r="C680" s="8" t="n"/>
      <c r="D680" s="8" t="n"/>
      <c r="E680" s="8" t="n"/>
      <c r="F680" s="20" t="n"/>
      <c r="G680" s="20" t="n"/>
      <c r="H680" s="8" t="n"/>
      <c r="I680" s="20" t="n"/>
      <c r="J680" s="21">
        <f>IF(B680="","",F680+G680)</f>
        <v/>
      </c>
      <c r="K680" s="21">
        <f>IF(B680="","",J680*(Settings!$C$11+Settings!$C$12+Settings!$C$14)+IF(C680="",Settings!$C$13,IF(COUNTIF($C$5:C680,C680)=1,Settings!$C$13,0))+E680*Settings!$C$15+IF(H680="Yes",J680*Settings!$C$16,0))</f>
        <v/>
      </c>
      <c r="L680" s="21">
        <f>IF(B680="","",IF(Settings!$C$5="Yes",0,K680*Settings!$C$17))</f>
        <v/>
      </c>
      <c r="M680" s="21">
        <f>IF(B680="","",E680*IFERROR(VLOOKUP(D680,Products!$B$5:$F$204,5,FALSE),0))</f>
        <v/>
      </c>
      <c r="N680" s="21">
        <f>IF(B680="","",J680-K680-L680-M680-I680)</f>
        <v/>
      </c>
    </row>
    <row r="681">
      <c r="B681" s="11" t="n"/>
      <c r="C681" s="8" t="n"/>
      <c r="D681" s="8" t="n"/>
      <c r="E681" s="8" t="n"/>
      <c r="F681" s="20" t="n"/>
      <c r="G681" s="20" t="n"/>
      <c r="H681" s="8" t="n"/>
      <c r="I681" s="20" t="n"/>
      <c r="J681" s="21">
        <f>IF(B681="","",F681+G681)</f>
        <v/>
      </c>
      <c r="K681" s="21">
        <f>IF(B681="","",J681*(Settings!$C$11+Settings!$C$12+Settings!$C$14)+IF(C681="",Settings!$C$13,IF(COUNTIF($C$5:C681,C681)=1,Settings!$C$13,0))+E681*Settings!$C$15+IF(H681="Yes",J681*Settings!$C$16,0))</f>
        <v/>
      </c>
      <c r="L681" s="21">
        <f>IF(B681="","",IF(Settings!$C$5="Yes",0,K681*Settings!$C$17))</f>
        <v/>
      </c>
      <c r="M681" s="21">
        <f>IF(B681="","",E681*IFERROR(VLOOKUP(D681,Products!$B$5:$F$204,5,FALSE),0))</f>
        <v/>
      </c>
      <c r="N681" s="21">
        <f>IF(B681="","",J681-K681-L681-M681-I681)</f>
        <v/>
      </c>
    </row>
    <row r="682">
      <c r="B682" s="11" t="n"/>
      <c r="C682" s="8" t="n"/>
      <c r="D682" s="8" t="n"/>
      <c r="E682" s="8" t="n"/>
      <c r="F682" s="20" t="n"/>
      <c r="G682" s="20" t="n"/>
      <c r="H682" s="8" t="n"/>
      <c r="I682" s="20" t="n"/>
      <c r="J682" s="21">
        <f>IF(B682="","",F682+G682)</f>
        <v/>
      </c>
      <c r="K682" s="21">
        <f>IF(B682="","",J682*(Settings!$C$11+Settings!$C$12+Settings!$C$14)+IF(C682="",Settings!$C$13,IF(COUNTIF($C$5:C682,C682)=1,Settings!$C$13,0))+E682*Settings!$C$15+IF(H682="Yes",J682*Settings!$C$16,0))</f>
        <v/>
      </c>
      <c r="L682" s="21">
        <f>IF(B682="","",IF(Settings!$C$5="Yes",0,K682*Settings!$C$17))</f>
        <v/>
      </c>
      <c r="M682" s="21">
        <f>IF(B682="","",E682*IFERROR(VLOOKUP(D682,Products!$B$5:$F$204,5,FALSE),0))</f>
        <v/>
      </c>
      <c r="N682" s="21">
        <f>IF(B682="","",J682-K682-L682-M682-I682)</f>
        <v/>
      </c>
    </row>
    <row r="683">
      <c r="B683" s="11" t="n"/>
      <c r="C683" s="8" t="n"/>
      <c r="D683" s="8" t="n"/>
      <c r="E683" s="8" t="n"/>
      <c r="F683" s="20" t="n"/>
      <c r="G683" s="20" t="n"/>
      <c r="H683" s="8" t="n"/>
      <c r="I683" s="20" t="n"/>
      <c r="J683" s="21">
        <f>IF(B683="","",F683+G683)</f>
        <v/>
      </c>
      <c r="K683" s="21">
        <f>IF(B683="","",J683*(Settings!$C$11+Settings!$C$12+Settings!$C$14)+IF(C683="",Settings!$C$13,IF(COUNTIF($C$5:C683,C683)=1,Settings!$C$13,0))+E683*Settings!$C$15+IF(H683="Yes",J683*Settings!$C$16,0))</f>
        <v/>
      </c>
      <c r="L683" s="21">
        <f>IF(B683="","",IF(Settings!$C$5="Yes",0,K683*Settings!$C$17))</f>
        <v/>
      </c>
      <c r="M683" s="21">
        <f>IF(B683="","",E683*IFERROR(VLOOKUP(D683,Products!$B$5:$F$204,5,FALSE),0))</f>
        <v/>
      </c>
      <c r="N683" s="21">
        <f>IF(B683="","",J683-K683-L683-M683-I683)</f>
        <v/>
      </c>
    </row>
    <row r="684">
      <c r="B684" s="11" t="n"/>
      <c r="C684" s="8" t="n"/>
      <c r="D684" s="8" t="n"/>
      <c r="E684" s="8" t="n"/>
      <c r="F684" s="20" t="n"/>
      <c r="G684" s="20" t="n"/>
      <c r="H684" s="8" t="n"/>
      <c r="I684" s="20" t="n"/>
      <c r="J684" s="21">
        <f>IF(B684="","",F684+G684)</f>
        <v/>
      </c>
      <c r="K684" s="21">
        <f>IF(B684="","",J684*(Settings!$C$11+Settings!$C$12+Settings!$C$14)+IF(C684="",Settings!$C$13,IF(COUNTIF($C$5:C684,C684)=1,Settings!$C$13,0))+E684*Settings!$C$15+IF(H684="Yes",J684*Settings!$C$16,0))</f>
        <v/>
      </c>
      <c r="L684" s="21">
        <f>IF(B684="","",IF(Settings!$C$5="Yes",0,K684*Settings!$C$17))</f>
        <v/>
      </c>
      <c r="M684" s="21">
        <f>IF(B684="","",E684*IFERROR(VLOOKUP(D684,Products!$B$5:$F$204,5,FALSE),0))</f>
        <v/>
      </c>
      <c r="N684" s="21">
        <f>IF(B684="","",J684-K684-L684-M684-I684)</f>
        <v/>
      </c>
    </row>
    <row r="685">
      <c r="B685" s="11" t="n"/>
      <c r="C685" s="8" t="n"/>
      <c r="D685" s="8" t="n"/>
      <c r="E685" s="8" t="n"/>
      <c r="F685" s="20" t="n"/>
      <c r="G685" s="20" t="n"/>
      <c r="H685" s="8" t="n"/>
      <c r="I685" s="20" t="n"/>
      <c r="J685" s="21">
        <f>IF(B685="","",F685+G685)</f>
        <v/>
      </c>
      <c r="K685" s="21">
        <f>IF(B685="","",J685*(Settings!$C$11+Settings!$C$12+Settings!$C$14)+IF(C685="",Settings!$C$13,IF(COUNTIF($C$5:C685,C685)=1,Settings!$C$13,0))+E685*Settings!$C$15+IF(H685="Yes",J685*Settings!$C$16,0))</f>
        <v/>
      </c>
      <c r="L685" s="21">
        <f>IF(B685="","",IF(Settings!$C$5="Yes",0,K685*Settings!$C$17))</f>
        <v/>
      </c>
      <c r="M685" s="21">
        <f>IF(B685="","",E685*IFERROR(VLOOKUP(D685,Products!$B$5:$F$204,5,FALSE),0))</f>
        <v/>
      </c>
      <c r="N685" s="21">
        <f>IF(B685="","",J685-K685-L685-M685-I685)</f>
        <v/>
      </c>
    </row>
    <row r="686">
      <c r="B686" s="11" t="n"/>
      <c r="C686" s="8" t="n"/>
      <c r="D686" s="8" t="n"/>
      <c r="E686" s="8" t="n"/>
      <c r="F686" s="20" t="n"/>
      <c r="G686" s="20" t="n"/>
      <c r="H686" s="8" t="n"/>
      <c r="I686" s="20" t="n"/>
      <c r="J686" s="21">
        <f>IF(B686="","",F686+G686)</f>
        <v/>
      </c>
      <c r="K686" s="21">
        <f>IF(B686="","",J686*(Settings!$C$11+Settings!$C$12+Settings!$C$14)+IF(C686="",Settings!$C$13,IF(COUNTIF($C$5:C686,C686)=1,Settings!$C$13,0))+E686*Settings!$C$15+IF(H686="Yes",J686*Settings!$C$16,0))</f>
        <v/>
      </c>
      <c r="L686" s="21">
        <f>IF(B686="","",IF(Settings!$C$5="Yes",0,K686*Settings!$C$17))</f>
        <v/>
      </c>
      <c r="M686" s="21">
        <f>IF(B686="","",E686*IFERROR(VLOOKUP(D686,Products!$B$5:$F$204,5,FALSE),0))</f>
        <v/>
      </c>
      <c r="N686" s="21">
        <f>IF(B686="","",J686-K686-L686-M686-I686)</f>
        <v/>
      </c>
    </row>
    <row r="687">
      <c r="B687" s="11" t="n"/>
      <c r="C687" s="8" t="n"/>
      <c r="D687" s="8" t="n"/>
      <c r="E687" s="8" t="n"/>
      <c r="F687" s="20" t="n"/>
      <c r="G687" s="20" t="n"/>
      <c r="H687" s="8" t="n"/>
      <c r="I687" s="20" t="n"/>
      <c r="J687" s="21">
        <f>IF(B687="","",F687+G687)</f>
        <v/>
      </c>
      <c r="K687" s="21">
        <f>IF(B687="","",J687*(Settings!$C$11+Settings!$C$12+Settings!$C$14)+IF(C687="",Settings!$C$13,IF(COUNTIF($C$5:C687,C687)=1,Settings!$C$13,0))+E687*Settings!$C$15+IF(H687="Yes",J687*Settings!$C$16,0))</f>
        <v/>
      </c>
      <c r="L687" s="21">
        <f>IF(B687="","",IF(Settings!$C$5="Yes",0,K687*Settings!$C$17))</f>
        <v/>
      </c>
      <c r="M687" s="21">
        <f>IF(B687="","",E687*IFERROR(VLOOKUP(D687,Products!$B$5:$F$204,5,FALSE),0))</f>
        <v/>
      </c>
      <c r="N687" s="21">
        <f>IF(B687="","",J687-K687-L687-M687-I687)</f>
        <v/>
      </c>
    </row>
    <row r="688">
      <c r="B688" s="11" t="n"/>
      <c r="C688" s="8" t="n"/>
      <c r="D688" s="8" t="n"/>
      <c r="E688" s="8" t="n"/>
      <c r="F688" s="20" t="n"/>
      <c r="G688" s="20" t="n"/>
      <c r="H688" s="8" t="n"/>
      <c r="I688" s="20" t="n"/>
      <c r="J688" s="21">
        <f>IF(B688="","",F688+G688)</f>
        <v/>
      </c>
      <c r="K688" s="21">
        <f>IF(B688="","",J688*(Settings!$C$11+Settings!$C$12+Settings!$C$14)+IF(C688="",Settings!$C$13,IF(COUNTIF($C$5:C688,C688)=1,Settings!$C$13,0))+E688*Settings!$C$15+IF(H688="Yes",J688*Settings!$C$16,0))</f>
        <v/>
      </c>
      <c r="L688" s="21">
        <f>IF(B688="","",IF(Settings!$C$5="Yes",0,K688*Settings!$C$17))</f>
        <v/>
      </c>
      <c r="M688" s="21">
        <f>IF(B688="","",E688*IFERROR(VLOOKUP(D688,Products!$B$5:$F$204,5,FALSE),0))</f>
        <v/>
      </c>
      <c r="N688" s="21">
        <f>IF(B688="","",J688-K688-L688-M688-I688)</f>
        <v/>
      </c>
    </row>
    <row r="689">
      <c r="B689" s="11" t="n"/>
      <c r="C689" s="8" t="n"/>
      <c r="D689" s="8" t="n"/>
      <c r="E689" s="8" t="n"/>
      <c r="F689" s="20" t="n"/>
      <c r="G689" s="20" t="n"/>
      <c r="H689" s="8" t="n"/>
      <c r="I689" s="20" t="n"/>
      <c r="J689" s="21">
        <f>IF(B689="","",F689+G689)</f>
        <v/>
      </c>
      <c r="K689" s="21">
        <f>IF(B689="","",J689*(Settings!$C$11+Settings!$C$12+Settings!$C$14)+IF(C689="",Settings!$C$13,IF(COUNTIF($C$5:C689,C689)=1,Settings!$C$13,0))+E689*Settings!$C$15+IF(H689="Yes",J689*Settings!$C$16,0))</f>
        <v/>
      </c>
      <c r="L689" s="21">
        <f>IF(B689="","",IF(Settings!$C$5="Yes",0,K689*Settings!$C$17))</f>
        <v/>
      </c>
      <c r="M689" s="21">
        <f>IF(B689="","",E689*IFERROR(VLOOKUP(D689,Products!$B$5:$F$204,5,FALSE),0))</f>
        <v/>
      </c>
      <c r="N689" s="21">
        <f>IF(B689="","",J689-K689-L689-M689-I689)</f>
        <v/>
      </c>
    </row>
    <row r="690">
      <c r="B690" s="11" t="n"/>
      <c r="C690" s="8" t="n"/>
      <c r="D690" s="8" t="n"/>
      <c r="E690" s="8" t="n"/>
      <c r="F690" s="20" t="n"/>
      <c r="G690" s="20" t="n"/>
      <c r="H690" s="8" t="n"/>
      <c r="I690" s="20" t="n"/>
      <c r="J690" s="21">
        <f>IF(B690="","",F690+G690)</f>
        <v/>
      </c>
      <c r="K690" s="21">
        <f>IF(B690="","",J690*(Settings!$C$11+Settings!$C$12+Settings!$C$14)+IF(C690="",Settings!$C$13,IF(COUNTIF($C$5:C690,C690)=1,Settings!$C$13,0))+E690*Settings!$C$15+IF(H690="Yes",J690*Settings!$C$16,0))</f>
        <v/>
      </c>
      <c r="L690" s="21">
        <f>IF(B690="","",IF(Settings!$C$5="Yes",0,K690*Settings!$C$17))</f>
        <v/>
      </c>
      <c r="M690" s="21">
        <f>IF(B690="","",E690*IFERROR(VLOOKUP(D690,Products!$B$5:$F$204,5,FALSE),0))</f>
        <v/>
      </c>
      <c r="N690" s="21">
        <f>IF(B690="","",J690-K690-L690-M690-I690)</f>
        <v/>
      </c>
    </row>
    <row r="691">
      <c r="B691" s="11" t="n"/>
      <c r="C691" s="8" t="n"/>
      <c r="D691" s="8" t="n"/>
      <c r="E691" s="8" t="n"/>
      <c r="F691" s="20" t="n"/>
      <c r="G691" s="20" t="n"/>
      <c r="H691" s="8" t="n"/>
      <c r="I691" s="20" t="n"/>
      <c r="J691" s="21">
        <f>IF(B691="","",F691+G691)</f>
        <v/>
      </c>
      <c r="K691" s="21">
        <f>IF(B691="","",J691*(Settings!$C$11+Settings!$C$12+Settings!$C$14)+IF(C691="",Settings!$C$13,IF(COUNTIF($C$5:C691,C691)=1,Settings!$C$13,0))+E691*Settings!$C$15+IF(H691="Yes",J691*Settings!$C$16,0))</f>
        <v/>
      </c>
      <c r="L691" s="21">
        <f>IF(B691="","",IF(Settings!$C$5="Yes",0,K691*Settings!$C$17))</f>
        <v/>
      </c>
      <c r="M691" s="21">
        <f>IF(B691="","",E691*IFERROR(VLOOKUP(D691,Products!$B$5:$F$204,5,FALSE),0))</f>
        <v/>
      </c>
      <c r="N691" s="21">
        <f>IF(B691="","",J691-K691-L691-M691-I691)</f>
        <v/>
      </c>
    </row>
    <row r="692">
      <c r="B692" s="11" t="n"/>
      <c r="C692" s="8" t="n"/>
      <c r="D692" s="8" t="n"/>
      <c r="E692" s="8" t="n"/>
      <c r="F692" s="20" t="n"/>
      <c r="G692" s="20" t="n"/>
      <c r="H692" s="8" t="n"/>
      <c r="I692" s="20" t="n"/>
      <c r="J692" s="21">
        <f>IF(B692="","",F692+G692)</f>
        <v/>
      </c>
      <c r="K692" s="21">
        <f>IF(B692="","",J692*(Settings!$C$11+Settings!$C$12+Settings!$C$14)+IF(C692="",Settings!$C$13,IF(COUNTIF($C$5:C692,C692)=1,Settings!$C$13,0))+E692*Settings!$C$15+IF(H692="Yes",J692*Settings!$C$16,0))</f>
        <v/>
      </c>
      <c r="L692" s="21">
        <f>IF(B692="","",IF(Settings!$C$5="Yes",0,K692*Settings!$C$17))</f>
        <v/>
      </c>
      <c r="M692" s="21">
        <f>IF(B692="","",E692*IFERROR(VLOOKUP(D692,Products!$B$5:$F$204,5,FALSE),0))</f>
        <v/>
      </c>
      <c r="N692" s="21">
        <f>IF(B692="","",J692-K692-L692-M692-I692)</f>
        <v/>
      </c>
    </row>
    <row r="693">
      <c r="B693" s="11" t="n"/>
      <c r="C693" s="8" t="n"/>
      <c r="D693" s="8" t="n"/>
      <c r="E693" s="8" t="n"/>
      <c r="F693" s="20" t="n"/>
      <c r="G693" s="20" t="n"/>
      <c r="H693" s="8" t="n"/>
      <c r="I693" s="20" t="n"/>
      <c r="J693" s="21">
        <f>IF(B693="","",F693+G693)</f>
        <v/>
      </c>
      <c r="K693" s="21">
        <f>IF(B693="","",J693*(Settings!$C$11+Settings!$C$12+Settings!$C$14)+IF(C693="",Settings!$C$13,IF(COUNTIF($C$5:C693,C693)=1,Settings!$C$13,0))+E693*Settings!$C$15+IF(H693="Yes",J693*Settings!$C$16,0))</f>
        <v/>
      </c>
      <c r="L693" s="21">
        <f>IF(B693="","",IF(Settings!$C$5="Yes",0,K693*Settings!$C$17))</f>
        <v/>
      </c>
      <c r="M693" s="21">
        <f>IF(B693="","",E693*IFERROR(VLOOKUP(D693,Products!$B$5:$F$204,5,FALSE),0))</f>
        <v/>
      </c>
      <c r="N693" s="21">
        <f>IF(B693="","",J693-K693-L693-M693-I693)</f>
        <v/>
      </c>
    </row>
    <row r="694">
      <c r="B694" s="11" t="n"/>
      <c r="C694" s="8" t="n"/>
      <c r="D694" s="8" t="n"/>
      <c r="E694" s="8" t="n"/>
      <c r="F694" s="20" t="n"/>
      <c r="G694" s="20" t="n"/>
      <c r="H694" s="8" t="n"/>
      <c r="I694" s="20" t="n"/>
      <c r="J694" s="21">
        <f>IF(B694="","",F694+G694)</f>
        <v/>
      </c>
      <c r="K694" s="21">
        <f>IF(B694="","",J694*(Settings!$C$11+Settings!$C$12+Settings!$C$14)+IF(C694="",Settings!$C$13,IF(COUNTIF($C$5:C694,C694)=1,Settings!$C$13,0))+E694*Settings!$C$15+IF(H694="Yes",J694*Settings!$C$16,0))</f>
        <v/>
      </c>
      <c r="L694" s="21">
        <f>IF(B694="","",IF(Settings!$C$5="Yes",0,K694*Settings!$C$17))</f>
        <v/>
      </c>
      <c r="M694" s="21">
        <f>IF(B694="","",E694*IFERROR(VLOOKUP(D694,Products!$B$5:$F$204,5,FALSE),0))</f>
        <v/>
      </c>
      <c r="N694" s="21">
        <f>IF(B694="","",J694-K694-L694-M694-I694)</f>
        <v/>
      </c>
    </row>
    <row r="695">
      <c r="B695" s="11" t="n"/>
      <c r="C695" s="8" t="n"/>
      <c r="D695" s="8" t="n"/>
      <c r="E695" s="8" t="n"/>
      <c r="F695" s="20" t="n"/>
      <c r="G695" s="20" t="n"/>
      <c r="H695" s="8" t="n"/>
      <c r="I695" s="20" t="n"/>
      <c r="J695" s="21">
        <f>IF(B695="","",F695+G695)</f>
        <v/>
      </c>
      <c r="K695" s="21">
        <f>IF(B695="","",J695*(Settings!$C$11+Settings!$C$12+Settings!$C$14)+IF(C695="",Settings!$C$13,IF(COUNTIF($C$5:C695,C695)=1,Settings!$C$13,0))+E695*Settings!$C$15+IF(H695="Yes",J695*Settings!$C$16,0))</f>
        <v/>
      </c>
      <c r="L695" s="21">
        <f>IF(B695="","",IF(Settings!$C$5="Yes",0,K695*Settings!$C$17))</f>
        <v/>
      </c>
      <c r="M695" s="21">
        <f>IF(B695="","",E695*IFERROR(VLOOKUP(D695,Products!$B$5:$F$204,5,FALSE),0))</f>
        <v/>
      </c>
      <c r="N695" s="21">
        <f>IF(B695="","",J695-K695-L695-M695-I695)</f>
        <v/>
      </c>
    </row>
    <row r="696">
      <c r="B696" s="11" t="n"/>
      <c r="C696" s="8" t="n"/>
      <c r="D696" s="8" t="n"/>
      <c r="E696" s="8" t="n"/>
      <c r="F696" s="20" t="n"/>
      <c r="G696" s="20" t="n"/>
      <c r="H696" s="8" t="n"/>
      <c r="I696" s="20" t="n"/>
      <c r="J696" s="21">
        <f>IF(B696="","",F696+G696)</f>
        <v/>
      </c>
      <c r="K696" s="21">
        <f>IF(B696="","",J696*(Settings!$C$11+Settings!$C$12+Settings!$C$14)+IF(C696="",Settings!$C$13,IF(COUNTIF($C$5:C696,C696)=1,Settings!$C$13,0))+E696*Settings!$C$15+IF(H696="Yes",J696*Settings!$C$16,0))</f>
        <v/>
      </c>
      <c r="L696" s="21">
        <f>IF(B696="","",IF(Settings!$C$5="Yes",0,K696*Settings!$C$17))</f>
        <v/>
      </c>
      <c r="M696" s="21">
        <f>IF(B696="","",E696*IFERROR(VLOOKUP(D696,Products!$B$5:$F$204,5,FALSE),0))</f>
        <v/>
      </c>
      <c r="N696" s="21">
        <f>IF(B696="","",J696-K696-L696-M696-I696)</f>
        <v/>
      </c>
    </row>
    <row r="697">
      <c r="B697" s="11" t="n"/>
      <c r="C697" s="8" t="n"/>
      <c r="D697" s="8" t="n"/>
      <c r="E697" s="8" t="n"/>
      <c r="F697" s="20" t="n"/>
      <c r="G697" s="20" t="n"/>
      <c r="H697" s="8" t="n"/>
      <c r="I697" s="20" t="n"/>
      <c r="J697" s="21">
        <f>IF(B697="","",F697+G697)</f>
        <v/>
      </c>
      <c r="K697" s="21">
        <f>IF(B697="","",J697*(Settings!$C$11+Settings!$C$12+Settings!$C$14)+IF(C697="",Settings!$C$13,IF(COUNTIF($C$5:C697,C697)=1,Settings!$C$13,0))+E697*Settings!$C$15+IF(H697="Yes",J697*Settings!$C$16,0))</f>
        <v/>
      </c>
      <c r="L697" s="21">
        <f>IF(B697="","",IF(Settings!$C$5="Yes",0,K697*Settings!$C$17))</f>
        <v/>
      </c>
      <c r="M697" s="21">
        <f>IF(B697="","",E697*IFERROR(VLOOKUP(D697,Products!$B$5:$F$204,5,FALSE),0))</f>
        <v/>
      </c>
      <c r="N697" s="21">
        <f>IF(B697="","",J697-K697-L697-M697-I697)</f>
        <v/>
      </c>
    </row>
    <row r="698">
      <c r="B698" s="11" t="n"/>
      <c r="C698" s="8" t="n"/>
      <c r="D698" s="8" t="n"/>
      <c r="E698" s="8" t="n"/>
      <c r="F698" s="20" t="n"/>
      <c r="G698" s="20" t="n"/>
      <c r="H698" s="8" t="n"/>
      <c r="I698" s="20" t="n"/>
      <c r="J698" s="21">
        <f>IF(B698="","",F698+G698)</f>
        <v/>
      </c>
      <c r="K698" s="21">
        <f>IF(B698="","",J698*(Settings!$C$11+Settings!$C$12+Settings!$C$14)+IF(C698="",Settings!$C$13,IF(COUNTIF($C$5:C698,C698)=1,Settings!$C$13,0))+E698*Settings!$C$15+IF(H698="Yes",J698*Settings!$C$16,0))</f>
        <v/>
      </c>
      <c r="L698" s="21">
        <f>IF(B698="","",IF(Settings!$C$5="Yes",0,K698*Settings!$C$17))</f>
        <v/>
      </c>
      <c r="M698" s="21">
        <f>IF(B698="","",E698*IFERROR(VLOOKUP(D698,Products!$B$5:$F$204,5,FALSE),0))</f>
        <v/>
      </c>
      <c r="N698" s="21">
        <f>IF(B698="","",J698-K698-L698-M698-I698)</f>
        <v/>
      </c>
    </row>
    <row r="699">
      <c r="B699" s="11" t="n"/>
      <c r="C699" s="8" t="n"/>
      <c r="D699" s="8" t="n"/>
      <c r="E699" s="8" t="n"/>
      <c r="F699" s="20" t="n"/>
      <c r="G699" s="20" t="n"/>
      <c r="H699" s="8" t="n"/>
      <c r="I699" s="20" t="n"/>
      <c r="J699" s="21">
        <f>IF(B699="","",F699+G699)</f>
        <v/>
      </c>
      <c r="K699" s="21">
        <f>IF(B699="","",J699*(Settings!$C$11+Settings!$C$12+Settings!$C$14)+IF(C699="",Settings!$C$13,IF(COUNTIF($C$5:C699,C699)=1,Settings!$C$13,0))+E699*Settings!$C$15+IF(H699="Yes",J699*Settings!$C$16,0))</f>
        <v/>
      </c>
      <c r="L699" s="21">
        <f>IF(B699="","",IF(Settings!$C$5="Yes",0,K699*Settings!$C$17))</f>
        <v/>
      </c>
      <c r="M699" s="21">
        <f>IF(B699="","",E699*IFERROR(VLOOKUP(D699,Products!$B$5:$F$204,5,FALSE),0))</f>
        <v/>
      </c>
      <c r="N699" s="21">
        <f>IF(B699="","",J699-K699-L699-M699-I699)</f>
        <v/>
      </c>
    </row>
    <row r="700">
      <c r="B700" s="11" t="n"/>
      <c r="C700" s="8" t="n"/>
      <c r="D700" s="8" t="n"/>
      <c r="E700" s="8" t="n"/>
      <c r="F700" s="20" t="n"/>
      <c r="G700" s="20" t="n"/>
      <c r="H700" s="8" t="n"/>
      <c r="I700" s="20" t="n"/>
      <c r="J700" s="21">
        <f>IF(B700="","",F700+G700)</f>
        <v/>
      </c>
      <c r="K700" s="21">
        <f>IF(B700="","",J700*(Settings!$C$11+Settings!$C$12+Settings!$C$14)+IF(C700="",Settings!$C$13,IF(COUNTIF($C$5:C700,C700)=1,Settings!$C$13,0))+E700*Settings!$C$15+IF(H700="Yes",J700*Settings!$C$16,0))</f>
        <v/>
      </c>
      <c r="L700" s="21">
        <f>IF(B700="","",IF(Settings!$C$5="Yes",0,K700*Settings!$C$17))</f>
        <v/>
      </c>
      <c r="M700" s="21">
        <f>IF(B700="","",E700*IFERROR(VLOOKUP(D700,Products!$B$5:$F$204,5,FALSE),0))</f>
        <v/>
      </c>
      <c r="N700" s="21">
        <f>IF(B700="","",J700-K700-L700-M700-I700)</f>
        <v/>
      </c>
    </row>
    <row r="701">
      <c r="B701" s="11" t="n"/>
      <c r="C701" s="8" t="n"/>
      <c r="D701" s="8" t="n"/>
      <c r="E701" s="8" t="n"/>
      <c r="F701" s="20" t="n"/>
      <c r="G701" s="20" t="n"/>
      <c r="H701" s="8" t="n"/>
      <c r="I701" s="20" t="n"/>
      <c r="J701" s="21">
        <f>IF(B701="","",F701+G701)</f>
        <v/>
      </c>
      <c r="K701" s="21">
        <f>IF(B701="","",J701*(Settings!$C$11+Settings!$C$12+Settings!$C$14)+IF(C701="",Settings!$C$13,IF(COUNTIF($C$5:C701,C701)=1,Settings!$C$13,0))+E701*Settings!$C$15+IF(H701="Yes",J701*Settings!$C$16,0))</f>
        <v/>
      </c>
      <c r="L701" s="21">
        <f>IF(B701="","",IF(Settings!$C$5="Yes",0,K701*Settings!$C$17))</f>
        <v/>
      </c>
      <c r="M701" s="21">
        <f>IF(B701="","",E701*IFERROR(VLOOKUP(D701,Products!$B$5:$F$204,5,FALSE),0))</f>
        <v/>
      </c>
      <c r="N701" s="21">
        <f>IF(B701="","",J701-K701-L701-M701-I701)</f>
        <v/>
      </c>
    </row>
    <row r="702">
      <c r="B702" s="11" t="n"/>
      <c r="C702" s="8" t="n"/>
      <c r="D702" s="8" t="n"/>
      <c r="E702" s="8" t="n"/>
      <c r="F702" s="20" t="n"/>
      <c r="G702" s="20" t="n"/>
      <c r="H702" s="8" t="n"/>
      <c r="I702" s="20" t="n"/>
      <c r="J702" s="21">
        <f>IF(B702="","",F702+G702)</f>
        <v/>
      </c>
      <c r="K702" s="21">
        <f>IF(B702="","",J702*(Settings!$C$11+Settings!$C$12+Settings!$C$14)+IF(C702="",Settings!$C$13,IF(COUNTIF($C$5:C702,C702)=1,Settings!$C$13,0))+E702*Settings!$C$15+IF(H702="Yes",J702*Settings!$C$16,0))</f>
        <v/>
      </c>
      <c r="L702" s="21">
        <f>IF(B702="","",IF(Settings!$C$5="Yes",0,K702*Settings!$C$17))</f>
        <v/>
      </c>
      <c r="M702" s="21">
        <f>IF(B702="","",E702*IFERROR(VLOOKUP(D702,Products!$B$5:$F$204,5,FALSE),0))</f>
        <v/>
      </c>
      <c r="N702" s="21">
        <f>IF(B702="","",J702-K702-L702-M702-I702)</f>
        <v/>
      </c>
    </row>
    <row r="703">
      <c r="B703" s="11" t="n"/>
      <c r="C703" s="8" t="n"/>
      <c r="D703" s="8" t="n"/>
      <c r="E703" s="8" t="n"/>
      <c r="F703" s="20" t="n"/>
      <c r="G703" s="20" t="n"/>
      <c r="H703" s="8" t="n"/>
      <c r="I703" s="20" t="n"/>
      <c r="J703" s="21">
        <f>IF(B703="","",F703+G703)</f>
        <v/>
      </c>
      <c r="K703" s="21">
        <f>IF(B703="","",J703*(Settings!$C$11+Settings!$C$12+Settings!$C$14)+IF(C703="",Settings!$C$13,IF(COUNTIF($C$5:C703,C703)=1,Settings!$C$13,0))+E703*Settings!$C$15+IF(H703="Yes",J703*Settings!$C$16,0))</f>
        <v/>
      </c>
      <c r="L703" s="21">
        <f>IF(B703="","",IF(Settings!$C$5="Yes",0,K703*Settings!$C$17))</f>
        <v/>
      </c>
      <c r="M703" s="21">
        <f>IF(B703="","",E703*IFERROR(VLOOKUP(D703,Products!$B$5:$F$204,5,FALSE),0))</f>
        <v/>
      </c>
      <c r="N703" s="21">
        <f>IF(B703="","",J703-K703-L703-M703-I703)</f>
        <v/>
      </c>
    </row>
    <row r="704">
      <c r="B704" s="11" t="n"/>
      <c r="C704" s="8" t="n"/>
      <c r="D704" s="8" t="n"/>
      <c r="E704" s="8" t="n"/>
      <c r="F704" s="20" t="n"/>
      <c r="G704" s="20" t="n"/>
      <c r="H704" s="8" t="n"/>
      <c r="I704" s="20" t="n"/>
      <c r="J704" s="21">
        <f>IF(B704="","",F704+G704)</f>
        <v/>
      </c>
      <c r="K704" s="21">
        <f>IF(B704="","",J704*(Settings!$C$11+Settings!$C$12+Settings!$C$14)+IF(C704="",Settings!$C$13,IF(COUNTIF($C$5:C704,C704)=1,Settings!$C$13,0))+E704*Settings!$C$15+IF(H704="Yes",J704*Settings!$C$16,0))</f>
        <v/>
      </c>
      <c r="L704" s="21">
        <f>IF(B704="","",IF(Settings!$C$5="Yes",0,K704*Settings!$C$17))</f>
        <v/>
      </c>
      <c r="M704" s="21">
        <f>IF(B704="","",E704*IFERROR(VLOOKUP(D704,Products!$B$5:$F$204,5,FALSE),0))</f>
        <v/>
      </c>
      <c r="N704" s="21">
        <f>IF(B704="","",J704-K704-L704-M704-I704)</f>
        <v/>
      </c>
    </row>
    <row r="705">
      <c r="B705" s="11" t="n"/>
      <c r="C705" s="8" t="n"/>
      <c r="D705" s="8" t="n"/>
      <c r="E705" s="8" t="n"/>
      <c r="F705" s="20" t="n"/>
      <c r="G705" s="20" t="n"/>
      <c r="H705" s="8" t="n"/>
      <c r="I705" s="20" t="n"/>
      <c r="J705" s="21">
        <f>IF(B705="","",F705+G705)</f>
        <v/>
      </c>
      <c r="K705" s="21">
        <f>IF(B705="","",J705*(Settings!$C$11+Settings!$C$12+Settings!$C$14)+IF(C705="",Settings!$C$13,IF(COUNTIF($C$5:C705,C705)=1,Settings!$C$13,0))+E705*Settings!$C$15+IF(H705="Yes",J705*Settings!$C$16,0))</f>
        <v/>
      </c>
      <c r="L705" s="21">
        <f>IF(B705="","",IF(Settings!$C$5="Yes",0,K705*Settings!$C$17))</f>
        <v/>
      </c>
      <c r="M705" s="21">
        <f>IF(B705="","",E705*IFERROR(VLOOKUP(D705,Products!$B$5:$F$204,5,FALSE),0))</f>
        <v/>
      </c>
      <c r="N705" s="21">
        <f>IF(B705="","",J705-K705-L705-M705-I705)</f>
        <v/>
      </c>
    </row>
    <row r="706">
      <c r="B706" s="11" t="n"/>
      <c r="C706" s="8" t="n"/>
      <c r="D706" s="8" t="n"/>
      <c r="E706" s="8" t="n"/>
      <c r="F706" s="20" t="n"/>
      <c r="G706" s="20" t="n"/>
      <c r="H706" s="8" t="n"/>
      <c r="I706" s="20" t="n"/>
      <c r="J706" s="21">
        <f>IF(B706="","",F706+G706)</f>
        <v/>
      </c>
      <c r="K706" s="21">
        <f>IF(B706="","",J706*(Settings!$C$11+Settings!$C$12+Settings!$C$14)+IF(C706="",Settings!$C$13,IF(COUNTIF($C$5:C706,C706)=1,Settings!$C$13,0))+E706*Settings!$C$15+IF(H706="Yes",J706*Settings!$C$16,0))</f>
        <v/>
      </c>
      <c r="L706" s="21">
        <f>IF(B706="","",IF(Settings!$C$5="Yes",0,K706*Settings!$C$17))</f>
        <v/>
      </c>
      <c r="M706" s="21">
        <f>IF(B706="","",E706*IFERROR(VLOOKUP(D706,Products!$B$5:$F$204,5,FALSE),0))</f>
        <v/>
      </c>
      <c r="N706" s="21">
        <f>IF(B706="","",J706-K706-L706-M706-I706)</f>
        <v/>
      </c>
    </row>
    <row r="707">
      <c r="B707" s="11" t="n"/>
      <c r="C707" s="8" t="n"/>
      <c r="D707" s="8" t="n"/>
      <c r="E707" s="8" t="n"/>
      <c r="F707" s="20" t="n"/>
      <c r="G707" s="20" t="n"/>
      <c r="H707" s="8" t="n"/>
      <c r="I707" s="20" t="n"/>
      <c r="J707" s="21">
        <f>IF(B707="","",F707+G707)</f>
        <v/>
      </c>
      <c r="K707" s="21">
        <f>IF(B707="","",J707*(Settings!$C$11+Settings!$C$12+Settings!$C$14)+IF(C707="",Settings!$C$13,IF(COUNTIF($C$5:C707,C707)=1,Settings!$C$13,0))+E707*Settings!$C$15+IF(H707="Yes",J707*Settings!$C$16,0))</f>
        <v/>
      </c>
      <c r="L707" s="21">
        <f>IF(B707="","",IF(Settings!$C$5="Yes",0,K707*Settings!$C$17))</f>
        <v/>
      </c>
      <c r="M707" s="21">
        <f>IF(B707="","",E707*IFERROR(VLOOKUP(D707,Products!$B$5:$F$204,5,FALSE),0))</f>
        <v/>
      </c>
      <c r="N707" s="21">
        <f>IF(B707="","",J707-K707-L707-M707-I707)</f>
        <v/>
      </c>
    </row>
    <row r="708">
      <c r="B708" s="11" t="n"/>
      <c r="C708" s="8" t="n"/>
      <c r="D708" s="8" t="n"/>
      <c r="E708" s="8" t="n"/>
      <c r="F708" s="20" t="n"/>
      <c r="G708" s="20" t="n"/>
      <c r="H708" s="8" t="n"/>
      <c r="I708" s="20" t="n"/>
      <c r="J708" s="21">
        <f>IF(B708="","",F708+G708)</f>
        <v/>
      </c>
      <c r="K708" s="21">
        <f>IF(B708="","",J708*(Settings!$C$11+Settings!$C$12+Settings!$C$14)+IF(C708="",Settings!$C$13,IF(COUNTIF($C$5:C708,C708)=1,Settings!$C$13,0))+E708*Settings!$C$15+IF(H708="Yes",J708*Settings!$C$16,0))</f>
        <v/>
      </c>
      <c r="L708" s="21">
        <f>IF(B708="","",IF(Settings!$C$5="Yes",0,K708*Settings!$C$17))</f>
        <v/>
      </c>
      <c r="M708" s="21">
        <f>IF(B708="","",E708*IFERROR(VLOOKUP(D708,Products!$B$5:$F$204,5,FALSE),0))</f>
        <v/>
      </c>
      <c r="N708" s="21">
        <f>IF(B708="","",J708-K708-L708-M708-I708)</f>
        <v/>
      </c>
    </row>
    <row r="709">
      <c r="B709" s="11" t="n"/>
      <c r="C709" s="8" t="n"/>
      <c r="D709" s="8" t="n"/>
      <c r="E709" s="8" t="n"/>
      <c r="F709" s="20" t="n"/>
      <c r="G709" s="20" t="n"/>
      <c r="H709" s="8" t="n"/>
      <c r="I709" s="20" t="n"/>
      <c r="J709" s="21">
        <f>IF(B709="","",F709+G709)</f>
        <v/>
      </c>
      <c r="K709" s="21">
        <f>IF(B709="","",J709*(Settings!$C$11+Settings!$C$12+Settings!$C$14)+IF(C709="",Settings!$C$13,IF(COUNTIF($C$5:C709,C709)=1,Settings!$C$13,0))+E709*Settings!$C$15+IF(H709="Yes",J709*Settings!$C$16,0))</f>
        <v/>
      </c>
      <c r="L709" s="21">
        <f>IF(B709="","",IF(Settings!$C$5="Yes",0,K709*Settings!$C$17))</f>
        <v/>
      </c>
      <c r="M709" s="21">
        <f>IF(B709="","",E709*IFERROR(VLOOKUP(D709,Products!$B$5:$F$204,5,FALSE),0))</f>
        <v/>
      </c>
      <c r="N709" s="21">
        <f>IF(B709="","",J709-K709-L709-M709-I709)</f>
        <v/>
      </c>
    </row>
    <row r="710">
      <c r="B710" s="11" t="n"/>
      <c r="C710" s="8" t="n"/>
      <c r="D710" s="8" t="n"/>
      <c r="E710" s="8" t="n"/>
      <c r="F710" s="20" t="n"/>
      <c r="G710" s="20" t="n"/>
      <c r="H710" s="8" t="n"/>
      <c r="I710" s="20" t="n"/>
      <c r="J710" s="21">
        <f>IF(B710="","",F710+G710)</f>
        <v/>
      </c>
      <c r="K710" s="21">
        <f>IF(B710="","",J710*(Settings!$C$11+Settings!$C$12+Settings!$C$14)+IF(C710="",Settings!$C$13,IF(COUNTIF($C$5:C710,C710)=1,Settings!$C$13,0))+E710*Settings!$C$15+IF(H710="Yes",J710*Settings!$C$16,0))</f>
        <v/>
      </c>
      <c r="L710" s="21">
        <f>IF(B710="","",IF(Settings!$C$5="Yes",0,K710*Settings!$C$17))</f>
        <v/>
      </c>
      <c r="M710" s="21">
        <f>IF(B710="","",E710*IFERROR(VLOOKUP(D710,Products!$B$5:$F$204,5,FALSE),0))</f>
        <v/>
      </c>
      <c r="N710" s="21">
        <f>IF(B710="","",J710-K710-L710-M710-I710)</f>
        <v/>
      </c>
    </row>
    <row r="711">
      <c r="B711" s="11" t="n"/>
      <c r="C711" s="8" t="n"/>
      <c r="D711" s="8" t="n"/>
      <c r="E711" s="8" t="n"/>
      <c r="F711" s="20" t="n"/>
      <c r="G711" s="20" t="n"/>
      <c r="H711" s="8" t="n"/>
      <c r="I711" s="20" t="n"/>
      <c r="J711" s="21">
        <f>IF(B711="","",F711+G711)</f>
        <v/>
      </c>
      <c r="K711" s="21">
        <f>IF(B711="","",J711*(Settings!$C$11+Settings!$C$12+Settings!$C$14)+IF(C711="",Settings!$C$13,IF(COUNTIF($C$5:C711,C711)=1,Settings!$C$13,0))+E711*Settings!$C$15+IF(H711="Yes",J711*Settings!$C$16,0))</f>
        <v/>
      </c>
      <c r="L711" s="21">
        <f>IF(B711="","",IF(Settings!$C$5="Yes",0,K711*Settings!$C$17))</f>
        <v/>
      </c>
      <c r="M711" s="21">
        <f>IF(B711="","",E711*IFERROR(VLOOKUP(D711,Products!$B$5:$F$204,5,FALSE),0))</f>
        <v/>
      </c>
      <c r="N711" s="21">
        <f>IF(B711="","",J711-K711-L711-M711-I711)</f>
        <v/>
      </c>
    </row>
    <row r="712">
      <c r="B712" s="11" t="n"/>
      <c r="C712" s="8" t="n"/>
      <c r="D712" s="8" t="n"/>
      <c r="E712" s="8" t="n"/>
      <c r="F712" s="20" t="n"/>
      <c r="G712" s="20" t="n"/>
      <c r="H712" s="8" t="n"/>
      <c r="I712" s="20" t="n"/>
      <c r="J712" s="21">
        <f>IF(B712="","",F712+G712)</f>
        <v/>
      </c>
      <c r="K712" s="21">
        <f>IF(B712="","",J712*(Settings!$C$11+Settings!$C$12+Settings!$C$14)+IF(C712="",Settings!$C$13,IF(COUNTIF($C$5:C712,C712)=1,Settings!$C$13,0))+E712*Settings!$C$15+IF(H712="Yes",J712*Settings!$C$16,0))</f>
        <v/>
      </c>
      <c r="L712" s="21">
        <f>IF(B712="","",IF(Settings!$C$5="Yes",0,K712*Settings!$C$17))</f>
        <v/>
      </c>
      <c r="M712" s="21">
        <f>IF(B712="","",E712*IFERROR(VLOOKUP(D712,Products!$B$5:$F$204,5,FALSE),0))</f>
        <v/>
      </c>
      <c r="N712" s="21">
        <f>IF(B712="","",J712-K712-L712-M712-I712)</f>
        <v/>
      </c>
    </row>
    <row r="713">
      <c r="B713" s="11" t="n"/>
      <c r="C713" s="8" t="n"/>
      <c r="D713" s="8" t="n"/>
      <c r="E713" s="8" t="n"/>
      <c r="F713" s="20" t="n"/>
      <c r="G713" s="20" t="n"/>
      <c r="H713" s="8" t="n"/>
      <c r="I713" s="20" t="n"/>
      <c r="J713" s="21">
        <f>IF(B713="","",F713+G713)</f>
        <v/>
      </c>
      <c r="K713" s="21">
        <f>IF(B713="","",J713*(Settings!$C$11+Settings!$C$12+Settings!$C$14)+IF(C713="",Settings!$C$13,IF(COUNTIF($C$5:C713,C713)=1,Settings!$C$13,0))+E713*Settings!$C$15+IF(H713="Yes",J713*Settings!$C$16,0))</f>
        <v/>
      </c>
      <c r="L713" s="21">
        <f>IF(B713="","",IF(Settings!$C$5="Yes",0,K713*Settings!$C$17))</f>
        <v/>
      </c>
      <c r="M713" s="21">
        <f>IF(B713="","",E713*IFERROR(VLOOKUP(D713,Products!$B$5:$F$204,5,FALSE),0))</f>
        <v/>
      </c>
      <c r="N713" s="21">
        <f>IF(B713="","",J713-K713-L713-M713-I713)</f>
        <v/>
      </c>
    </row>
    <row r="714">
      <c r="B714" s="11" t="n"/>
      <c r="C714" s="8" t="n"/>
      <c r="D714" s="8" t="n"/>
      <c r="E714" s="8" t="n"/>
      <c r="F714" s="20" t="n"/>
      <c r="G714" s="20" t="n"/>
      <c r="H714" s="8" t="n"/>
      <c r="I714" s="20" t="n"/>
      <c r="J714" s="21">
        <f>IF(B714="","",F714+G714)</f>
        <v/>
      </c>
      <c r="K714" s="21">
        <f>IF(B714="","",J714*(Settings!$C$11+Settings!$C$12+Settings!$C$14)+IF(C714="",Settings!$C$13,IF(COUNTIF($C$5:C714,C714)=1,Settings!$C$13,0))+E714*Settings!$C$15+IF(H714="Yes",J714*Settings!$C$16,0))</f>
        <v/>
      </c>
      <c r="L714" s="21">
        <f>IF(B714="","",IF(Settings!$C$5="Yes",0,K714*Settings!$C$17))</f>
        <v/>
      </c>
      <c r="M714" s="21">
        <f>IF(B714="","",E714*IFERROR(VLOOKUP(D714,Products!$B$5:$F$204,5,FALSE),0))</f>
        <v/>
      </c>
      <c r="N714" s="21">
        <f>IF(B714="","",J714-K714-L714-M714-I714)</f>
        <v/>
      </c>
    </row>
    <row r="715">
      <c r="B715" s="11" t="n"/>
      <c r="C715" s="8" t="n"/>
      <c r="D715" s="8" t="n"/>
      <c r="E715" s="8" t="n"/>
      <c r="F715" s="20" t="n"/>
      <c r="G715" s="20" t="n"/>
      <c r="H715" s="8" t="n"/>
      <c r="I715" s="20" t="n"/>
      <c r="J715" s="21">
        <f>IF(B715="","",F715+G715)</f>
        <v/>
      </c>
      <c r="K715" s="21">
        <f>IF(B715="","",J715*(Settings!$C$11+Settings!$C$12+Settings!$C$14)+IF(C715="",Settings!$C$13,IF(COUNTIF($C$5:C715,C715)=1,Settings!$C$13,0))+E715*Settings!$C$15+IF(H715="Yes",J715*Settings!$C$16,0))</f>
        <v/>
      </c>
      <c r="L715" s="21">
        <f>IF(B715="","",IF(Settings!$C$5="Yes",0,K715*Settings!$C$17))</f>
        <v/>
      </c>
      <c r="M715" s="21">
        <f>IF(B715="","",E715*IFERROR(VLOOKUP(D715,Products!$B$5:$F$204,5,FALSE),0))</f>
        <v/>
      </c>
      <c r="N715" s="21">
        <f>IF(B715="","",J715-K715-L715-M715-I715)</f>
        <v/>
      </c>
    </row>
    <row r="716">
      <c r="B716" s="11" t="n"/>
      <c r="C716" s="8" t="n"/>
      <c r="D716" s="8" t="n"/>
      <c r="E716" s="8" t="n"/>
      <c r="F716" s="20" t="n"/>
      <c r="G716" s="20" t="n"/>
      <c r="H716" s="8" t="n"/>
      <c r="I716" s="20" t="n"/>
      <c r="J716" s="21">
        <f>IF(B716="","",F716+G716)</f>
        <v/>
      </c>
      <c r="K716" s="21">
        <f>IF(B716="","",J716*(Settings!$C$11+Settings!$C$12+Settings!$C$14)+IF(C716="",Settings!$C$13,IF(COUNTIF($C$5:C716,C716)=1,Settings!$C$13,0))+E716*Settings!$C$15+IF(H716="Yes",J716*Settings!$C$16,0))</f>
        <v/>
      </c>
      <c r="L716" s="21">
        <f>IF(B716="","",IF(Settings!$C$5="Yes",0,K716*Settings!$C$17))</f>
        <v/>
      </c>
      <c r="M716" s="21">
        <f>IF(B716="","",E716*IFERROR(VLOOKUP(D716,Products!$B$5:$F$204,5,FALSE),0))</f>
        <v/>
      </c>
      <c r="N716" s="21">
        <f>IF(B716="","",J716-K716-L716-M716-I716)</f>
        <v/>
      </c>
    </row>
    <row r="717">
      <c r="B717" s="11" t="n"/>
      <c r="C717" s="8" t="n"/>
      <c r="D717" s="8" t="n"/>
      <c r="E717" s="8" t="n"/>
      <c r="F717" s="20" t="n"/>
      <c r="G717" s="20" t="n"/>
      <c r="H717" s="8" t="n"/>
      <c r="I717" s="20" t="n"/>
      <c r="J717" s="21">
        <f>IF(B717="","",F717+G717)</f>
        <v/>
      </c>
      <c r="K717" s="21">
        <f>IF(B717="","",J717*(Settings!$C$11+Settings!$C$12+Settings!$C$14)+IF(C717="",Settings!$C$13,IF(COUNTIF($C$5:C717,C717)=1,Settings!$C$13,0))+E717*Settings!$C$15+IF(H717="Yes",J717*Settings!$C$16,0))</f>
        <v/>
      </c>
      <c r="L717" s="21">
        <f>IF(B717="","",IF(Settings!$C$5="Yes",0,K717*Settings!$C$17))</f>
        <v/>
      </c>
      <c r="M717" s="21">
        <f>IF(B717="","",E717*IFERROR(VLOOKUP(D717,Products!$B$5:$F$204,5,FALSE),0))</f>
        <v/>
      </c>
      <c r="N717" s="21">
        <f>IF(B717="","",J717-K717-L717-M717-I717)</f>
        <v/>
      </c>
    </row>
    <row r="718">
      <c r="B718" s="11" t="n"/>
      <c r="C718" s="8" t="n"/>
      <c r="D718" s="8" t="n"/>
      <c r="E718" s="8" t="n"/>
      <c r="F718" s="20" t="n"/>
      <c r="G718" s="20" t="n"/>
      <c r="H718" s="8" t="n"/>
      <c r="I718" s="20" t="n"/>
      <c r="J718" s="21">
        <f>IF(B718="","",F718+G718)</f>
        <v/>
      </c>
      <c r="K718" s="21">
        <f>IF(B718="","",J718*(Settings!$C$11+Settings!$C$12+Settings!$C$14)+IF(C718="",Settings!$C$13,IF(COUNTIF($C$5:C718,C718)=1,Settings!$C$13,0))+E718*Settings!$C$15+IF(H718="Yes",J718*Settings!$C$16,0))</f>
        <v/>
      </c>
      <c r="L718" s="21">
        <f>IF(B718="","",IF(Settings!$C$5="Yes",0,K718*Settings!$C$17))</f>
        <v/>
      </c>
      <c r="M718" s="21">
        <f>IF(B718="","",E718*IFERROR(VLOOKUP(D718,Products!$B$5:$F$204,5,FALSE),0))</f>
        <v/>
      </c>
      <c r="N718" s="21">
        <f>IF(B718="","",J718-K718-L718-M718-I718)</f>
        <v/>
      </c>
    </row>
    <row r="719">
      <c r="B719" s="11" t="n"/>
      <c r="C719" s="8" t="n"/>
      <c r="D719" s="8" t="n"/>
      <c r="E719" s="8" t="n"/>
      <c r="F719" s="20" t="n"/>
      <c r="G719" s="20" t="n"/>
      <c r="H719" s="8" t="n"/>
      <c r="I719" s="20" t="n"/>
      <c r="J719" s="21">
        <f>IF(B719="","",F719+G719)</f>
        <v/>
      </c>
      <c r="K719" s="21">
        <f>IF(B719="","",J719*(Settings!$C$11+Settings!$C$12+Settings!$C$14)+IF(C719="",Settings!$C$13,IF(COUNTIF($C$5:C719,C719)=1,Settings!$C$13,0))+E719*Settings!$C$15+IF(H719="Yes",J719*Settings!$C$16,0))</f>
        <v/>
      </c>
      <c r="L719" s="21">
        <f>IF(B719="","",IF(Settings!$C$5="Yes",0,K719*Settings!$C$17))</f>
        <v/>
      </c>
      <c r="M719" s="21">
        <f>IF(B719="","",E719*IFERROR(VLOOKUP(D719,Products!$B$5:$F$204,5,FALSE),0))</f>
        <v/>
      </c>
      <c r="N719" s="21">
        <f>IF(B719="","",J719-K719-L719-M719-I719)</f>
        <v/>
      </c>
    </row>
    <row r="720">
      <c r="B720" s="11" t="n"/>
      <c r="C720" s="8" t="n"/>
      <c r="D720" s="8" t="n"/>
      <c r="E720" s="8" t="n"/>
      <c r="F720" s="20" t="n"/>
      <c r="G720" s="20" t="n"/>
      <c r="H720" s="8" t="n"/>
      <c r="I720" s="20" t="n"/>
      <c r="J720" s="21">
        <f>IF(B720="","",F720+G720)</f>
        <v/>
      </c>
      <c r="K720" s="21">
        <f>IF(B720="","",J720*(Settings!$C$11+Settings!$C$12+Settings!$C$14)+IF(C720="",Settings!$C$13,IF(COUNTIF($C$5:C720,C720)=1,Settings!$C$13,0))+E720*Settings!$C$15+IF(H720="Yes",J720*Settings!$C$16,0))</f>
        <v/>
      </c>
      <c r="L720" s="21">
        <f>IF(B720="","",IF(Settings!$C$5="Yes",0,K720*Settings!$C$17))</f>
        <v/>
      </c>
      <c r="M720" s="21">
        <f>IF(B720="","",E720*IFERROR(VLOOKUP(D720,Products!$B$5:$F$204,5,FALSE),0))</f>
        <v/>
      </c>
      <c r="N720" s="21">
        <f>IF(B720="","",J720-K720-L720-M720-I720)</f>
        <v/>
      </c>
    </row>
    <row r="721">
      <c r="B721" s="11" t="n"/>
      <c r="C721" s="8" t="n"/>
      <c r="D721" s="8" t="n"/>
      <c r="E721" s="8" t="n"/>
      <c r="F721" s="20" t="n"/>
      <c r="G721" s="20" t="n"/>
      <c r="H721" s="8" t="n"/>
      <c r="I721" s="20" t="n"/>
      <c r="J721" s="21">
        <f>IF(B721="","",F721+G721)</f>
        <v/>
      </c>
      <c r="K721" s="21">
        <f>IF(B721="","",J721*(Settings!$C$11+Settings!$C$12+Settings!$C$14)+IF(C721="",Settings!$C$13,IF(COUNTIF($C$5:C721,C721)=1,Settings!$C$13,0))+E721*Settings!$C$15+IF(H721="Yes",J721*Settings!$C$16,0))</f>
        <v/>
      </c>
      <c r="L721" s="21">
        <f>IF(B721="","",IF(Settings!$C$5="Yes",0,K721*Settings!$C$17))</f>
        <v/>
      </c>
      <c r="M721" s="21">
        <f>IF(B721="","",E721*IFERROR(VLOOKUP(D721,Products!$B$5:$F$204,5,FALSE),0))</f>
        <v/>
      </c>
      <c r="N721" s="21">
        <f>IF(B721="","",J721-K721-L721-M721-I721)</f>
        <v/>
      </c>
    </row>
    <row r="722">
      <c r="B722" s="11" t="n"/>
      <c r="C722" s="8" t="n"/>
      <c r="D722" s="8" t="n"/>
      <c r="E722" s="8" t="n"/>
      <c r="F722" s="20" t="n"/>
      <c r="G722" s="20" t="n"/>
      <c r="H722" s="8" t="n"/>
      <c r="I722" s="20" t="n"/>
      <c r="J722" s="21">
        <f>IF(B722="","",F722+G722)</f>
        <v/>
      </c>
      <c r="K722" s="21">
        <f>IF(B722="","",J722*(Settings!$C$11+Settings!$C$12+Settings!$C$14)+IF(C722="",Settings!$C$13,IF(COUNTIF($C$5:C722,C722)=1,Settings!$C$13,0))+E722*Settings!$C$15+IF(H722="Yes",J722*Settings!$C$16,0))</f>
        <v/>
      </c>
      <c r="L722" s="21">
        <f>IF(B722="","",IF(Settings!$C$5="Yes",0,K722*Settings!$C$17))</f>
        <v/>
      </c>
      <c r="M722" s="21">
        <f>IF(B722="","",E722*IFERROR(VLOOKUP(D722,Products!$B$5:$F$204,5,FALSE),0))</f>
        <v/>
      </c>
      <c r="N722" s="21">
        <f>IF(B722="","",J722-K722-L722-M722-I722)</f>
        <v/>
      </c>
    </row>
    <row r="723">
      <c r="B723" s="11" t="n"/>
      <c r="C723" s="8" t="n"/>
      <c r="D723" s="8" t="n"/>
      <c r="E723" s="8" t="n"/>
      <c r="F723" s="20" t="n"/>
      <c r="G723" s="20" t="n"/>
      <c r="H723" s="8" t="n"/>
      <c r="I723" s="20" t="n"/>
      <c r="J723" s="21">
        <f>IF(B723="","",F723+G723)</f>
        <v/>
      </c>
      <c r="K723" s="21">
        <f>IF(B723="","",J723*(Settings!$C$11+Settings!$C$12+Settings!$C$14)+IF(C723="",Settings!$C$13,IF(COUNTIF($C$5:C723,C723)=1,Settings!$C$13,0))+E723*Settings!$C$15+IF(H723="Yes",J723*Settings!$C$16,0))</f>
        <v/>
      </c>
      <c r="L723" s="21">
        <f>IF(B723="","",IF(Settings!$C$5="Yes",0,K723*Settings!$C$17))</f>
        <v/>
      </c>
      <c r="M723" s="21">
        <f>IF(B723="","",E723*IFERROR(VLOOKUP(D723,Products!$B$5:$F$204,5,FALSE),0))</f>
        <v/>
      </c>
      <c r="N723" s="21">
        <f>IF(B723="","",J723-K723-L723-M723-I723)</f>
        <v/>
      </c>
    </row>
    <row r="724">
      <c r="B724" s="11" t="n"/>
      <c r="C724" s="8" t="n"/>
      <c r="D724" s="8" t="n"/>
      <c r="E724" s="8" t="n"/>
      <c r="F724" s="20" t="n"/>
      <c r="G724" s="20" t="n"/>
      <c r="H724" s="8" t="n"/>
      <c r="I724" s="20" t="n"/>
      <c r="J724" s="21">
        <f>IF(B724="","",F724+G724)</f>
        <v/>
      </c>
      <c r="K724" s="21">
        <f>IF(B724="","",J724*(Settings!$C$11+Settings!$C$12+Settings!$C$14)+IF(C724="",Settings!$C$13,IF(COUNTIF($C$5:C724,C724)=1,Settings!$C$13,0))+E724*Settings!$C$15+IF(H724="Yes",J724*Settings!$C$16,0))</f>
        <v/>
      </c>
      <c r="L724" s="21">
        <f>IF(B724="","",IF(Settings!$C$5="Yes",0,K724*Settings!$C$17))</f>
        <v/>
      </c>
      <c r="M724" s="21">
        <f>IF(B724="","",E724*IFERROR(VLOOKUP(D724,Products!$B$5:$F$204,5,FALSE),0))</f>
        <v/>
      </c>
      <c r="N724" s="21">
        <f>IF(B724="","",J724-K724-L724-M724-I724)</f>
        <v/>
      </c>
    </row>
    <row r="725">
      <c r="B725" s="11" t="n"/>
      <c r="C725" s="8" t="n"/>
      <c r="D725" s="8" t="n"/>
      <c r="E725" s="8" t="n"/>
      <c r="F725" s="20" t="n"/>
      <c r="G725" s="20" t="n"/>
      <c r="H725" s="8" t="n"/>
      <c r="I725" s="20" t="n"/>
      <c r="J725" s="21">
        <f>IF(B725="","",F725+G725)</f>
        <v/>
      </c>
      <c r="K725" s="21">
        <f>IF(B725="","",J725*(Settings!$C$11+Settings!$C$12+Settings!$C$14)+IF(C725="",Settings!$C$13,IF(COUNTIF($C$5:C725,C725)=1,Settings!$C$13,0))+E725*Settings!$C$15+IF(H725="Yes",J725*Settings!$C$16,0))</f>
        <v/>
      </c>
      <c r="L725" s="21">
        <f>IF(B725="","",IF(Settings!$C$5="Yes",0,K725*Settings!$C$17))</f>
        <v/>
      </c>
      <c r="M725" s="21">
        <f>IF(B725="","",E725*IFERROR(VLOOKUP(D725,Products!$B$5:$F$204,5,FALSE),0))</f>
        <v/>
      </c>
      <c r="N725" s="21">
        <f>IF(B725="","",J725-K725-L725-M725-I725)</f>
        <v/>
      </c>
    </row>
    <row r="726">
      <c r="B726" s="11" t="n"/>
      <c r="C726" s="8" t="n"/>
      <c r="D726" s="8" t="n"/>
      <c r="E726" s="8" t="n"/>
      <c r="F726" s="20" t="n"/>
      <c r="G726" s="20" t="n"/>
      <c r="H726" s="8" t="n"/>
      <c r="I726" s="20" t="n"/>
      <c r="J726" s="21">
        <f>IF(B726="","",F726+G726)</f>
        <v/>
      </c>
      <c r="K726" s="21">
        <f>IF(B726="","",J726*(Settings!$C$11+Settings!$C$12+Settings!$C$14)+IF(C726="",Settings!$C$13,IF(COUNTIF($C$5:C726,C726)=1,Settings!$C$13,0))+E726*Settings!$C$15+IF(H726="Yes",J726*Settings!$C$16,0))</f>
        <v/>
      </c>
      <c r="L726" s="21">
        <f>IF(B726="","",IF(Settings!$C$5="Yes",0,K726*Settings!$C$17))</f>
        <v/>
      </c>
      <c r="M726" s="21">
        <f>IF(B726="","",E726*IFERROR(VLOOKUP(D726,Products!$B$5:$F$204,5,FALSE),0))</f>
        <v/>
      </c>
      <c r="N726" s="21">
        <f>IF(B726="","",J726-K726-L726-M726-I726)</f>
        <v/>
      </c>
    </row>
    <row r="727">
      <c r="B727" s="11" t="n"/>
      <c r="C727" s="8" t="n"/>
      <c r="D727" s="8" t="n"/>
      <c r="E727" s="8" t="n"/>
      <c r="F727" s="20" t="n"/>
      <c r="G727" s="20" t="n"/>
      <c r="H727" s="8" t="n"/>
      <c r="I727" s="20" t="n"/>
      <c r="J727" s="21">
        <f>IF(B727="","",F727+G727)</f>
        <v/>
      </c>
      <c r="K727" s="21">
        <f>IF(B727="","",J727*(Settings!$C$11+Settings!$C$12+Settings!$C$14)+IF(C727="",Settings!$C$13,IF(COUNTIF($C$5:C727,C727)=1,Settings!$C$13,0))+E727*Settings!$C$15+IF(H727="Yes",J727*Settings!$C$16,0))</f>
        <v/>
      </c>
      <c r="L727" s="21">
        <f>IF(B727="","",IF(Settings!$C$5="Yes",0,K727*Settings!$C$17))</f>
        <v/>
      </c>
      <c r="M727" s="21">
        <f>IF(B727="","",E727*IFERROR(VLOOKUP(D727,Products!$B$5:$F$204,5,FALSE),0))</f>
        <v/>
      </c>
      <c r="N727" s="21">
        <f>IF(B727="","",J727-K727-L727-M727-I727)</f>
        <v/>
      </c>
    </row>
    <row r="728">
      <c r="B728" s="11" t="n"/>
      <c r="C728" s="8" t="n"/>
      <c r="D728" s="8" t="n"/>
      <c r="E728" s="8" t="n"/>
      <c r="F728" s="20" t="n"/>
      <c r="G728" s="20" t="n"/>
      <c r="H728" s="8" t="n"/>
      <c r="I728" s="20" t="n"/>
      <c r="J728" s="21">
        <f>IF(B728="","",F728+G728)</f>
        <v/>
      </c>
      <c r="K728" s="21">
        <f>IF(B728="","",J728*(Settings!$C$11+Settings!$C$12+Settings!$C$14)+IF(C728="",Settings!$C$13,IF(COUNTIF($C$5:C728,C728)=1,Settings!$C$13,0))+E728*Settings!$C$15+IF(H728="Yes",J728*Settings!$C$16,0))</f>
        <v/>
      </c>
      <c r="L728" s="21">
        <f>IF(B728="","",IF(Settings!$C$5="Yes",0,K728*Settings!$C$17))</f>
        <v/>
      </c>
      <c r="M728" s="21">
        <f>IF(B728="","",E728*IFERROR(VLOOKUP(D728,Products!$B$5:$F$204,5,FALSE),0))</f>
        <v/>
      </c>
      <c r="N728" s="21">
        <f>IF(B728="","",J728-K728-L728-M728-I728)</f>
        <v/>
      </c>
    </row>
    <row r="729">
      <c r="B729" s="11" t="n"/>
      <c r="C729" s="8" t="n"/>
      <c r="D729" s="8" t="n"/>
      <c r="E729" s="8" t="n"/>
      <c r="F729" s="20" t="n"/>
      <c r="G729" s="20" t="n"/>
      <c r="H729" s="8" t="n"/>
      <c r="I729" s="20" t="n"/>
      <c r="J729" s="21">
        <f>IF(B729="","",F729+G729)</f>
        <v/>
      </c>
      <c r="K729" s="21">
        <f>IF(B729="","",J729*(Settings!$C$11+Settings!$C$12+Settings!$C$14)+IF(C729="",Settings!$C$13,IF(COUNTIF($C$5:C729,C729)=1,Settings!$C$13,0))+E729*Settings!$C$15+IF(H729="Yes",J729*Settings!$C$16,0))</f>
        <v/>
      </c>
      <c r="L729" s="21">
        <f>IF(B729="","",IF(Settings!$C$5="Yes",0,K729*Settings!$C$17))</f>
        <v/>
      </c>
      <c r="M729" s="21">
        <f>IF(B729="","",E729*IFERROR(VLOOKUP(D729,Products!$B$5:$F$204,5,FALSE),0))</f>
        <v/>
      </c>
      <c r="N729" s="21">
        <f>IF(B729="","",J729-K729-L729-M729-I729)</f>
        <v/>
      </c>
    </row>
    <row r="730">
      <c r="B730" s="11" t="n"/>
      <c r="C730" s="8" t="n"/>
      <c r="D730" s="8" t="n"/>
      <c r="E730" s="8" t="n"/>
      <c r="F730" s="20" t="n"/>
      <c r="G730" s="20" t="n"/>
      <c r="H730" s="8" t="n"/>
      <c r="I730" s="20" t="n"/>
      <c r="J730" s="21">
        <f>IF(B730="","",F730+G730)</f>
        <v/>
      </c>
      <c r="K730" s="21">
        <f>IF(B730="","",J730*(Settings!$C$11+Settings!$C$12+Settings!$C$14)+IF(C730="",Settings!$C$13,IF(COUNTIF($C$5:C730,C730)=1,Settings!$C$13,0))+E730*Settings!$C$15+IF(H730="Yes",J730*Settings!$C$16,0))</f>
        <v/>
      </c>
      <c r="L730" s="21">
        <f>IF(B730="","",IF(Settings!$C$5="Yes",0,K730*Settings!$C$17))</f>
        <v/>
      </c>
      <c r="M730" s="21">
        <f>IF(B730="","",E730*IFERROR(VLOOKUP(D730,Products!$B$5:$F$204,5,FALSE),0))</f>
        <v/>
      </c>
      <c r="N730" s="21">
        <f>IF(B730="","",J730-K730-L730-M730-I730)</f>
        <v/>
      </c>
    </row>
    <row r="731">
      <c r="B731" s="11" t="n"/>
      <c r="C731" s="8" t="n"/>
      <c r="D731" s="8" t="n"/>
      <c r="E731" s="8" t="n"/>
      <c r="F731" s="20" t="n"/>
      <c r="G731" s="20" t="n"/>
      <c r="H731" s="8" t="n"/>
      <c r="I731" s="20" t="n"/>
      <c r="J731" s="21">
        <f>IF(B731="","",F731+G731)</f>
        <v/>
      </c>
      <c r="K731" s="21">
        <f>IF(B731="","",J731*(Settings!$C$11+Settings!$C$12+Settings!$C$14)+IF(C731="",Settings!$C$13,IF(COUNTIF($C$5:C731,C731)=1,Settings!$C$13,0))+E731*Settings!$C$15+IF(H731="Yes",J731*Settings!$C$16,0))</f>
        <v/>
      </c>
      <c r="L731" s="21">
        <f>IF(B731="","",IF(Settings!$C$5="Yes",0,K731*Settings!$C$17))</f>
        <v/>
      </c>
      <c r="M731" s="21">
        <f>IF(B731="","",E731*IFERROR(VLOOKUP(D731,Products!$B$5:$F$204,5,FALSE),0))</f>
        <v/>
      </c>
      <c r="N731" s="21">
        <f>IF(B731="","",J731-K731-L731-M731-I731)</f>
        <v/>
      </c>
    </row>
    <row r="732">
      <c r="B732" s="11" t="n"/>
      <c r="C732" s="8" t="n"/>
      <c r="D732" s="8" t="n"/>
      <c r="E732" s="8" t="n"/>
      <c r="F732" s="20" t="n"/>
      <c r="G732" s="20" t="n"/>
      <c r="H732" s="8" t="n"/>
      <c r="I732" s="20" t="n"/>
      <c r="J732" s="21">
        <f>IF(B732="","",F732+G732)</f>
        <v/>
      </c>
      <c r="K732" s="21">
        <f>IF(B732="","",J732*(Settings!$C$11+Settings!$C$12+Settings!$C$14)+IF(C732="",Settings!$C$13,IF(COUNTIF($C$5:C732,C732)=1,Settings!$C$13,0))+E732*Settings!$C$15+IF(H732="Yes",J732*Settings!$C$16,0))</f>
        <v/>
      </c>
      <c r="L732" s="21">
        <f>IF(B732="","",IF(Settings!$C$5="Yes",0,K732*Settings!$C$17))</f>
        <v/>
      </c>
      <c r="M732" s="21">
        <f>IF(B732="","",E732*IFERROR(VLOOKUP(D732,Products!$B$5:$F$204,5,FALSE),0))</f>
        <v/>
      </c>
      <c r="N732" s="21">
        <f>IF(B732="","",J732-K732-L732-M732-I732)</f>
        <v/>
      </c>
    </row>
    <row r="733">
      <c r="B733" s="11" t="n"/>
      <c r="C733" s="8" t="n"/>
      <c r="D733" s="8" t="n"/>
      <c r="E733" s="8" t="n"/>
      <c r="F733" s="20" t="n"/>
      <c r="G733" s="20" t="n"/>
      <c r="H733" s="8" t="n"/>
      <c r="I733" s="20" t="n"/>
      <c r="J733" s="21">
        <f>IF(B733="","",F733+G733)</f>
        <v/>
      </c>
      <c r="K733" s="21">
        <f>IF(B733="","",J733*(Settings!$C$11+Settings!$C$12+Settings!$C$14)+IF(C733="",Settings!$C$13,IF(COUNTIF($C$5:C733,C733)=1,Settings!$C$13,0))+E733*Settings!$C$15+IF(H733="Yes",J733*Settings!$C$16,0))</f>
        <v/>
      </c>
      <c r="L733" s="21">
        <f>IF(B733="","",IF(Settings!$C$5="Yes",0,K733*Settings!$C$17))</f>
        <v/>
      </c>
      <c r="M733" s="21">
        <f>IF(B733="","",E733*IFERROR(VLOOKUP(D733,Products!$B$5:$F$204,5,FALSE),0))</f>
        <v/>
      </c>
      <c r="N733" s="21">
        <f>IF(B733="","",J733-K733-L733-M733-I733)</f>
        <v/>
      </c>
    </row>
    <row r="734">
      <c r="B734" s="11" t="n"/>
      <c r="C734" s="8" t="n"/>
      <c r="D734" s="8" t="n"/>
      <c r="E734" s="8" t="n"/>
      <c r="F734" s="20" t="n"/>
      <c r="G734" s="20" t="n"/>
      <c r="H734" s="8" t="n"/>
      <c r="I734" s="20" t="n"/>
      <c r="J734" s="21">
        <f>IF(B734="","",F734+G734)</f>
        <v/>
      </c>
      <c r="K734" s="21">
        <f>IF(B734="","",J734*(Settings!$C$11+Settings!$C$12+Settings!$C$14)+IF(C734="",Settings!$C$13,IF(COUNTIF($C$5:C734,C734)=1,Settings!$C$13,0))+E734*Settings!$C$15+IF(H734="Yes",J734*Settings!$C$16,0))</f>
        <v/>
      </c>
      <c r="L734" s="21">
        <f>IF(B734="","",IF(Settings!$C$5="Yes",0,K734*Settings!$C$17))</f>
        <v/>
      </c>
      <c r="M734" s="21">
        <f>IF(B734="","",E734*IFERROR(VLOOKUP(D734,Products!$B$5:$F$204,5,FALSE),0))</f>
        <v/>
      </c>
      <c r="N734" s="21">
        <f>IF(B734="","",J734-K734-L734-M734-I734)</f>
        <v/>
      </c>
    </row>
    <row r="735">
      <c r="B735" s="11" t="n"/>
      <c r="C735" s="8" t="n"/>
      <c r="D735" s="8" t="n"/>
      <c r="E735" s="8" t="n"/>
      <c r="F735" s="20" t="n"/>
      <c r="G735" s="20" t="n"/>
      <c r="H735" s="8" t="n"/>
      <c r="I735" s="20" t="n"/>
      <c r="J735" s="21">
        <f>IF(B735="","",F735+G735)</f>
        <v/>
      </c>
      <c r="K735" s="21">
        <f>IF(B735="","",J735*(Settings!$C$11+Settings!$C$12+Settings!$C$14)+IF(C735="",Settings!$C$13,IF(COUNTIF($C$5:C735,C735)=1,Settings!$C$13,0))+E735*Settings!$C$15+IF(H735="Yes",J735*Settings!$C$16,0))</f>
        <v/>
      </c>
      <c r="L735" s="21">
        <f>IF(B735="","",IF(Settings!$C$5="Yes",0,K735*Settings!$C$17))</f>
        <v/>
      </c>
      <c r="M735" s="21">
        <f>IF(B735="","",E735*IFERROR(VLOOKUP(D735,Products!$B$5:$F$204,5,FALSE),0))</f>
        <v/>
      </c>
      <c r="N735" s="21">
        <f>IF(B735="","",J735-K735-L735-M735-I735)</f>
        <v/>
      </c>
    </row>
    <row r="736">
      <c r="B736" s="11" t="n"/>
      <c r="C736" s="8" t="n"/>
      <c r="D736" s="8" t="n"/>
      <c r="E736" s="8" t="n"/>
      <c r="F736" s="20" t="n"/>
      <c r="G736" s="20" t="n"/>
      <c r="H736" s="8" t="n"/>
      <c r="I736" s="20" t="n"/>
      <c r="J736" s="21">
        <f>IF(B736="","",F736+G736)</f>
        <v/>
      </c>
      <c r="K736" s="21">
        <f>IF(B736="","",J736*(Settings!$C$11+Settings!$C$12+Settings!$C$14)+IF(C736="",Settings!$C$13,IF(COUNTIF($C$5:C736,C736)=1,Settings!$C$13,0))+E736*Settings!$C$15+IF(H736="Yes",J736*Settings!$C$16,0))</f>
        <v/>
      </c>
      <c r="L736" s="21">
        <f>IF(B736="","",IF(Settings!$C$5="Yes",0,K736*Settings!$C$17))</f>
        <v/>
      </c>
      <c r="M736" s="21">
        <f>IF(B736="","",E736*IFERROR(VLOOKUP(D736,Products!$B$5:$F$204,5,FALSE),0))</f>
        <v/>
      </c>
      <c r="N736" s="21">
        <f>IF(B736="","",J736-K736-L736-M736-I736)</f>
        <v/>
      </c>
    </row>
    <row r="737">
      <c r="B737" s="11" t="n"/>
      <c r="C737" s="8" t="n"/>
      <c r="D737" s="8" t="n"/>
      <c r="E737" s="8" t="n"/>
      <c r="F737" s="20" t="n"/>
      <c r="G737" s="20" t="n"/>
      <c r="H737" s="8" t="n"/>
      <c r="I737" s="20" t="n"/>
      <c r="J737" s="21">
        <f>IF(B737="","",F737+G737)</f>
        <v/>
      </c>
      <c r="K737" s="21">
        <f>IF(B737="","",J737*(Settings!$C$11+Settings!$C$12+Settings!$C$14)+IF(C737="",Settings!$C$13,IF(COUNTIF($C$5:C737,C737)=1,Settings!$C$13,0))+E737*Settings!$C$15+IF(H737="Yes",J737*Settings!$C$16,0))</f>
        <v/>
      </c>
      <c r="L737" s="21">
        <f>IF(B737="","",IF(Settings!$C$5="Yes",0,K737*Settings!$C$17))</f>
        <v/>
      </c>
      <c r="M737" s="21">
        <f>IF(B737="","",E737*IFERROR(VLOOKUP(D737,Products!$B$5:$F$204,5,FALSE),0))</f>
        <v/>
      </c>
      <c r="N737" s="21">
        <f>IF(B737="","",J737-K737-L737-M737-I737)</f>
        <v/>
      </c>
    </row>
    <row r="738">
      <c r="B738" s="11" t="n"/>
      <c r="C738" s="8" t="n"/>
      <c r="D738" s="8" t="n"/>
      <c r="E738" s="8" t="n"/>
      <c r="F738" s="20" t="n"/>
      <c r="G738" s="20" t="n"/>
      <c r="H738" s="8" t="n"/>
      <c r="I738" s="20" t="n"/>
      <c r="J738" s="21">
        <f>IF(B738="","",F738+G738)</f>
        <v/>
      </c>
      <c r="K738" s="21">
        <f>IF(B738="","",J738*(Settings!$C$11+Settings!$C$12+Settings!$C$14)+IF(C738="",Settings!$C$13,IF(COUNTIF($C$5:C738,C738)=1,Settings!$C$13,0))+E738*Settings!$C$15+IF(H738="Yes",J738*Settings!$C$16,0))</f>
        <v/>
      </c>
      <c r="L738" s="21">
        <f>IF(B738="","",IF(Settings!$C$5="Yes",0,K738*Settings!$C$17))</f>
        <v/>
      </c>
      <c r="M738" s="21">
        <f>IF(B738="","",E738*IFERROR(VLOOKUP(D738,Products!$B$5:$F$204,5,FALSE),0))</f>
        <v/>
      </c>
      <c r="N738" s="21">
        <f>IF(B738="","",J738-K738-L738-M738-I738)</f>
        <v/>
      </c>
    </row>
    <row r="739">
      <c r="B739" s="11" t="n"/>
      <c r="C739" s="8" t="n"/>
      <c r="D739" s="8" t="n"/>
      <c r="E739" s="8" t="n"/>
      <c r="F739" s="20" t="n"/>
      <c r="G739" s="20" t="n"/>
      <c r="H739" s="8" t="n"/>
      <c r="I739" s="20" t="n"/>
      <c r="J739" s="21">
        <f>IF(B739="","",F739+G739)</f>
        <v/>
      </c>
      <c r="K739" s="21">
        <f>IF(B739="","",J739*(Settings!$C$11+Settings!$C$12+Settings!$C$14)+IF(C739="",Settings!$C$13,IF(COUNTIF($C$5:C739,C739)=1,Settings!$C$13,0))+E739*Settings!$C$15+IF(H739="Yes",J739*Settings!$C$16,0))</f>
        <v/>
      </c>
      <c r="L739" s="21">
        <f>IF(B739="","",IF(Settings!$C$5="Yes",0,K739*Settings!$C$17))</f>
        <v/>
      </c>
      <c r="M739" s="21">
        <f>IF(B739="","",E739*IFERROR(VLOOKUP(D739,Products!$B$5:$F$204,5,FALSE),0))</f>
        <v/>
      </c>
      <c r="N739" s="21">
        <f>IF(B739="","",J739-K739-L739-M739-I739)</f>
        <v/>
      </c>
    </row>
    <row r="740">
      <c r="B740" s="11" t="n"/>
      <c r="C740" s="8" t="n"/>
      <c r="D740" s="8" t="n"/>
      <c r="E740" s="8" t="n"/>
      <c r="F740" s="20" t="n"/>
      <c r="G740" s="20" t="n"/>
      <c r="H740" s="8" t="n"/>
      <c r="I740" s="20" t="n"/>
      <c r="J740" s="21">
        <f>IF(B740="","",F740+G740)</f>
        <v/>
      </c>
      <c r="K740" s="21">
        <f>IF(B740="","",J740*(Settings!$C$11+Settings!$C$12+Settings!$C$14)+IF(C740="",Settings!$C$13,IF(COUNTIF($C$5:C740,C740)=1,Settings!$C$13,0))+E740*Settings!$C$15+IF(H740="Yes",J740*Settings!$C$16,0))</f>
        <v/>
      </c>
      <c r="L740" s="21">
        <f>IF(B740="","",IF(Settings!$C$5="Yes",0,K740*Settings!$C$17))</f>
        <v/>
      </c>
      <c r="M740" s="21">
        <f>IF(B740="","",E740*IFERROR(VLOOKUP(D740,Products!$B$5:$F$204,5,FALSE),0))</f>
        <v/>
      </c>
      <c r="N740" s="21">
        <f>IF(B740="","",J740-K740-L740-M740-I740)</f>
        <v/>
      </c>
    </row>
    <row r="741">
      <c r="B741" s="11" t="n"/>
      <c r="C741" s="8" t="n"/>
      <c r="D741" s="8" t="n"/>
      <c r="E741" s="8" t="n"/>
      <c r="F741" s="20" t="n"/>
      <c r="G741" s="20" t="n"/>
      <c r="H741" s="8" t="n"/>
      <c r="I741" s="20" t="n"/>
      <c r="J741" s="21">
        <f>IF(B741="","",F741+G741)</f>
        <v/>
      </c>
      <c r="K741" s="21">
        <f>IF(B741="","",J741*(Settings!$C$11+Settings!$C$12+Settings!$C$14)+IF(C741="",Settings!$C$13,IF(COUNTIF($C$5:C741,C741)=1,Settings!$C$13,0))+E741*Settings!$C$15+IF(H741="Yes",J741*Settings!$C$16,0))</f>
        <v/>
      </c>
      <c r="L741" s="21">
        <f>IF(B741="","",IF(Settings!$C$5="Yes",0,K741*Settings!$C$17))</f>
        <v/>
      </c>
      <c r="M741" s="21">
        <f>IF(B741="","",E741*IFERROR(VLOOKUP(D741,Products!$B$5:$F$204,5,FALSE),0))</f>
        <v/>
      </c>
      <c r="N741" s="21">
        <f>IF(B741="","",J741-K741-L741-M741-I741)</f>
        <v/>
      </c>
    </row>
    <row r="742">
      <c r="B742" s="11" t="n"/>
      <c r="C742" s="8" t="n"/>
      <c r="D742" s="8" t="n"/>
      <c r="E742" s="8" t="n"/>
      <c r="F742" s="20" t="n"/>
      <c r="G742" s="20" t="n"/>
      <c r="H742" s="8" t="n"/>
      <c r="I742" s="20" t="n"/>
      <c r="J742" s="21">
        <f>IF(B742="","",F742+G742)</f>
        <v/>
      </c>
      <c r="K742" s="21">
        <f>IF(B742="","",J742*(Settings!$C$11+Settings!$C$12+Settings!$C$14)+IF(C742="",Settings!$C$13,IF(COUNTIF($C$5:C742,C742)=1,Settings!$C$13,0))+E742*Settings!$C$15+IF(H742="Yes",J742*Settings!$C$16,0))</f>
        <v/>
      </c>
      <c r="L742" s="21">
        <f>IF(B742="","",IF(Settings!$C$5="Yes",0,K742*Settings!$C$17))</f>
        <v/>
      </c>
      <c r="M742" s="21">
        <f>IF(B742="","",E742*IFERROR(VLOOKUP(D742,Products!$B$5:$F$204,5,FALSE),0))</f>
        <v/>
      </c>
      <c r="N742" s="21">
        <f>IF(B742="","",J742-K742-L742-M742-I742)</f>
        <v/>
      </c>
    </row>
    <row r="743">
      <c r="B743" s="11" t="n"/>
      <c r="C743" s="8" t="n"/>
      <c r="D743" s="8" t="n"/>
      <c r="E743" s="8" t="n"/>
      <c r="F743" s="20" t="n"/>
      <c r="G743" s="20" t="n"/>
      <c r="H743" s="8" t="n"/>
      <c r="I743" s="20" t="n"/>
      <c r="J743" s="21">
        <f>IF(B743="","",F743+G743)</f>
        <v/>
      </c>
      <c r="K743" s="21">
        <f>IF(B743="","",J743*(Settings!$C$11+Settings!$C$12+Settings!$C$14)+IF(C743="",Settings!$C$13,IF(COUNTIF($C$5:C743,C743)=1,Settings!$C$13,0))+E743*Settings!$C$15+IF(H743="Yes",J743*Settings!$C$16,0))</f>
        <v/>
      </c>
      <c r="L743" s="21">
        <f>IF(B743="","",IF(Settings!$C$5="Yes",0,K743*Settings!$C$17))</f>
        <v/>
      </c>
      <c r="M743" s="21">
        <f>IF(B743="","",E743*IFERROR(VLOOKUP(D743,Products!$B$5:$F$204,5,FALSE),0))</f>
        <v/>
      </c>
      <c r="N743" s="21">
        <f>IF(B743="","",J743-K743-L743-M743-I743)</f>
        <v/>
      </c>
    </row>
    <row r="744">
      <c r="B744" s="11" t="n"/>
      <c r="C744" s="8" t="n"/>
      <c r="D744" s="8" t="n"/>
      <c r="E744" s="8" t="n"/>
      <c r="F744" s="20" t="n"/>
      <c r="G744" s="20" t="n"/>
      <c r="H744" s="8" t="n"/>
      <c r="I744" s="20" t="n"/>
      <c r="J744" s="21">
        <f>IF(B744="","",F744+G744)</f>
        <v/>
      </c>
      <c r="K744" s="21">
        <f>IF(B744="","",J744*(Settings!$C$11+Settings!$C$12+Settings!$C$14)+IF(C744="",Settings!$C$13,IF(COUNTIF($C$5:C744,C744)=1,Settings!$C$13,0))+E744*Settings!$C$15+IF(H744="Yes",J744*Settings!$C$16,0))</f>
        <v/>
      </c>
      <c r="L744" s="21">
        <f>IF(B744="","",IF(Settings!$C$5="Yes",0,K744*Settings!$C$17))</f>
        <v/>
      </c>
      <c r="M744" s="21">
        <f>IF(B744="","",E744*IFERROR(VLOOKUP(D744,Products!$B$5:$F$204,5,FALSE),0))</f>
        <v/>
      </c>
      <c r="N744" s="21">
        <f>IF(B744="","",J744-K744-L744-M744-I744)</f>
        <v/>
      </c>
    </row>
    <row r="745">
      <c r="B745" s="11" t="n"/>
      <c r="C745" s="8" t="n"/>
      <c r="D745" s="8" t="n"/>
      <c r="E745" s="8" t="n"/>
      <c r="F745" s="20" t="n"/>
      <c r="G745" s="20" t="n"/>
      <c r="H745" s="8" t="n"/>
      <c r="I745" s="20" t="n"/>
      <c r="J745" s="21">
        <f>IF(B745="","",F745+G745)</f>
        <v/>
      </c>
      <c r="K745" s="21">
        <f>IF(B745="","",J745*(Settings!$C$11+Settings!$C$12+Settings!$C$14)+IF(C745="",Settings!$C$13,IF(COUNTIF($C$5:C745,C745)=1,Settings!$C$13,0))+E745*Settings!$C$15+IF(H745="Yes",J745*Settings!$C$16,0))</f>
        <v/>
      </c>
      <c r="L745" s="21">
        <f>IF(B745="","",IF(Settings!$C$5="Yes",0,K745*Settings!$C$17))</f>
        <v/>
      </c>
      <c r="M745" s="21">
        <f>IF(B745="","",E745*IFERROR(VLOOKUP(D745,Products!$B$5:$F$204,5,FALSE),0))</f>
        <v/>
      </c>
      <c r="N745" s="21">
        <f>IF(B745="","",J745-K745-L745-M745-I745)</f>
        <v/>
      </c>
    </row>
    <row r="746">
      <c r="B746" s="11" t="n"/>
      <c r="C746" s="8" t="n"/>
      <c r="D746" s="8" t="n"/>
      <c r="E746" s="8" t="n"/>
      <c r="F746" s="20" t="n"/>
      <c r="G746" s="20" t="n"/>
      <c r="H746" s="8" t="n"/>
      <c r="I746" s="20" t="n"/>
      <c r="J746" s="21">
        <f>IF(B746="","",F746+G746)</f>
        <v/>
      </c>
      <c r="K746" s="21">
        <f>IF(B746="","",J746*(Settings!$C$11+Settings!$C$12+Settings!$C$14)+IF(C746="",Settings!$C$13,IF(COUNTIF($C$5:C746,C746)=1,Settings!$C$13,0))+E746*Settings!$C$15+IF(H746="Yes",J746*Settings!$C$16,0))</f>
        <v/>
      </c>
      <c r="L746" s="21">
        <f>IF(B746="","",IF(Settings!$C$5="Yes",0,K746*Settings!$C$17))</f>
        <v/>
      </c>
      <c r="M746" s="21">
        <f>IF(B746="","",E746*IFERROR(VLOOKUP(D746,Products!$B$5:$F$204,5,FALSE),0))</f>
        <v/>
      </c>
      <c r="N746" s="21">
        <f>IF(B746="","",J746-K746-L746-M746-I746)</f>
        <v/>
      </c>
    </row>
    <row r="747">
      <c r="B747" s="11" t="n"/>
      <c r="C747" s="8" t="n"/>
      <c r="D747" s="8" t="n"/>
      <c r="E747" s="8" t="n"/>
      <c r="F747" s="20" t="n"/>
      <c r="G747" s="20" t="n"/>
      <c r="H747" s="8" t="n"/>
      <c r="I747" s="20" t="n"/>
      <c r="J747" s="21">
        <f>IF(B747="","",F747+G747)</f>
        <v/>
      </c>
      <c r="K747" s="21">
        <f>IF(B747="","",J747*(Settings!$C$11+Settings!$C$12+Settings!$C$14)+IF(C747="",Settings!$C$13,IF(COUNTIF($C$5:C747,C747)=1,Settings!$C$13,0))+E747*Settings!$C$15+IF(H747="Yes",J747*Settings!$C$16,0))</f>
        <v/>
      </c>
      <c r="L747" s="21">
        <f>IF(B747="","",IF(Settings!$C$5="Yes",0,K747*Settings!$C$17))</f>
        <v/>
      </c>
      <c r="M747" s="21">
        <f>IF(B747="","",E747*IFERROR(VLOOKUP(D747,Products!$B$5:$F$204,5,FALSE),0))</f>
        <v/>
      </c>
      <c r="N747" s="21">
        <f>IF(B747="","",J747-K747-L747-M747-I747)</f>
        <v/>
      </c>
    </row>
    <row r="748">
      <c r="B748" s="11" t="n"/>
      <c r="C748" s="8" t="n"/>
      <c r="D748" s="8" t="n"/>
      <c r="E748" s="8" t="n"/>
      <c r="F748" s="20" t="n"/>
      <c r="G748" s="20" t="n"/>
      <c r="H748" s="8" t="n"/>
      <c r="I748" s="20" t="n"/>
      <c r="J748" s="21">
        <f>IF(B748="","",F748+G748)</f>
        <v/>
      </c>
      <c r="K748" s="21">
        <f>IF(B748="","",J748*(Settings!$C$11+Settings!$C$12+Settings!$C$14)+IF(C748="",Settings!$C$13,IF(COUNTIF($C$5:C748,C748)=1,Settings!$C$13,0))+E748*Settings!$C$15+IF(H748="Yes",J748*Settings!$C$16,0))</f>
        <v/>
      </c>
      <c r="L748" s="21">
        <f>IF(B748="","",IF(Settings!$C$5="Yes",0,K748*Settings!$C$17))</f>
        <v/>
      </c>
      <c r="M748" s="21">
        <f>IF(B748="","",E748*IFERROR(VLOOKUP(D748,Products!$B$5:$F$204,5,FALSE),0))</f>
        <v/>
      </c>
      <c r="N748" s="21">
        <f>IF(B748="","",J748-K748-L748-M748-I748)</f>
        <v/>
      </c>
    </row>
    <row r="749">
      <c r="B749" s="11" t="n"/>
      <c r="C749" s="8" t="n"/>
      <c r="D749" s="8" t="n"/>
      <c r="E749" s="8" t="n"/>
      <c r="F749" s="20" t="n"/>
      <c r="G749" s="20" t="n"/>
      <c r="H749" s="8" t="n"/>
      <c r="I749" s="20" t="n"/>
      <c r="J749" s="21">
        <f>IF(B749="","",F749+G749)</f>
        <v/>
      </c>
      <c r="K749" s="21">
        <f>IF(B749="","",J749*(Settings!$C$11+Settings!$C$12+Settings!$C$14)+IF(C749="",Settings!$C$13,IF(COUNTIF($C$5:C749,C749)=1,Settings!$C$13,0))+E749*Settings!$C$15+IF(H749="Yes",J749*Settings!$C$16,0))</f>
        <v/>
      </c>
      <c r="L749" s="21">
        <f>IF(B749="","",IF(Settings!$C$5="Yes",0,K749*Settings!$C$17))</f>
        <v/>
      </c>
      <c r="M749" s="21">
        <f>IF(B749="","",E749*IFERROR(VLOOKUP(D749,Products!$B$5:$F$204,5,FALSE),0))</f>
        <v/>
      </c>
      <c r="N749" s="21">
        <f>IF(B749="","",J749-K749-L749-M749-I749)</f>
        <v/>
      </c>
    </row>
    <row r="750">
      <c r="B750" s="11" t="n"/>
      <c r="C750" s="8" t="n"/>
      <c r="D750" s="8" t="n"/>
      <c r="E750" s="8" t="n"/>
      <c r="F750" s="20" t="n"/>
      <c r="G750" s="20" t="n"/>
      <c r="H750" s="8" t="n"/>
      <c r="I750" s="20" t="n"/>
      <c r="J750" s="21">
        <f>IF(B750="","",F750+G750)</f>
        <v/>
      </c>
      <c r="K750" s="21">
        <f>IF(B750="","",J750*(Settings!$C$11+Settings!$C$12+Settings!$C$14)+IF(C750="",Settings!$C$13,IF(COUNTIF($C$5:C750,C750)=1,Settings!$C$13,0))+E750*Settings!$C$15+IF(H750="Yes",J750*Settings!$C$16,0))</f>
        <v/>
      </c>
      <c r="L750" s="21">
        <f>IF(B750="","",IF(Settings!$C$5="Yes",0,K750*Settings!$C$17))</f>
        <v/>
      </c>
      <c r="M750" s="21">
        <f>IF(B750="","",E750*IFERROR(VLOOKUP(D750,Products!$B$5:$F$204,5,FALSE),0))</f>
        <v/>
      </c>
      <c r="N750" s="21">
        <f>IF(B750="","",J750-K750-L750-M750-I750)</f>
        <v/>
      </c>
    </row>
    <row r="751">
      <c r="B751" s="11" t="n"/>
      <c r="C751" s="8" t="n"/>
      <c r="D751" s="8" t="n"/>
      <c r="E751" s="8" t="n"/>
      <c r="F751" s="20" t="n"/>
      <c r="G751" s="20" t="n"/>
      <c r="H751" s="8" t="n"/>
      <c r="I751" s="20" t="n"/>
      <c r="J751" s="21">
        <f>IF(B751="","",F751+G751)</f>
        <v/>
      </c>
      <c r="K751" s="21">
        <f>IF(B751="","",J751*(Settings!$C$11+Settings!$C$12+Settings!$C$14)+IF(C751="",Settings!$C$13,IF(COUNTIF($C$5:C751,C751)=1,Settings!$C$13,0))+E751*Settings!$C$15+IF(H751="Yes",J751*Settings!$C$16,0))</f>
        <v/>
      </c>
      <c r="L751" s="21">
        <f>IF(B751="","",IF(Settings!$C$5="Yes",0,K751*Settings!$C$17))</f>
        <v/>
      </c>
      <c r="M751" s="21">
        <f>IF(B751="","",E751*IFERROR(VLOOKUP(D751,Products!$B$5:$F$204,5,FALSE),0))</f>
        <v/>
      </c>
      <c r="N751" s="21">
        <f>IF(B751="","",J751-K751-L751-M751-I751)</f>
        <v/>
      </c>
    </row>
    <row r="752">
      <c r="B752" s="11" t="n"/>
      <c r="C752" s="8" t="n"/>
      <c r="D752" s="8" t="n"/>
      <c r="E752" s="8" t="n"/>
      <c r="F752" s="20" t="n"/>
      <c r="G752" s="20" t="n"/>
      <c r="H752" s="8" t="n"/>
      <c r="I752" s="20" t="n"/>
      <c r="J752" s="21">
        <f>IF(B752="","",F752+G752)</f>
        <v/>
      </c>
      <c r="K752" s="21">
        <f>IF(B752="","",J752*(Settings!$C$11+Settings!$C$12+Settings!$C$14)+IF(C752="",Settings!$C$13,IF(COUNTIF($C$5:C752,C752)=1,Settings!$C$13,0))+E752*Settings!$C$15+IF(H752="Yes",J752*Settings!$C$16,0))</f>
        <v/>
      </c>
      <c r="L752" s="21">
        <f>IF(B752="","",IF(Settings!$C$5="Yes",0,K752*Settings!$C$17))</f>
        <v/>
      </c>
      <c r="M752" s="21">
        <f>IF(B752="","",E752*IFERROR(VLOOKUP(D752,Products!$B$5:$F$204,5,FALSE),0))</f>
        <v/>
      </c>
      <c r="N752" s="21">
        <f>IF(B752="","",J752-K752-L752-M752-I752)</f>
        <v/>
      </c>
    </row>
    <row r="753">
      <c r="B753" s="11" t="n"/>
      <c r="C753" s="8" t="n"/>
      <c r="D753" s="8" t="n"/>
      <c r="E753" s="8" t="n"/>
      <c r="F753" s="20" t="n"/>
      <c r="G753" s="20" t="n"/>
      <c r="H753" s="8" t="n"/>
      <c r="I753" s="20" t="n"/>
      <c r="J753" s="21">
        <f>IF(B753="","",F753+G753)</f>
        <v/>
      </c>
      <c r="K753" s="21">
        <f>IF(B753="","",J753*(Settings!$C$11+Settings!$C$12+Settings!$C$14)+IF(C753="",Settings!$C$13,IF(COUNTIF($C$5:C753,C753)=1,Settings!$C$13,0))+E753*Settings!$C$15+IF(H753="Yes",J753*Settings!$C$16,0))</f>
        <v/>
      </c>
      <c r="L753" s="21">
        <f>IF(B753="","",IF(Settings!$C$5="Yes",0,K753*Settings!$C$17))</f>
        <v/>
      </c>
      <c r="M753" s="21">
        <f>IF(B753="","",E753*IFERROR(VLOOKUP(D753,Products!$B$5:$F$204,5,FALSE),0))</f>
        <v/>
      </c>
      <c r="N753" s="21">
        <f>IF(B753="","",J753-K753-L753-M753-I753)</f>
        <v/>
      </c>
    </row>
    <row r="754">
      <c r="B754" s="11" t="n"/>
      <c r="C754" s="8" t="n"/>
      <c r="D754" s="8" t="n"/>
      <c r="E754" s="8" t="n"/>
      <c r="F754" s="20" t="n"/>
      <c r="G754" s="20" t="n"/>
      <c r="H754" s="8" t="n"/>
      <c r="I754" s="20" t="n"/>
      <c r="J754" s="21">
        <f>IF(B754="","",F754+G754)</f>
        <v/>
      </c>
      <c r="K754" s="21">
        <f>IF(B754="","",J754*(Settings!$C$11+Settings!$C$12+Settings!$C$14)+IF(C754="",Settings!$C$13,IF(COUNTIF($C$5:C754,C754)=1,Settings!$C$13,0))+E754*Settings!$C$15+IF(H754="Yes",J754*Settings!$C$16,0))</f>
        <v/>
      </c>
      <c r="L754" s="21">
        <f>IF(B754="","",IF(Settings!$C$5="Yes",0,K754*Settings!$C$17))</f>
        <v/>
      </c>
      <c r="M754" s="21">
        <f>IF(B754="","",E754*IFERROR(VLOOKUP(D754,Products!$B$5:$F$204,5,FALSE),0))</f>
        <v/>
      </c>
      <c r="N754" s="21">
        <f>IF(B754="","",J754-K754-L754-M754-I754)</f>
        <v/>
      </c>
    </row>
    <row r="755">
      <c r="B755" s="11" t="n"/>
      <c r="C755" s="8" t="n"/>
      <c r="D755" s="8" t="n"/>
      <c r="E755" s="8" t="n"/>
      <c r="F755" s="20" t="n"/>
      <c r="G755" s="20" t="n"/>
      <c r="H755" s="8" t="n"/>
      <c r="I755" s="20" t="n"/>
      <c r="J755" s="21">
        <f>IF(B755="","",F755+G755)</f>
        <v/>
      </c>
      <c r="K755" s="21">
        <f>IF(B755="","",J755*(Settings!$C$11+Settings!$C$12+Settings!$C$14)+IF(C755="",Settings!$C$13,IF(COUNTIF($C$5:C755,C755)=1,Settings!$C$13,0))+E755*Settings!$C$15+IF(H755="Yes",J755*Settings!$C$16,0))</f>
        <v/>
      </c>
      <c r="L755" s="21">
        <f>IF(B755="","",IF(Settings!$C$5="Yes",0,K755*Settings!$C$17))</f>
        <v/>
      </c>
      <c r="M755" s="21">
        <f>IF(B755="","",E755*IFERROR(VLOOKUP(D755,Products!$B$5:$F$204,5,FALSE),0))</f>
        <v/>
      </c>
      <c r="N755" s="21">
        <f>IF(B755="","",J755-K755-L755-M755-I755)</f>
        <v/>
      </c>
    </row>
    <row r="756">
      <c r="B756" s="11" t="n"/>
      <c r="C756" s="8" t="n"/>
      <c r="D756" s="8" t="n"/>
      <c r="E756" s="8" t="n"/>
      <c r="F756" s="20" t="n"/>
      <c r="G756" s="20" t="n"/>
      <c r="H756" s="8" t="n"/>
      <c r="I756" s="20" t="n"/>
      <c r="J756" s="21">
        <f>IF(B756="","",F756+G756)</f>
        <v/>
      </c>
      <c r="K756" s="21">
        <f>IF(B756="","",J756*(Settings!$C$11+Settings!$C$12+Settings!$C$14)+IF(C756="",Settings!$C$13,IF(COUNTIF($C$5:C756,C756)=1,Settings!$C$13,0))+E756*Settings!$C$15+IF(H756="Yes",J756*Settings!$C$16,0))</f>
        <v/>
      </c>
      <c r="L756" s="21">
        <f>IF(B756="","",IF(Settings!$C$5="Yes",0,K756*Settings!$C$17))</f>
        <v/>
      </c>
      <c r="M756" s="21">
        <f>IF(B756="","",E756*IFERROR(VLOOKUP(D756,Products!$B$5:$F$204,5,FALSE),0))</f>
        <v/>
      </c>
      <c r="N756" s="21">
        <f>IF(B756="","",J756-K756-L756-M756-I756)</f>
        <v/>
      </c>
    </row>
    <row r="757">
      <c r="B757" s="11" t="n"/>
      <c r="C757" s="8" t="n"/>
      <c r="D757" s="8" t="n"/>
      <c r="E757" s="8" t="n"/>
      <c r="F757" s="20" t="n"/>
      <c r="G757" s="20" t="n"/>
      <c r="H757" s="8" t="n"/>
      <c r="I757" s="20" t="n"/>
      <c r="J757" s="21">
        <f>IF(B757="","",F757+G757)</f>
        <v/>
      </c>
      <c r="K757" s="21">
        <f>IF(B757="","",J757*(Settings!$C$11+Settings!$C$12+Settings!$C$14)+IF(C757="",Settings!$C$13,IF(COUNTIF($C$5:C757,C757)=1,Settings!$C$13,0))+E757*Settings!$C$15+IF(H757="Yes",J757*Settings!$C$16,0))</f>
        <v/>
      </c>
      <c r="L757" s="21">
        <f>IF(B757="","",IF(Settings!$C$5="Yes",0,K757*Settings!$C$17))</f>
        <v/>
      </c>
      <c r="M757" s="21">
        <f>IF(B757="","",E757*IFERROR(VLOOKUP(D757,Products!$B$5:$F$204,5,FALSE),0))</f>
        <v/>
      </c>
      <c r="N757" s="21">
        <f>IF(B757="","",J757-K757-L757-M757-I757)</f>
        <v/>
      </c>
    </row>
    <row r="758">
      <c r="B758" s="11" t="n"/>
      <c r="C758" s="8" t="n"/>
      <c r="D758" s="8" t="n"/>
      <c r="E758" s="8" t="n"/>
      <c r="F758" s="20" t="n"/>
      <c r="G758" s="20" t="n"/>
      <c r="H758" s="8" t="n"/>
      <c r="I758" s="20" t="n"/>
      <c r="J758" s="21">
        <f>IF(B758="","",F758+G758)</f>
        <v/>
      </c>
      <c r="K758" s="21">
        <f>IF(B758="","",J758*(Settings!$C$11+Settings!$C$12+Settings!$C$14)+IF(C758="",Settings!$C$13,IF(COUNTIF($C$5:C758,C758)=1,Settings!$C$13,0))+E758*Settings!$C$15+IF(H758="Yes",J758*Settings!$C$16,0))</f>
        <v/>
      </c>
      <c r="L758" s="21">
        <f>IF(B758="","",IF(Settings!$C$5="Yes",0,K758*Settings!$C$17))</f>
        <v/>
      </c>
      <c r="M758" s="21">
        <f>IF(B758="","",E758*IFERROR(VLOOKUP(D758,Products!$B$5:$F$204,5,FALSE),0))</f>
        <v/>
      </c>
      <c r="N758" s="21">
        <f>IF(B758="","",J758-K758-L758-M758-I758)</f>
        <v/>
      </c>
    </row>
    <row r="759">
      <c r="B759" s="11" t="n"/>
      <c r="C759" s="8" t="n"/>
      <c r="D759" s="8" t="n"/>
      <c r="E759" s="8" t="n"/>
      <c r="F759" s="20" t="n"/>
      <c r="G759" s="20" t="n"/>
      <c r="H759" s="8" t="n"/>
      <c r="I759" s="20" t="n"/>
      <c r="J759" s="21">
        <f>IF(B759="","",F759+G759)</f>
        <v/>
      </c>
      <c r="K759" s="21">
        <f>IF(B759="","",J759*(Settings!$C$11+Settings!$C$12+Settings!$C$14)+IF(C759="",Settings!$C$13,IF(COUNTIF($C$5:C759,C759)=1,Settings!$C$13,0))+E759*Settings!$C$15+IF(H759="Yes",J759*Settings!$C$16,0))</f>
        <v/>
      </c>
      <c r="L759" s="21">
        <f>IF(B759="","",IF(Settings!$C$5="Yes",0,K759*Settings!$C$17))</f>
        <v/>
      </c>
      <c r="M759" s="21">
        <f>IF(B759="","",E759*IFERROR(VLOOKUP(D759,Products!$B$5:$F$204,5,FALSE),0))</f>
        <v/>
      </c>
      <c r="N759" s="21">
        <f>IF(B759="","",J759-K759-L759-M759-I759)</f>
        <v/>
      </c>
    </row>
    <row r="760">
      <c r="B760" s="11" t="n"/>
      <c r="C760" s="8" t="n"/>
      <c r="D760" s="8" t="n"/>
      <c r="E760" s="8" t="n"/>
      <c r="F760" s="20" t="n"/>
      <c r="G760" s="20" t="n"/>
      <c r="H760" s="8" t="n"/>
      <c r="I760" s="20" t="n"/>
      <c r="J760" s="21">
        <f>IF(B760="","",F760+G760)</f>
        <v/>
      </c>
      <c r="K760" s="21">
        <f>IF(B760="","",J760*(Settings!$C$11+Settings!$C$12+Settings!$C$14)+IF(C760="",Settings!$C$13,IF(COUNTIF($C$5:C760,C760)=1,Settings!$C$13,0))+E760*Settings!$C$15+IF(H760="Yes",J760*Settings!$C$16,0))</f>
        <v/>
      </c>
      <c r="L760" s="21">
        <f>IF(B760="","",IF(Settings!$C$5="Yes",0,K760*Settings!$C$17))</f>
        <v/>
      </c>
      <c r="M760" s="21">
        <f>IF(B760="","",E760*IFERROR(VLOOKUP(D760,Products!$B$5:$F$204,5,FALSE),0))</f>
        <v/>
      </c>
      <c r="N760" s="21">
        <f>IF(B760="","",J760-K760-L760-M760-I760)</f>
        <v/>
      </c>
    </row>
    <row r="761">
      <c r="B761" s="11" t="n"/>
      <c r="C761" s="8" t="n"/>
      <c r="D761" s="8" t="n"/>
      <c r="E761" s="8" t="n"/>
      <c r="F761" s="20" t="n"/>
      <c r="G761" s="20" t="n"/>
      <c r="H761" s="8" t="n"/>
      <c r="I761" s="20" t="n"/>
      <c r="J761" s="21">
        <f>IF(B761="","",F761+G761)</f>
        <v/>
      </c>
      <c r="K761" s="21">
        <f>IF(B761="","",J761*(Settings!$C$11+Settings!$C$12+Settings!$C$14)+IF(C761="",Settings!$C$13,IF(COUNTIF($C$5:C761,C761)=1,Settings!$C$13,0))+E761*Settings!$C$15+IF(H761="Yes",J761*Settings!$C$16,0))</f>
        <v/>
      </c>
      <c r="L761" s="21">
        <f>IF(B761="","",IF(Settings!$C$5="Yes",0,K761*Settings!$C$17))</f>
        <v/>
      </c>
      <c r="M761" s="21">
        <f>IF(B761="","",E761*IFERROR(VLOOKUP(D761,Products!$B$5:$F$204,5,FALSE),0))</f>
        <v/>
      </c>
      <c r="N761" s="21">
        <f>IF(B761="","",J761-K761-L761-M761-I761)</f>
        <v/>
      </c>
    </row>
    <row r="762">
      <c r="B762" s="11" t="n"/>
      <c r="C762" s="8" t="n"/>
      <c r="D762" s="8" t="n"/>
      <c r="E762" s="8" t="n"/>
      <c r="F762" s="20" t="n"/>
      <c r="G762" s="20" t="n"/>
      <c r="H762" s="8" t="n"/>
      <c r="I762" s="20" t="n"/>
      <c r="J762" s="21">
        <f>IF(B762="","",F762+G762)</f>
        <v/>
      </c>
      <c r="K762" s="21">
        <f>IF(B762="","",J762*(Settings!$C$11+Settings!$C$12+Settings!$C$14)+IF(C762="",Settings!$C$13,IF(COUNTIF($C$5:C762,C762)=1,Settings!$C$13,0))+E762*Settings!$C$15+IF(H762="Yes",J762*Settings!$C$16,0))</f>
        <v/>
      </c>
      <c r="L762" s="21">
        <f>IF(B762="","",IF(Settings!$C$5="Yes",0,K762*Settings!$C$17))</f>
        <v/>
      </c>
      <c r="M762" s="21">
        <f>IF(B762="","",E762*IFERROR(VLOOKUP(D762,Products!$B$5:$F$204,5,FALSE),0))</f>
        <v/>
      </c>
      <c r="N762" s="21">
        <f>IF(B762="","",J762-K762-L762-M762-I762)</f>
        <v/>
      </c>
    </row>
    <row r="763">
      <c r="B763" s="11" t="n"/>
      <c r="C763" s="8" t="n"/>
      <c r="D763" s="8" t="n"/>
      <c r="E763" s="8" t="n"/>
      <c r="F763" s="20" t="n"/>
      <c r="G763" s="20" t="n"/>
      <c r="H763" s="8" t="n"/>
      <c r="I763" s="20" t="n"/>
      <c r="J763" s="21">
        <f>IF(B763="","",F763+G763)</f>
        <v/>
      </c>
      <c r="K763" s="21">
        <f>IF(B763="","",J763*(Settings!$C$11+Settings!$C$12+Settings!$C$14)+IF(C763="",Settings!$C$13,IF(COUNTIF($C$5:C763,C763)=1,Settings!$C$13,0))+E763*Settings!$C$15+IF(H763="Yes",J763*Settings!$C$16,0))</f>
        <v/>
      </c>
      <c r="L763" s="21">
        <f>IF(B763="","",IF(Settings!$C$5="Yes",0,K763*Settings!$C$17))</f>
        <v/>
      </c>
      <c r="M763" s="21">
        <f>IF(B763="","",E763*IFERROR(VLOOKUP(D763,Products!$B$5:$F$204,5,FALSE),0))</f>
        <v/>
      </c>
      <c r="N763" s="21">
        <f>IF(B763="","",J763-K763-L763-M763-I763)</f>
        <v/>
      </c>
    </row>
    <row r="764">
      <c r="B764" s="11" t="n"/>
      <c r="C764" s="8" t="n"/>
      <c r="D764" s="8" t="n"/>
      <c r="E764" s="8" t="n"/>
      <c r="F764" s="20" t="n"/>
      <c r="G764" s="20" t="n"/>
      <c r="H764" s="8" t="n"/>
      <c r="I764" s="20" t="n"/>
      <c r="J764" s="21">
        <f>IF(B764="","",F764+G764)</f>
        <v/>
      </c>
      <c r="K764" s="21">
        <f>IF(B764="","",J764*(Settings!$C$11+Settings!$C$12+Settings!$C$14)+IF(C764="",Settings!$C$13,IF(COUNTIF($C$5:C764,C764)=1,Settings!$C$13,0))+E764*Settings!$C$15+IF(H764="Yes",J764*Settings!$C$16,0))</f>
        <v/>
      </c>
      <c r="L764" s="21">
        <f>IF(B764="","",IF(Settings!$C$5="Yes",0,K764*Settings!$C$17))</f>
        <v/>
      </c>
      <c r="M764" s="21">
        <f>IF(B764="","",E764*IFERROR(VLOOKUP(D764,Products!$B$5:$F$204,5,FALSE),0))</f>
        <v/>
      </c>
      <c r="N764" s="21">
        <f>IF(B764="","",J764-K764-L764-M764-I764)</f>
        <v/>
      </c>
    </row>
    <row r="765">
      <c r="B765" s="11" t="n"/>
      <c r="C765" s="8" t="n"/>
      <c r="D765" s="8" t="n"/>
      <c r="E765" s="8" t="n"/>
      <c r="F765" s="20" t="n"/>
      <c r="G765" s="20" t="n"/>
      <c r="H765" s="8" t="n"/>
      <c r="I765" s="20" t="n"/>
      <c r="J765" s="21">
        <f>IF(B765="","",F765+G765)</f>
        <v/>
      </c>
      <c r="K765" s="21">
        <f>IF(B765="","",J765*(Settings!$C$11+Settings!$C$12+Settings!$C$14)+IF(C765="",Settings!$C$13,IF(COUNTIF($C$5:C765,C765)=1,Settings!$C$13,0))+E765*Settings!$C$15+IF(H765="Yes",J765*Settings!$C$16,0))</f>
        <v/>
      </c>
      <c r="L765" s="21">
        <f>IF(B765="","",IF(Settings!$C$5="Yes",0,K765*Settings!$C$17))</f>
        <v/>
      </c>
      <c r="M765" s="21">
        <f>IF(B765="","",E765*IFERROR(VLOOKUP(D765,Products!$B$5:$F$204,5,FALSE),0))</f>
        <v/>
      </c>
      <c r="N765" s="21">
        <f>IF(B765="","",J765-K765-L765-M765-I765)</f>
        <v/>
      </c>
    </row>
    <row r="766">
      <c r="B766" s="11" t="n"/>
      <c r="C766" s="8" t="n"/>
      <c r="D766" s="8" t="n"/>
      <c r="E766" s="8" t="n"/>
      <c r="F766" s="20" t="n"/>
      <c r="G766" s="20" t="n"/>
      <c r="H766" s="8" t="n"/>
      <c r="I766" s="20" t="n"/>
      <c r="J766" s="21">
        <f>IF(B766="","",F766+G766)</f>
        <v/>
      </c>
      <c r="K766" s="21">
        <f>IF(B766="","",J766*(Settings!$C$11+Settings!$C$12+Settings!$C$14)+IF(C766="",Settings!$C$13,IF(COUNTIF($C$5:C766,C766)=1,Settings!$C$13,0))+E766*Settings!$C$15+IF(H766="Yes",J766*Settings!$C$16,0))</f>
        <v/>
      </c>
      <c r="L766" s="21">
        <f>IF(B766="","",IF(Settings!$C$5="Yes",0,K766*Settings!$C$17))</f>
        <v/>
      </c>
      <c r="M766" s="21">
        <f>IF(B766="","",E766*IFERROR(VLOOKUP(D766,Products!$B$5:$F$204,5,FALSE),0))</f>
        <v/>
      </c>
      <c r="N766" s="21">
        <f>IF(B766="","",J766-K766-L766-M766-I766)</f>
        <v/>
      </c>
    </row>
    <row r="767">
      <c r="B767" s="11" t="n"/>
      <c r="C767" s="8" t="n"/>
      <c r="D767" s="8" t="n"/>
      <c r="E767" s="8" t="n"/>
      <c r="F767" s="20" t="n"/>
      <c r="G767" s="20" t="n"/>
      <c r="H767" s="8" t="n"/>
      <c r="I767" s="20" t="n"/>
      <c r="J767" s="21">
        <f>IF(B767="","",F767+G767)</f>
        <v/>
      </c>
      <c r="K767" s="21">
        <f>IF(B767="","",J767*(Settings!$C$11+Settings!$C$12+Settings!$C$14)+IF(C767="",Settings!$C$13,IF(COUNTIF($C$5:C767,C767)=1,Settings!$C$13,0))+E767*Settings!$C$15+IF(H767="Yes",J767*Settings!$C$16,0))</f>
        <v/>
      </c>
      <c r="L767" s="21">
        <f>IF(B767="","",IF(Settings!$C$5="Yes",0,K767*Settings!$C$17))</f>
        <v/>
      </c>
      <c r="M767" s="21">
        <f>IF(B767="","",E767*IFERROR(VLOOKUP(D767,Products!$B$5:$F$204,5,FALSE),0))</f>
        <v/>
      </c>
      <c r="N767" s="21">
        <f>IF(B767="","",J767-K767-L767-M767-I767)</f>
        <v/>
      </c>
    </row>
    <row r="768">
      <c r="B768" s="11" t="n"/>
      <c r="C768" s="8" t="n"/>
      <c r="D768" s="8" t="n"/>
      <c r="E768" s="8" t="n"/>
      <c r="F768" s="20" t="n"/>
      <c r="G768" s="20" t="n"/>
      <c r="H768" s="8" t="n"/>
      <c r="I768" s="20" t="n"/>
      <c r="J768" s="21">
        <f>IF(B768="","",F768+G768)</f>
        <v/>
      </c>
      <c r="K768" s="21">
        <f>IF(B768="","",J768*(Settings!$C$11+Settings!$C$12+Settings!$C$14)+IF(C768="",Settings!$C$13,IF(COUNTIF($C$5:C768,C768)=1,Settings!$C$13,0))+E768*Settings!$C$15+IF(H768="Yes",J768*Settings!$C$16,0))</f>
        <v/>
      </c>
      <c r="L768" s="21">
        <f>IF(B768="","",IF(Settings!$C$5="Yes",0,K768*Settings!$C$17))</f>
        <v/>
      </c>
      <c r="M768" s="21">
        <f>IF(B768="","",E768*IFERROR(VLOOKUP(D768,Products!$B$5:$F$204,5,FALSE),0))</f>
        <v/>
      </c>
      <c r="N768" s="21">
        <f>IF(B768="","",J768-K768-L768-M768-I768)</f>
        <v/>
      </c>
    </row>
    <row r="769">
      <c r="B769" s="11" t="n"/>
      <c r="C769" s="8" t="n"/>
      <c r="D769" s="8" t="n"/>
      <c r="E769" s="8" t="n"/>
      <c r="F769" s="20" t="n"/>
      <c r="G769" s="20" t="n"/>
      <c r="H769" s="8" t="n"/>
      <c r="I769" s="20" t="n"/>
      <c r="J769" s="21">
        <f>IF(B769="","",F769+G769)</f>
        <v/>
      </c>
      <c r="K769" s="21">
        <f>IF(B769="","",J769*(Settings!$C$11+Settings!$C$12+Settings!$C$14)+IF(C769="",Settings!$C$13,IF(COUNTIF($C$5:C769,C769)=1,Settings!$C$13,0))+E769*Settings!$C$15+IF(H769="Yes",J769*Settings!$C$16,0))</f>
        <v/>
      </c>
      <c r="L769" s="21">
        <f>IF(B769="","",IF(Settings!$C$5="Yes",0,K769*Settings!$C$17))</f>
        <v/>
      </c>
      <c r="M769" s="21">
        <f>IF(B769="","",E769*IFERROR(VLOOKUP(D769,Products!$B$5:$F$204,5,FALSE),0))</f>
        <v/>
      </c>
      <c r="N769" s="21">
        <f>IF(B769="","",J769-K769-L769-M769-I769)</f>
        <v/>
      </c>
    </row>
    <row r="770">
      <c r="B770" s="11" t="n"/>
      <c r="C770" s="8" t="n"/>
      <c r="D770" s="8" t="n"/>
      <c r="E770" s="8" t="n"/>
      <c r="F770" s="20" t="n"/>
      <c r="G770" s="20" t="n"/>
      <c r="H770" s="8" t="n"/>
      <c r="I770" s="20" t="n"/>
      <c r="J770" s="21">
        <f>IF(B770="","",F770+G770)</f>
        <v/>
      </c>
      <c r="K770" s="21">
        <f>IF(B770="","",J770*(Settings!$C$11+Settings!$C$12+Settings!$C$14)+IF(C770="",Settings!$C$13,IF(COUNTIF($C$5:C770,C770)=1,Settings!$C$13,0))+E770*Settings!$C$15+IF(H770="Yes",J770*Settings!$C$16,0))</f>
        <v/>
      </c>
      <c r="L770" s="21">
        <f>IF(B770="","",IF(Settings!$C$5="Yes",0,K770*Settings!$C$17))</f>
        <v/>
      </c>
      <c r="M770" s="21">
        <f>IF(B770="","",E770*IFERROR(VLOOKUP(D770,Products!$B$5:$F$204,5,FALSE),0))</f>
        <v/>
      </c>
      <c r="N770" s="21">
        <f>IF(B770="","",J770-K770-L770-M770-I770)</f>
        <v/>
      </c>
    </row>
    <row r="771">
      <c r="B771" s="11" t="n"/>
      <c r="C771" s="8" t="n"/>
      <c r="D771" s="8" t="n"/>
      <c r="E771" s="8" t="n"/>
      <c r="F771" s="20" t="n"/>
      <c r="G771" s="20" t="n"/>
      <c r="H771" s="8" t="n"/>
      <c r="I771" s="20" t="n"/>
      <c r="J771" s="21">
        <f>IF(B771="","",F771+G771)</f>
        <v/>
      </c>
      <c r="K771" s="21">
        <f>IF(B771="","",J771*(Settings!$C$11+Settings!$C$12+Settings!$C$14)+IF(C771="",Settings!$C$13,IF(COUNTIF($C$5:C771,C771)=1,Settings!$C$13,0))+E771*Settings!$C$15+IF(H771="Yes",J771*Settings!$C$16,0))</f>
        <v/>
      </c>
      <c r="L771" s="21">
        <f>IF(B771="","",IF(Settings!$C$5="Yes",0,K771*Settings!$C$17))</f>
        <v/>
      </c>
      <c r="M771" s="21">
        <f>IF(B771="","",E771*IFERROR(VLOOKUP(D771,Products!$B$5:$F$204,5,FALSE),0))</f>
        <v/>
      </c>
      <c r="N771" s="21">
        <f>IF(B771="","",J771-K771-L771-M771-I771)</f>
        <v/>
      </c>
    </row>
    <row r="772">
      <c r="B772" s="11" t="n"/>
      <c r="C772" s="8" t="n"/>
      <c r="D772" s="8" t="n"/>
      <c r="E772" s="8" t="n"/>
      <c r="F772" s="20" t="n"/>
      <c r="G772" s="20" t="n"/>
      <c r="H772" s="8" t="n"/>
      <c r="I772" s="20" t="n"/>
      <c r="J772" s="21">
        <f>IF(B772="","",F772+G772)</f>
        <v/>
      </c>
      <c r="K772" s="21">
        <f>IF(B772="","",J772*(Settings!$C$11+Settings!$C$12+Settings!$C$14)+IF(C772="",Settings!$C$13,IF(COUNTIF($C$5:C772,C772)=1,Settings!$C$13,0))+E772*Settings!$C$15+IF(H772="Yes",J772*Settings!$C$16,0))</f>
        <v/>
      </c>
      <c r="L772" s="21">
        <f>IF(B772="","",IF(Settings!$C$5="Yes",0,K772*Settings!$C$17))</f>
        <v/>
      </c>
      <c r="M772" s="21">
        <f>IF(B772="","",E772*IFERROR(VLOOKUP(D772,Products!$B$5:$F$204,5,FALSE),0))</f>
        <v/>
      </c>
      <c r="N772" s="21">
        <f>IF(B772="","",J772-K772-L772-M772-I772)</f>
        <v/>
      </c>
    </row>
    <row r="773">
      <c r="B773" s="11" t="n"/>
      <c r="C773" s="8" t="n"/>
      <c r="D773" s="8" t="n"/>
      <c r="E773" s="8" t="n"/>
      <c r="F773" s="20" t="n"/>
      <c r="G773" s="20" t="n"/>
      <c r="H773" s="8" t="n"/>
      <c r="I773" s="20" t="n"/>
      <c r="J773" s="21">
        <f>IF(B773="","",F773+G773)</f>
        <v/>
      </c>
      <c r="K773" s="21">
        <f>IF(B773="","",J773*(Settings!$C$11+Settings!$C$12+Settings!$C$14)+IF(C773="",Settings!$C$13,IF(COUNTIF($C$5:C773,C773)=1,Settings!$C$13,0))+E773*Settings!$C$15+IF(H773="Yes",J773*Settings!$C$16,0))</f>
        <v/>
      </c>
      <c r="L773" s="21">
        <f>IF(B773="","",IF(Settings!$C$5="Yes",0,K773*Settings!$C$17))</f>
        <v/>
      </c>
      <c r="M773" s="21">
        <f>IF(B773="","",E773*IFERROR(VLOOKUP(D773,Products!$B$5:$F$204,5,FALSE),0))</f>
        <v/>
      </c>
      <c r="N773" s="21">
        <f>IF(B773="","",J773-K773-L773-M773-I773)</f>
        <v/>
      </c>
    </row>
    <row r="774">
      <c r="B774" s="11" t="n"/>
      <c r="C774" s="8" t="n"/>
      <c r="D774" s="8" t="n"/>
      <c r="E774" s="8" t="n"/>
      <c r="F774" s="20" t="n"/>
      <c r="G774" s="20" t="n"/>
      <c r="H774" s="8" t="n"/>
      <c r="I774" s="20" t="n"/>
      <c r="J774" s="21">
        <f>IF(B774="","",F774+G774)</f>
        <v/>
      </c>
      <c r="K774" s="21">
        <f>IF(B774="","",J774*(Settings!$C$11+Settings!$C$12+Settings!$C$14)+IF(C774="",Settings!$C$13,IF(COUNTIF($C$5:C774,C774)=1,Settings!$C$13,0))+E774*Settings!$C$15+IF(H774="Yes",J774*Settings!$C$16,0))</f>
        <v/>
      </c>
      <c r="L774" s="21">
        <f>IF(B774="","",IF(Settings!$C$5="Yes",0,K774*Settings!$C$17))</f>
        <v/>
      </c>
      <c r="M774" s="21">
        <f>IF(B774="","",E774*IFERROR(VLOOKUP(D774,Products!$B$5:$F$204,5,FALSE),0))</f>
        <v/>
      </c>
      <c r="N774" s="21">
        <f>IF(B774="","",J774-K774-L774-M774-I774)</f>
        <v/>
      </c>
    </row>
    <row r="775">
      <c r="B775" s="11" t="n"/>
      <c r="C775" s="8" t="n"/>
      <c r="D775" s="8" t="n"/>
      <c r="E775" s="8" t="n"/>
      <c r="F775" s="20" t="n"/>
      <c r="G775" s="20" t="n"/>
      <c r="H775" s="8" t="n"/>
      <c r="I775" s="20" t="n"/>
      <c r="J775" s="21">
        <f>IF(B775="","",F775+G775)</f>
        <v/>
      </c>
      <c r="K775" s="21">
        <f>IF(B775="","",J775*(Settings!$C$11+Settings!$C$12+Settings!$C$14)+IF(C775="",Settings!$C$13,IF(COUNTIF($C$5:C775,C775)=1,Settings!$C$13,0))+E775*Settings!$C$15+IF(H775="Yes",J775*Settings!$C$16,0))</f>
        <v/>
      </c>
      <c r="L775" s="21">
        <f>IF(B775="","",IF(Settings!$C$5="Yes",0,K775*Settings!$C$17))</f>
        <v/>
      </c>
      <c r="M775" s="21">
        <f>IF(B775="","",E775*IFERROR(VLOOKUP(D775,Products!$B$5:$F$204,5,FALSE),0))</f>
        <v/>
      </c>
      <c r="N775" s="21">
        <f>IF(B775="","",J775-K775-L775-M775-I775)</f>
        <v/>
      </c>
    </row>
    <row r="776">
      <c r="B776" s="11" t="n"/>
      <c r="C776" s="8" t="n"/>
      <c r="D776" s="8" t="n"/>
      <c r="E776" s="8" t="n"/>
      <c r="F776" s="20" t="n"/>
      <c r="G776" s="20" t="n"/>
      <c r="H776" s="8" t="n"/>
      <c r="I776" s="20" t="n"/>
      <c r="J776" s="21">
        <f>IF(B776="","",F776+G776)</f>
        <v/>
      </c>
      <c r="K776" s="21">
        <f>IF(B776="","",J776*(Settings!$C$11+Settings!$C$12+Settings!$C$14)+IF(C776="",Settings!$C$13,IF(COUNTIF($C$5:C776,C776)=1,Settings!$C$13,0))+E776*Settings!$C$15+IF(H776="Yes",J776*Settings!$C$16,0))</f>
        <v/>
      </c>
      <c r="L776" s="21">
        <f>IF(B776="","",IF(Settings!$C$5="Yes",0,K776*Settings!$C$17))</f>
        <v/>
      </c>
      <c r="M776" s="21">
        <f>IF(B776="","",E776*IFERROR(VLOOKUP(D776,Products!$B$5:$F$204,5,FALSE),0))</f>
        <v/>
      </c>
      <c r="N776" s="21">
        <f>IF(B776="","",J776-K776-L776-M776-I776)</f>
        <v/>
      </c>
    </row>
    <row r="777">
      <c r="B777" s="11" t="n"/>
      <c r="C777" s="8" t="n"/>
      <c r="D777" s="8" t="n"/>
      <c r="E777" s="8" t="n"/>
      <c r="F777" s="20" t="n"/>
      <c r="G777" s="20" t="n"/>
      <c r="H777" s="8" t="n"/>
      <c r="I777" s="20" t="n"/>
      <c r="J777" s="21">
        <f>IF(B777="","",F777+G777)</f>
        <v/>
      </c>
      <c r="K777" s="21">
        <f>IF(B777="","",J777*(Settings!$C$11+Settings!$C$12+Settings!$C$14)+IF(C777="",Settings!$C$13,IF(COUNTIF($C$5:C777,C777)=1,Settings!$C$13,0))+E777*Settings!$C$15+IF(H777="Yes",J777*Settings!$C$16,0))</f>
        <v/>
      </c>
      <c r="L777" s="21">
        <f>IF(B777="","",IF(Settings!$C$5="Yes",0,K777*Settings!$C$17))</f>
        <v/>
      </c>
      <c r="M777" s="21">
        <f>IF(B777="","",E777*IFERROR(VLOOKUP(D777,Products!$B$5:$F$204,5,FALSE),0))</f>
        <v/>
      </c>
      <c r="N777" s="21">
        <f>IF(B777="","",J777-K777-L777-M777-I777)</f>
        <v/>
      </c>
    </row>
    <row r="778">
      <c r="B778" s="11" t="n"/>
      <c r="C778" s="8" t="n"/>
      <c r="D778" s="8" t="n"/>
      <c r="E778" s="8" t="n"/>
      <c r="F778" s="20" t="n"/>
      <c r="G778" s="20" t="n"/>
      <c r="H778" s="8" t="n"/>
      <c r="I778" s="20" t="n"/>
      <c r="J778" s="21">
        <f>IF(B778="","",F778+G778)</f>
        <v/>
      </c>
      <c r="K778" s="21">
        <f>IF(B778="","",J778*(Settings!$C$11+Settings!$C$12+Settings!$C$14)+IF(C778="",Settings!$C$13,IF(COUNTIF($C$5:C778,C778)=1,Settings!$C$13,0))+E778*Settings!$C$15+IF(H778="Yes",J778*Settings!$C$16,0))</f>
        <v/>
      </c>
      <c r="L778" s="21">
        <f>IF(B778="","",IF(Settings!$C$5="Yes",0,K778*Settings!$C$17))</f>
        <v/>
      </c>
      <c r="M778" s="21">
        <f>IF(B778="","",E778*IFERROR(VLOOKUP(D778,Products!$B$5:$F$204,5,FALSE),0))</f>
        <v/>
      </c>
      <c r="N778" s="21">
        <f>IF(B778="","",J778-K778-L778-M778-I778)</f>
        <v/>
      </c>
    </row>
    <row r="779">
      <c r="B779" s="11" t="n"/>
      <c r="C779" s="8" t="n"/>
      <c r="D779" s="8" t="n"/>
      <c r="E779" s="8" t="n"/>
      <c r="F779" s="20" t="n"/>
      <c r="G779" s="20" t="n"/>
      <c r="H779" s="8" t="n"/>
      <c r="I779" s="20" t="n"/>
      <c r="J779" s="21">
        <f>IF(B779="","",F779+G779)</f>
        <v/>
      </c>
      <c r="K779" s="21">
        <f>IF(B779="","",J779*(Settings!$C$11+Settings!$C$12+Settings!$C$14)+IF(C779="",Settings!$C$13,IF(COUNTIF($C$5:C779,C779)=1,Settings!$C$13,0))+E779*Settings!$C$15+IF(H779="Yes",J779*Settings!$C$16,0))</f>
        <v/>
      </c>
      <c r="L779" s="21">
        <f>IF(B779="","",IF(Settings!$C$5="Yes",0,K779*Settings!$C$17))</f>
        <v/>
      </c>
      <c r="M779" s="21">
        <f>IF(B779="","",E779*IFERROR(VLOOKUP(D779,Products!$B$5:$F$204,5,FALSE),0))</f>
        <v/>
      </c>
      <c r="N779" s="21">
        <f>IF(B779="","",J779-K779-L779-M779-I779)</f>
        <v/>
      </c>
    </row>
    <row r="780">
      <c r="B780" s="11" t="n"/>
      <c r="C780" s="8" t="n"/>
      <c r="D780" s="8" t="n"/>
      <c r="E780" s="8" t="n"/>
      <c r="F780" s="20" t="n"/>
      <c r="G780" s="20" t="n"/>
      <c r="H780" s="8" t="n"/>
      <c r="I780" s="20" t="n"/>
      <c r="J780" s="21">
        <f>IF(B780="","",F780+G780)</f>
        <v/>
      </c>
      <c r="K780" s="21">
        <f>IF(B780="","",J780*(Settings!$C$11+Settings!$C$12+Settings!$C$14)+IF(C780="",Settings!$C$13,IF(COUNTIF($C$5:C780,C780)=1,Settings!$C$13,0))+E780*Settings!$C$15+IF(H780="Yes",J780*Settings!$C$16,0))</f>
        <v/>
      </c>
      <c r="L780" s="21">
        <f>IF(B780="","",IF(Settings!$C$5="Yes",0,K780*Settings!$C$17))</f>
        <v/>
      </c>
      <c r="M780" s="21">
        <f>IF(B780="","",E780*IFERROR(VLOOKUP(D780,Products!$B$5:$F$204,5,FALSE),0))</f>
        <v/>
      </c>
      <c r="N780" s="21">
        <f>IF(B780="","",J780-K780-L780-M780-I780)</f>
        <v/>
      </c>
    </row>
    <row r="781">
      <c r="B781" s="11" t="n"/>
      <c r="C781" s="8" t="n"/>
      <c r="D781" s="8" t="n"/>
      <c r="E781" s="8" t="n"/>
      <c r="F781" s="20" t="n"/>
      <c r="G781" s="20" t="n"/>
      <c r="H781" s="8" t="n"/>
      <c r="I781" s="20" t="n"/>
      <c r="J781" s="21">
        <f>IF(B781="","",F781+G781)</f>
        <v/>
      </c>
      <c r="K781" s="21">
        <f>IF(B781="","",J781*(Settings!$C$11+Settings!$C$12+Settings!$C$14)+IF(C781="",Settings!$C$13,IF(COUNTIF($C$5:C781,C781)=1,Settings!$C$13,0))+E781*Settings!$C$15+IF(H781="Yes",J781*Settings!$C$16,0))</f>
        <v/>
      </c>
      <c r="L781" s="21">
        <f>IF(B781="","",IF(Settings!$C$5="Yes",0,K781*Settings!$C$17))</f>
        <v/>
      </c>
      <c r="M781" s="21">
        <f>IF(B781="","",E781*IFERROR(VLOOKUP(D781,Products!$B$5:$F$204,5,FALSE),0))</f>
        <v/>
      </c>
      <c r="N781" s="21">
        <f>IF(B781="","",J781-K781-L781-M781-I781)</f>
        <v/>
      </c>
    </row>
    <row r="782">
      <c r="B782" s="11" t="n"/>
      <c r="C782" s="8" t="n"/>
      <c r="D782" s="8" t="n"/>
      <c r="E782" s="8" t="n"/>
      <c r="F782" s="20" t="n"/>
      <c r="G782" s="20" t="n"/>
      <c r="H782" s="8" t="n"/>
      <c r="I782" s="20" t="n"/>
      <c r="J782" s="21">
        <f>IF(B782="","",F782+G782)</f>
        <v/>
      </c>
      <c r="K782" s="21">
        <f>IF(B782="","",J782*(Settings!$C$11+Settings!$C$12+Settings!$C$14)+IF(C782="",Settings!$C$13,IF(COUNTIF($C$5:C782,C782)=1,Settings!$C$13,0))+E782*Settings!$C$15+IF(H782="Yes",J782*Settings!$C$16,0))</f>
        <v/>
      </c>
      <c r="L782" s="21">
        <f>IF(B782="","",IF(Settings!$C$5="Yes",0,K782*Settings!$C$17))</f>
        <v/>
      </c>
      <c r="M782" s="21">
        <f>IF(B782="","",E782*IFERROR(VLOOKUP(D782,Products!$B$5:$F$204,5,FALSE),0))</f>
        <v/>
      </c>
      <c r="N782" s="21">
        <f>IF(B782="","",J782-K782-L782-M782-I782)</f>
        <v/>
      </c>
    </row>
    <row r="783">
      <c r="B783" s="11" t="n"/>
      <c r="C783" s="8" t="n"/>
      <c r="D783" s="8" t="n"/>
      <c r="E783" s="8" t="n"/>
      <c r="F783" s="20" t="n"/>
      <c r="G783" s="20" t="n"/>
      <c r="H783" s="8" t="n"/>
      <c r="I783" s="20" t="n"/>
      <c r="J783" s="21">
        <f>IF(B783="","",F783+G783)</f>
        <v/>
      </c>
      <c r="K783" s="21">
        <f>IF(B783="","",J783*(Settings!$C$11+Settings!$C$12+Settings!$C$14)+IF(C783="",Settings!$C$13,IF(COUNTIF($C$5:C783,C783)=1,Settings!$C$13,0))+E783*Settings!$C$15+IF(H783="Yes",J783*Settings!$C$16,0))</f>
        <v/>
      </c>
      <c r="L783" s="21">
        <f>IF(B783="","",IF(Settings!$C$5="Yes",0,K783*Settings!$C$17))</f>
        <v/>
      </c>
      <c r="M783" s="21">
        <f>IF(B783="","",E783*IFERROR(VLOOKUP(D783,Products!$B$5:$F$204,5,FALSE),0))</f>
        <v/>
      </c>
      <c r="N783" s="21">
        <f>IF(B783="","",J783-K783-L783-M783-I783)</f>
        <v/>
      </c>
    </row>
    <row r="784">
      <c r="B784" s="11" t="n"/>
      <c r="C784" s="8" t="n"/>
      <c r="D784" s="8" t="n"/>
      <c r="E784" s="8" t="n"/>
      <c r="F784" s="20" t="n"/>
      <c r="G784" s="20" t="n"/>
      <c r="H784" s="8" t="n"/>
      <c r="I784" s="20" t="n"/>
      <c r="J784" s="21">
        <f>IF(B784="","",F784+G784)</f>
        <v/>
      </c>
      <c r="K784" s="21">
        <f>IF(B784="","",J784*(Settings!$C$11+Settings!$C$12+Settings!$C$14)+IF(C784="",Settings!$C$13,IF(COUNTIF($C$5:C784,C784)=1,Settings!$C$13,0))+E784*Settings!$C$15+IF(H784="Yes",J784*Settings!$C$16,0))</f>
        <v/>
      </c>
      <c r="L784" s="21">
        <f>IF(B784="","",IF(Settings!$C$5="Yes",0,K784*Settings!$C$17))</f>
        <v/>
      </c>
      <c r="M784" s="21">
        <f>IF(B784="","",E784*IFERROR(VLOOKUP(D784,Products!$B$5:$F$204,5,FALSE),0))</f>
        <v/>
      </c>
      <c r="N784" s="21">
        <f>IF(B784="","",J784-K784-L784-M784-I784)</f>
        <v/>
      </c>
    </row>
    <row r="785">
      <c r="B785" s="11" t="n"/>
      <c r="C785" s="8" t="n"/>
      <c r="D785" s="8" t="n"/>
      <c r="E785" s="8" t="n"/>
      <c r="F785" s="20" t="n"/>
      <c r="G785" s="20" t="n"/>
      <c r="H785" s="8" t="n"/>
      <c r="I785" s="20" t="n"/>
      <c r="J785" s="21">
        <f>IF(B785="","",F785+G785)</f>
        <v/>
      </c>
      <c r="K785" s="21">
        <f>IF(B785="","",J785*(Settings!$C$11+Settings!$C$12+Settings!$C$14)+IF(C785="",Settings!$C$13,IF(COUNTIF($C$5:C785,C785)=1,Settings!$C$13,0))+E785*Settings!$C$15+IF(H785="Yes",J785*Settings!$C$16,0))</f>
        <v/>
      </c>
      <c r="L785" s="21">
        <f>IF(B785="","",IF(Settings!$C$5="Yes",0,K785*Settings!$C$17))</f>
        <v/>
      </c>
      <c r="M785" s="21">
        <f>IF(B785="","",E785*IFERROR(VLOOKUP(D785,Products!$B$5:$F$204,5,FALSE),0))</f>
        <v/>
      </c>
      <c r="N785" s="21">
        <f>IF(B785="","",J785-K785-L785-M785-I785)</f>
        <v/>
      </c>
    </row>
    <row r="786">
      <c r="B786" s="11" t="n"/>
      <c r="C786" s="8" t="n"/>
      <c r="D786" s="8" t="n"/>
      <c r="E786" s="8" t="n"/>
      <c r="F786" s="20" t="n"/>
      <c r="G786" s="20" t="n"/>
      <c r="H786" s="8" t="n"/>
      <c r="I786" s="20" t="n"/>
      <c r="J786" s="21">
        <f>IF(B786="","",F786+G786)</f>
        <v/>
      </c>
      <c r="K786" s="21">
        <f>IF(B786="","",J786*(Settings!$C$11+Settings!$C$12+Settings!$C$14)+IF(C786="",Settings!$C$13,IF(COUNTIF($C$5:C786,C786)=1,Settings!$C$13,0))+E786*Settings!$C$15+IF(H786="Yes",J786*Settings!$C$16,0))</f>
        <v/>
      </c>
      <c r="L786" s="21">
        <f>IF(B786="","",IF(Settings!$C$5="Yes",0,K786*Settings!$C$17))</f>
        <v/>
      </c>
      <c r="M786" s="21">
        <f>IF(B786="","",E786*IFERROR(VLOOKUP(D786,Products!$B$5:$F$204,5,FALSE),0))</f>
        <v/>
      </c>
      <c r="N786" s="21">
        <f>IF(B786="","",J786-K786-L786-M786-I786)</f>
        <v/>
      </c>
    </row>
    <row r="787">
      <c r="B787" s="11" t="n"/>
      <c r="C787" s="8" t="n"/>
      <c r="D787" s="8" t="n"/>
      <c r="E787" s="8" t="n"/>
      <c r="F787" s="20" t="n"/>
      <c r="G787" s="20" t="n"/>
      <c r="H787" s="8" t="n"/>
      <c r="I787" s="20" t="n"/>
      <c r="J787" s="21">
        <f>IF(B787="","",F787+G787)</f>
        <v/>
      </c>
      <c r="K787" s="21">
        <f>IF(B787="","",J787*(Settings!$C$11+Settings!$C$12+Settings!$C$14)+IF(C787="",Settings!$C$13,IF(COUNTIF($C$5:C787,C787)=1,Settings!$C$13,0))+E787*Settings!$C$15+IF(H787="Yes",J787*Settings!$C$16,0))</f>
        <v/>
      </c>
      <c r="L787" s="21">
        <f>IF(B787="","",IF(Settings!$C$5="Yes",0,K787*Settings!$C$17))</f>
        <v/>
      </c>
      <c r="M787" s="21">
        <f>IF(B787="","",E787*IFERROR(VLOOKUP(D787,Products!$B$5:$F$204,5,FALSE),0))</f>
        <v/>
      </c>
      <c r="N787" s="21">
        <f>IF(B787="","",J787-K787-L787-M787-I787)</f>
        <v/>
      </c>
    </row>
    <row r="788">
      <c r="B788" s="11" t="n"/>
      <c r="C788" s="8" t="n"/>
      <c r="D788" s="8" t="n"/>
      <c r="E788" s="8" t="n"/>
      <c r="F788" s="20" t="n"/>
      <c r="G788" s="20" t="n"/>
      <c r="H788" s="8" t="n"/>
      <c r="I788" s="20" t="n"/>
      <c r="J788" s="21">
        <f>IF(B788="","",F788+G788)</f>
        <v/>
      </c>
      <c r="K788" s="21">
        <f>IF(B788="","",J788*(Settings!$C$11+Settings!$C$12+Settings!$C$14)+IF(C788="",Settings!$C$13,IF(COUNTIF($C$5:C788,C788)=1,Settings!$C$13,0))+E788*Settings!$C$15+IF(H788="Yes",J788*Settings!$C$16,0))</f>
        <v/>
      </c>
      <c r="L788" s="21">
        <f>IF(B788="","",IF(Settings!$C$5="Yes",0,K788*Settings!$C$17))</f>
        <v/>
      </c>
      <c r="M788" s="21">
        <f>IF(B788="","",E788*IFERROR(VLOOKUP(D788,Products!$B$5:$F$204,5,FALSE),0))</f>
        <v/>
      </c>
      <c r="N788" s="21">
        <f>IF(B788="","",J788-K788-L788-M788-I788)</f>
        <v/>
      </c>
    </row>
    <row r="789">
      <c r="B789" s="11" t="n"/>
      <c r="C789" s="8" t="n"/>
      <c r="D789" s="8" t="n"/>
      <c r="E789" s="8" t="n"/>
      <c r="F789" s="20" t="n"/>
      <c r="G789" s="20" t="n"/>
      <c r="H789" s="8" t="n"/>
      <c r="I789" s="20" t="n"/>
      <c r="J789" s="21">
        <f>IF(B789="","",F789+G789)</f>
        <v/>
      </c>
      <c r="K789" s="21">
        <f>IF(B789="","",J789*(Settings!$C$11+Settings!$C$12+Settings!$C$14)+IF(C789="",Settings!$C$13,IF(COUNTIF($C$5:C789,C789)=1,Settings!$C$13,0))+E789*Settings!$C$15+IF(H789="Yes",J789*Settings!$C$16,0))</f>
        <v/>
      </c>
      <c r="L789" s="21">
        <f>IF(B789="","",IF(Settings!$C$5="Yes",0,K789*Settings!$C$17))</f>
        <v/>
      </c>
      <c r="M789" s="21">
        <f>IF(B789="","",E789*IFERROR(VLOOKUP(D789,Products!$B$5:$F$204,5,FALSE),0))</f>
        <v/>
      </c>
      <c r="N789" s="21">
        <f>IF(B789="","",J789-K789-L789-M789-I789)</f>
        <v/>
      </c>
    </row>
    <row r="790">
      <c r="B790" s="11" t="n"/>
      <c r="C790" s="8" t="n"/>
      <c r="D790" s="8" t="n"/>
      <c r="E790" s="8" t="n"/>
      <c r="F790" s="20" t="n"/>
      <c r="G790" s="20" t="n"/>
      <c r="H790" s="8" t="n"/>
      <c r="I790" s="20" t="n"/>
      <c r="J790" s="21">
        <f>IF(B790="","",F790+G790)</f>
        <v/>
      </c>
      <c r="K790" s="21">
        <f>IF(B790="","",J790*(Settings!$C$11+Settings!$C$12+Settings!$C$14)+IF(C790="",Settings!$C$13,IF(COUNTIF($C$5:C790,C790)=1,Settings!$C$13,0))+E790*Settings!$C$15+IF(H790="Yes",J790*Settings!$C$16,0))</f>
        <v/>
      </c>
      <c r="L790" s="21">
        <f>IF(B790="","",IF(Settings!$C$5="Yes",0,K790*Settings!$C$17))</f>
        <v/>
      </c>
      <c r="M790" s="21">
        <f>IF(B790="","",E790*IFERROR(VLOOKUP(D790,Products!$B$5:$F$204,5,FALSE),0))</f>
        <v/>
      </c>
      <c r="N790" s="21">
        <f>IF(B790="","",J790-K790-L790-M790-I790)</f>
        <v/>
      </c>
    </row>
    <row r="791">
      <c r="B791" s="11" t="n"/>
      <c r="C791" s="8" t="n"/>
      <c r="D791" s="8" t="n"/>
      <c r="E791" s="8" t="n"/>
      <c r="F791" s="20" t="n"/>
      <c r="G791" s="20" t="n"/>
      <c r="H791" s="8" t="n"/>
      <c r="I791" s="20" t="n"/>
      <c r="J791" s="21">
        <f>IF(B791="","",F791+G791)</f>
        <v/>
      </c>
      <c r="K791" s="21">
        <f>IF(B791="","",J791*(Settings!$C$11+Settings!$C$12+Settings!$C$14)+IF(C791="",Settings!$C$13,IF(COUNTIF($C$5:C791,C791)=1,Settings!$C$13,0))+E791*Settings!$C$15+IF(H791="Yes",J791*Settings!$C$16,0))</f>
        <v/>
      </c>
      <c r="L791" s="21">
        <f>IF(B791="","",IF(Settings!$C$5="Yes",0,K791*Settings!$C$17))</f>
        <v/>
      </c>
      <c r="M791" s="21">
        <f>IF(B791="","",E791*IFERROR(VLOOKUP(D791,Products!$B$5:$F$204,5,FALSE),0))</f>
        <v/>
      </c>
      <c r="N791" s="21">
        <f>IF(B791="","",J791-K791-L791-M791-I791)</f>
        <v/>
      </c>
    </row>
    <row r="792">
      <c r="B792" s="11" t="n"/>
      <c r="C792" s="8" t="n"/>
      <c r="D792" s="8" t="n"/>
      <c r="E792" s="8" t="n"/>
      <c r="F792" s="20" t="n"/>
      <c r="G792" s="20" t="n"/>
      <c r="H792" s="8" t="n"/>
      <c r="I792" s="20" t="n"/>
      <c r="J792" s="21">
        <f>IF(B792="","",F792+G792)</f>
        <v/>
      </c>
      <c r="K792" s="21">
        <f>IF(B792="","",J792*(Settings!$C$11+Settings!$C$12+Settings!$C$14)+IF(C792="",Settings!$C$13,IF(COUNTIF($C$5:C792,C792)=1,Settings!$C$13,0))+E792*Settings!$C$15+IF(H792="Yes",J792*Settings!$C$16,0))</f>
        <v/>
      </c>
      <c r="L792" s="21">
        <f>IF(B792="","",IF(Settings!$C$5="Yes",0,K792*Settings!$C$17))</f>
        <v/>
      </c>
      <c r="M792" s="21">
        <f>IF(B792="","",E792*IFERROR(VLOOKUP(D792,Products!$B$5:$F$204,5,FALSE),0))</f>
        <v/>
      </c>
      <c r="N792" s="21">
        <f>IF(B792="","",J792-K792-L792-M792-I792)</f>
        <v/>
      </c>
    </row>
    <row r="793">
      <c r="B793" s="11" t="n"/>
      <c r="C793" s="8" t="n"/>
      <c r="D793" s="8" t="n"/>
      <c r="E793" s="8" t="n"/>
      <c r="F793" s="20" t="n"/>
      <c r="G793" s="20" t="n"/>
      <c r="H793" s="8" t="n"/>
      <c r="I793" s="20" t="n"/>
      <c r="J793" s="21">
        <f>IF(B793="","",F793+G793)</f>
        <v/>
      </c>
      <c r="K793" s="21">
        <f>IF(B793="","",J793*(Settings!$C$11+Settings!$C$12+Settings!$C$14)+IF(C793="",Settings!$C$13,IF(COUNTIF($C$5:C793,C793)=1,Settings!$C$13,0))+E793*Settings!$C$15+IF(H793="Yes",J793*Settings!$C$16,0))</f>
        <v/>
      </c>
      <c r="L793" s="21">
        <f>IF(B793="","",IF(Settings!$C$5="Yes",0,K793*Settings!$C$17))</f>
        <v/>
      </c>
      <c r="M793" s="21">
        <f>IF(B793="","",E793*IFERROR(VLOOKUP(D793,Products!$B$5:$F$204,5,FALSE),0))</f>
        <v/>
      </c>
      <c r="N793" s="21">
        <f>IF(B793="","",J793-K793-L793-M793-I793)</f>
        <v/>
      </c>
    </row>
    <row r="794">
      <c r="B794" s="11" t="n"/>
      <c r="C794" s="8" t="n"/>
      <c r="D794" s="8" t="n"/>
      <c r="E794" s="8" t="n"/>
      <c r="F794" s="20" t="n"/>
      <c r="G794" s="20" t="n"/>
      <c r="H794" s="8" t="n"/>
      <c r="I794" s="20" t="n"/>
      <c r="J794" s="21">
        <f>IF(B794="","",F794+G794)</f>
        <v/>
      </c>
      <c r="K794" s="21">
        <f>IF(B794="","",J794*(Settings!$C$11+Settings!$C$12+Settings!$C$14)+IF(C794="",Settings!$C$13,IF(COUNTIF($C$5:C794,C794)=1,Settings!$C$13,0))+E794*Settings!$C$15+IF(H794="Yes",J794*Settings!$C$16,0))</f>
        <v/>
      </c>
      <c r="L794" s="21">
        <f>IF(B794="","",IF(Settings!$C$5="Yes",0,K794*Settings!$C$17))</f>
        <v/>
      </c>
      <c r="M794" s="21">
        <f>IF(B794="","",E794*IFERROR(VLOOKUP(D794,Products!$B$5:$F$204,5,FALSE),0))</f>
        <v/>
      </c>
      <c r="N794" s="21">
        <f>IF(B794="","",J794-K794-L794-M794-I794)</f>
        <v/>
      </c>
    </row>
    <row r="795">
      <c r="B795" s="11" t="n"/>
      <c r="C795" s="8" t="n"/>
      <c r="D795" s="8" t="n"/>
      <c r="E795" s="8" t="n"/>
      <c r="F795" s="20" t="n"/>
      <c r="G795" s="20" t="n"/>
      <c r="H795" s="8" t="n"/>
      <c r="I795" s="20" t="n"/>
      <c r="J795" s="21">
        <f>IF(B795="","",F795+G795)</f>
        <v/>
      </c>
      <c r="K795" s="21">
        <f>IF(B795="","",J795*(Settings!$C$11+Settings!$C$12+Settings!$C$14)+IF(C795="",Settings!$C$13,IF(COUNTIF($C$5:C795,C795)=1,Settings!$C$13,0))+E795*Settings!$C$15+IF(H795="Yes",J795*Settings!$C$16,0))</f>
        <v/>
      </c>
      <c r="L795" s="21">
        <f>IF(B795="","",IF(Settings!$C$5="Yes",0,K795*Settings!$C$17))</f>
        <v/>
      </c>
      <c r="M795" s="21">
        <f>IF(B795="","",E795*IFERROR(VLOOKUP(D795,Products!$B$5:$F$204,5,FALSE),0))</f>
        <v/>
      </c>
      <c r="N795" s="21">
        <f>IF(B795="","",J795-K795-L795-M795-I795)</f>
        <v/>
      </c>
    </row>
    <row r="796">
      <c r="B796" s="11" t="n"/>
      <c r="C796" s="8" t="n"/>
      <c r="D796" s="8" t="n"/>
      <c r="E796" s="8" t="n"/>
      <c r="F796" s="20" t="n"/>
      <c r="G796" s="20" t="n"/>
      <c r="H796" s="8" t="n"/>
      <c r="I796" s="20" t="n"/>
      <c r="J796" s="21">
        <f>IF(B796="","",F796+G796)</f>
        <v/>
      </c>
      <c r="K796" s="21">
        <f>IF(B796="","",J796*(Settings!$C$11+Settings!$C$12+Settings!$C$14)+IF(C796="",Settings!$C$13,IF(COUNTIF($C$5:C796,C796)=1,Settings!$C$13,0))+E796*Settings!$C$15+IF(H796="Yes",J796*Settings!$C$16,0))</f>
        <v/>
      </c>
      <c r="L796" s="21">
        <f>IF(B796="","",IF(Settings!$C$5="Yes",0,K796*Settings!$C$17))</f>
        <v/>
      </c>
      <c r="M796" s="21">
        <f>IF(B796="","",E796*IFERROR(VLOOKUP(D796,Products!$B$5:$F$204,5,FALSE),0))</f>
        <v/>
      </c>
      <c r="N796" s="21">
        <f>IF(B796="","",J796-K796-L796-M796-I796)</f>
        <v/>
      </c>
    </row>
    <row r="797">
      <c r="B797" s="11" t="n"/>
      <c r="C797" s="8" t="n"/>
      <c r="D797" s="8" t="n"/>
      <c r="E797" s="8" t="n"/>
      <c r="F797" s="20" t="n"/>
      <c r="G797" s="20" t="n"/>
      <c r="H797" s="8" t="n"/>
      <c r="I797" s="20" t="n"/>
      <c r="J797" s="21">
        <f>IF(B797="","",F797+G797)</f>
        <v/>
      </c>
      <c r="K797" s="21">
        <f>IF(B797="","",J797*(Settings!$C$11+Settings!$C$12+Settings!$C$14)+IF(C797="",Settings!$C$13,IF(COUNTIF($C$5:C797,C797)=1,Settings!$C$13,0))+E797*Settings!$C$15+IF(H797="Yes",J797*Settings!$C$16,0))</f>
        <v/>
      </c>
      <c r="L797" s="21">
        <f>IF(B797="","",IF(Settings!$C$5="Yes",0,K797*Settings!$C$17))</f>
        <v/>
      </c>
      <c r="M797" s="21">
        <f>IF(B797="","",E797*IFERROR(VLOOKUP(D797,Products!$B$5:$F$204,5,FALSE),0))</f>
        <v/>
      </c>
      <c r="N797" s="21">
        <f>IF(B797="","",J797-K797-L797-M797-I797)</f>
        <v/>
      </c>
    </row>
    <row r="798">
      <c r="B798" s="11" t="n"/>
      <c r="C798" s="8" t="n"/>
      <c r="D798" s="8" t="n"/>
      <c r="E798" s="8" t="n"/>
      <c r="F798" s="20" t="n"/>
      <c r="G798" s="20" t="n"/>
      <c r="H798" s="8" t="n"/>
      <c r="I798" s="20" t="n"/>
      <c r="J798" s="21">
        <f>IF(B798="","",F798+G798)</f>
        <v/>
      </c>
      <c r="K798" s="21">
        <f>IF(B798="","",J798*(Settings!$C$11+Settings!$C$12+Settings!$C$14)+IF(C798="",Settings!$C$13,IF(COUNTIF($C$5:C798,C798)=1,Settings!$C$13,0))+E798*Settings!$C$15+IF(H798="Yes",J798*Settings!$C$16,0))</f>
        <v/>
      </c>
      <c r="L798" s="21">
        <f>IF(B798="","",IF(Settings!$C$5="Yes",0,K798*Settings!$C$17))</f>
        <v/>
      </c>
      <c r="M798" s="21">
        <f>IF(B798="","",E798*IFERROR(VLOOKUP(D798,Products!$B$5:$F$204,5,FALSE),0))</f>
        <v/>
      </c>
      <c r="N798" s="21">
        <f>IF(B798="","",J798-K798-L798-M798-I798)</f>
        <v/>
      </c>
    </row>
    <row r="799">
      <c r="B799" s="11" t="n"/>
      <c r="C799" s="8" t="n"/>
      <c r="D799" s="8" t="n"/>
      <c r="E799" s="8" t="n"/>
      <c r="F799" s="20" t="n"/>
      <c r="G799" s="20" t="n"/>
      <c r="H799" s="8" t="n"/>
      <c r="I799" s="20" t="n"/>
      <c r="J799" s="21">
        <f>IF(B799="","",F799+G799)</f>
        <v/>
      </c>
      <c r="K799" s="21">
        <f>IF(B799="","",J799*(Settings!$C$11+Settings!$C$12+Settings!$C$14)+IF(C799="",Settings!$C$13,IF(COUNTIF($C$5:C799,C799)=1,Settings!$C$13,0))+E799*Settings!$C$15+IF(H799="Yes",J799*Settings!$C$16,0))</f>
        <v/>
      </c>
      <c r="L799" s="21">
        <f>IF(B799="","",IF(Settings!$C$5="Yes",0,K799*Settings!$C$17))</f>
        <v/>
      </c>
      <c r="M799" s="21">
        <f>IF(B799="","",E799*IFERROR(VLOOKUP(D799,Products!$B$5:$F$204,5,FALSE),0))</f>
        <v/>
      </c>
      <c r="N799" s="21">
        <f>IF(B799="","",J799-K799-L799-M799-I799)</f>
        <v/>
      </c>
    </row>
    <row r="800">
      <c r="B800" s="11" t="n"/>
      <c r="C800" s="8" t="n"/>
      <c r="D800" s="8" t="n"/>
      <c r="E800" s="8" t="n"/>
      <c r="F800" s="20" t="n"/>
      <c r="G800" s="20" t="n"/>
      <c r="H800" s="8" t="n"/>
      <c r="I800" s="20" t="n"/>
      <c r="J800" s="21">
        <f>IF(B800="","",F800+G800)</f>
        <v/>
      </c>
      <c r="K800" s="21">
        <f>IF(B800="","",J800*(Settings!$C$11+Settings!$C$12+Settings!$C$14)+IF(C800="",Settings!$C$13,IF(COUNTIF($C$5:C800,C800)=1,Settings!$C$13,0))+E800*Settings!$C$15+IF(H800="Yes",J800*Settings!$C$16,0))</f>
        <v/>
      </c>
      <c r="L800" s="21">
        <f>IF(B800="","",IF(Settings!$C$5="Yes",0,K800*Settings!$C$17))</f>
        <v/>
      </c>
      <c r="M800" s="21">
        <f>IF(B800="","",E800*IFERROR(VLOOKUP(D800,Products!$B$5:$F$204,5,FALSE),0))</f>
        <v/>
      </c>
      <c r="N800" s="21">
        <f>IF(B800="","",J800-K800-L800-M800-I800)</f>
        <v/>
      </c>
    </row>
    <row r="801">
      <c r="B801" s="11" t="n"/>
      <c r="C801" s="8" t="n"/>
      <c r="D801" s="8" t="n"/>
      <c r="E801" s="8" t="n"/>
      <c r="F801" s="20" t="n"/>
      <c r="G801" s="20" t="n"/>
      <c r="H801" s="8" t="n"/>
      <c r="I801" s="20" t="n"/>
      <c r="J801" s="21">
        <f>IF(B801="","",F801+G801)</f>
        <v/>
      </c>
      <c r="K801" s="21">
        <f>IF(B801="","",J801*(Settings!$C$11+Settings!$C$12+Settings!$C$14)+IF(C801="",Settings!$C$13,IF(COUNTIF($C$5:C801,C801)=1,Settings!$C$13,0))+E801*Settings!$C$15+IF(H801="Yes",J801*Settings!$C$16,0))</f>
        <v/>
      </c>
      <c r="L801" s="21">
        <f>IF(B801="","",IF(Settings!$C$5="Yes",0,K801*Settings!$C$17))</f>
        <v/>
      </c>
      <c r="M801" s="21">
        <f>IF(B801="","",E801*IFERROR(VLOOKUP(D801,Products!$B$5:$F$204,5,FALSE),0))</f>
        <v/>
      </c>
      <c r="N801" s="21">
        <f>IF(B801="","",J801-K801-L801-M801-I801)</f>
        <v/>
      </c>
    </row>
    <row r="802">
      <c r="B802" s="11" t="n"/>
      <c r="C802" s="8" t="n"/>
      <c r="D802" s="8" t="n"/>
      <c r="E802" s="8" t="n"/>
      <c r="F802" s="20" t="n"/>
      <c r="G802" s="20" t="n"/>
      <c r="H802" s="8" t="n"/>
      <c r="I802" s="20" t="n"/>
      <c r="J802" s="21">
        <f>IF(B802="","",F802+G802)</f>
        <v/>
      </c>
      <c r="K802" s="21">
        <f>IF(B802="","",J802*(Settings!$C$11+Settings!$C$12+Settings!$C$14)+IF(C802="",Settings!$C$13,IF(COUNTIF($C$5:C802,C802)=1,Settings!$C$13,0))+E802*Settings!$C$15+IF(H802="Yes",J802*Settings!$C$16,0))</f>
        <v/>
      </c>
      <c r="L802" s="21">
        <f>IF(B802="","",IF(Settings!$C$5="Yes",0,K802*Settings!$C$17))</f>
        <v/>
      </c>
      <c r="M802" s="21">
        <f>IF(B802="","",E802*IFERROR(VLOOKUP(D802,Products!$B$5:$F$204,5,FALSE),0))</f>
        <v/>
      </c>
      <c r="N802" s="21">
        <f>IF(B802="","",J802-K802-L802-M802-I802)</f>
        <v/>
      </c>
    </row>
    <row r="803">
      <c r="B803" s="11" t="n"/>
      <c r="C803" s="8" t="n"/>
      <c r="D803" s="8" t="n"/>
      <c r="E803" s="8" t="n"/>
      <c r="F803" s="20" t="n"/>
      <c r="G803" s="20" t="n"/>
      <c r="H803" s="8" t="n"/>
      <c r="I803" s="20" t="n"/>
      <c r="J803" s="21">
        <f>IF(B803="","",F803+G803)</f>
        <v/>
      </c>
      <c r="K803" s="21">
        <f>IF(B803="","",J803*(Settings!$C$11+Settings!$C$12+Settings!$C$14)+IF(C803="",Settings!$C$13,IF(COUNTIF($C$5:C803,C803)=1,Settings!$C$13,0))+E803*Settings!$C$15+IF(H803="Yes",J803*Settings!$C$16,0))</f>
        <v/>
      </c>
      <c r="L803" s="21">
        <f>IF(B803="","",IF(Settings!$C$5="Yes",0,K803*Settings!$C$17))</f>
        <v/>
      </c>
      <c r="M803" s="21">
        <f>IF(B803="","",E803*IFERROR(VLOOKUP(D803,Products!$B$5:$F$204,5,FALSE),0))</f>
        <v/>
      </c>
      <c r="N803" s="21">
        <f>IF(B803="","",J803-K803-L803-M803-I803)</f>
        <v/>
      </c>
    </row>
    <row r="804">
      <c r="B804" s="11" t="n"/>
      <c r="C804" s="8" t="n"/>
      <c r="D804" s="8" t="n"/>
      <c r="E804" s="8" t="n"/>
      <c r="F804" s="20" t="n"/>
      <c r="G804" s="20" t="n"/>
      <c r="H804" s="8" t="n"/>
      <c r="I804" s="20" t="n"/>
      <c r="J804" s="21">
        <f>IF(B804="","",F804+G804)</f>
        <v/>
      </c>
      <c r="K804" s="21">
        <f>IF(B804="","",J804*(Settings!$C$11+Settings!$C$12+Settings!$C$14)+IF(C804="",Settings!$C$13,IF(COUNTIF($C$5:C804,C804)=1,Settings!$C$13,0))+E804*Settings!$C$15+IF(H804="Yes",J804*Settings!$C$16,0))</f>
        <v/>
      </c>
      <c r="L804" s="21">
        <f>IF(B804="","",IF(Settings!$C$5="Yes",0,K804*Settings!$C$17))</f>
        <v/>
      </c>
      <c r="M804" s="21">
        <f>IF(B804="","",E804*IFERROR(VLOOKUP(D804,Products!$B$5:$F$204,5,FALSE),0))</f>
        <v/>
      </c>
      <c r="N804" s="21">
        <f>IF(B804="","",J804-K804-L804-M804-I804)</f>
        <v/>
      </c>
    </row>
    <row r="805">
      <c r="B805" s="11" t="n"/>
      <c r="C805" s="8" t="n"/>
      <c r="D805" s="8" t="n"/>
      <c r="E805" s="8" t="n"/>
      <c r="F805" s="20" t="n"/>
      <c r="G805" s="20" t="n"/>
      <c r="H805" s="8" t="n"/>
      <c r="I805" s="20" t="n"/>
      <c r="J805" s="21">
        <f>IF(B805="","",F805+G805)</f>
        <v/>
      </c>
      <c r="K805" s="21">
        <f>IF(B805="","",J805*(Settings!$C$11+Settings!$C$12+Settings!$C$14)+IF(C805="",Settings!$C$13,IF(COUNTIF($C$5:C805,C805)=1,Settings!$C$13,0))+E805*Settings!$C$15+IF(H805="Yes",J805*Settings!$C$16,0))</f>
        <v/>
      </c>
      <c r="L805" s="21">
        <f>IF(B805="","",IF(Settings!$C$5="Yes",0,K805*Settings!$C$17))</f>
        <v/>
      </c>
      <c r="M805" s="21">
        <f>IF(B805="","",E805*IFERROR(VLOOKUP(D805,Products!$B$5:$F$204,5,FALSE),0))</f>
        <v/>
      </c>
      <c r="N805" s="21">
        <f>IF(B805="","",J805-K805-L805-M805-I805)</f>
        <v/>
      </c>
    </row>
    <row r="806">
      <c r="B806" s="11" t="n"/>
      <c r="C806" s="8" t="n"/>
      <c r="D806" s="8" t="n"/>
      <c r="E806" s="8" t="n"/>
      <c r="F806" s="20" t="n"/>
      <c r="G806" s="20" t="n"/>
      <c r="H806" s="8" t="n"/>
      <c r="I806" s="20" t="n"/>
      <c r="J806" s="21">
        <f>IF(B806="","",F806+G806)</f>
        <v/>
      </c>
      <c r="K806" s="21">
        <f>IF(B806="","",J806*(Settings!$C$11+Settings!$C$12+Settings!$C$14)+IF(C806="",Settings!$C$13,IF(COUNTIF($C$5:C806,C806)=1,Settings!$C$13,0))+E806*Settings!$C$15+IF(H806="Yes",J806*Settings!$C$16,0))</f>
        <v/>
      </c>
      <c r="L806" s="21">
        <f>IF(B806="","",IF(Settings!$C$5="Yes",0,K806*Settings!$C$17))</f>
        <v/>
      </c>
      <c r="M806" s="21">
        <f>IF(B806="","",E806*IFERROR(VLOOKUP(D806,Products!$B$5:$F$204,5,FALSE),0))</f>
        <v/>
      </c>
      <c r="N806" s="21">
        <f>IF(B806="","",J806-K806-L806-M806-I806)</f>
        <v/>
      </c>
    </row>
    <row r="807">
      <c r="B807" s="11" t="n"/>
      <c r="C807" s="8" t="n"/>
      <c r="D807" s="8" t="n"/>
      <c r="E807" s="8" t="n"/>
      <c r="F807" s="20" t="n"/>
      <c r="G807" s="20" t="n"/>
      <c r="H807" s="8" t="n"/>
      <c r="I807" s="20" t="n"/>
      <c r="J807" s="21">
        <f>IF(B807="","",F807+G807)</f>
        <v/>
      </c>
      <c r="K807" s="21">
        <f>IF(B807="","",J807*(Settings!$C$11+Settings!$C$12+Settings!$C$14)+IF(C807="",Settings!$C$13,IF(COUNTIF($C$5:C807,C807)=1,Settings!$C$13,0))+E807*Settings!$C$15+IF(H807="Yes",J807*Settings!$C$16,0))</f>
        <v/>
      </c>
      <c r="L807" s="21">
        <f>IF(B807="","",IF(Settings!$C$5="Yes",0,K807*Settings!$C$17))</f>
        <v/>
      </c>
      <c r="M807" s="21">
        <f>IF(B807="","",E807*IFERROR(VLOOKUP(D807,Products!$B$5:$F$204,5,FALSE),0))</f>
        <v/>
      </c>
      <c r="N807" s="21">
        <f>IF(B807="","",J807-K807-L807-M807-I807)</f>
        <v/>
      </c>
    </row>
    <row r="808">
      <c r="B808" s="11" t="n"/>
      <c r="C808" s="8" t="n"/>
      <c r="D808" s="8" t="n"/>
      <c r="E808" s="8" t="n"/>
      <c r="F808" s="20" t="n"/>
      <c r="G808" s="20" t="n"/>
      <c r="H808" s="8" t="n"/>
      <c r="I808" s="20" t="n"/>
      <c r="J808" s="21">
        <f>IF(B808="","",F808+G808)</f>
        <v/>
      </c>
      <c r="K808" s="21">
        <f>IF(B808="","",J808*(Settings!$C$11+Settings!$C$12+Settings!$C$14)+IF(C808="",Settings!$C$13,IF(COUNTIF($C$5:C808,C808)=1,Settings!$C$13,0))+E808*Settings!$C$15+IF(H808="Yes",J808*Settings!$C$16,0))</f>
        <v/>
      </c>
      <c r="L808" s="21">
        <f>IF(B808="","",IF(Settings!$C$5="Yes",0,K808*Settings!$C$17))</f>
        <v/>
      </c>
      <c r="M808" s="21">
        <f>IF(B808="","",E808*IFERROR(VLOOKUP(D808,Products!$B$5:$F$204,5,FALSE),0))</f>
        <v/>
      </c>
      <c r="N808" s="21">
        <f>IF(B808="","",J808-K808-L808-M808-I808)</f>
        <v/>
      </c>
    </row>
    <row r="809">
      <c r="B809" s="11" t="n"/>
      <c r="C809" s="8" t="n"/>
      <c r="D809" s="8" t="n"/>
      <c r="E809" s="8" t="n"/>
      <c r="F809" s="20" t="n"/>
      <c r="G809" s="20" t="n"/>
      <c r="H809" s="8" t="n"/>
      <c r="I809" s="20" t="n"/>
      <c r="J809" s="21">
        <f>IF(B809="","",F809+G809)</f>
        <v/>
      </c>
      <c r="K809" s="21">
        <f>IF(B809="","",J809*(Settings!$C$11+Settings!$C$12+Settings!$C$14)+IF(C809="",Settings!$C$13,IF(COUNTIF($C$5:C809,C809)=1,Settings!$C$13,0))+E809*Settings!$C$15+IF(H809="Yes",J809*Settings!$C$16,0))</f>
        <v/>
      </c>
      <c r="L809" s="21">
        <f>IF(B809="","",IF(Settings!$C$5="Yes",0,K809*Settings!$C$17))</f>
        <v/>
      </c>
      <c r="M809" s="21">
        <f>IF(B809="","",E809*IFERROR(VLOOKUP(D809,Products!$B$5:$F$204,5,FALSE),0))</f>
        <v/>
      </c>
      <c r="N809" s="21">
        <f>IF(B809="","",J809-K809-L809-M809-I809)</f>
        <v/>
      </c>
    </row>
    <row r="810">
      <c r="B810" s="11" t="n"/>
      <c r="C810" s="8" t="n"/>
      <c r="D810" s="8" t="n"/>
      <c r="E810" s="8" t="n"/>
      <c r="F810" s="20" t="n"/>
      <c r="G810" s="20" t="n"/>
      <c r="H810" s="8" t="n"/>
      <c r="I810" s="20" t="n"/>
      <c r="J810" s="21">
        <f>IF(B810="","",F810+G810)</f>
        <v/>
      </c>
      <c r="K810" s="21">
        <f>IF(B810="","",J810*(Settings!$C$11+Settings!$C$12+Settings!$C$14)+IF(C810="",Settings!$C$13,IF(COUNTIF($C$5:C810,C810)=1,Settings!$C$13,0))+E810*Settings!$C$15+IF(H810="Yes",J810*Settings!$C$16,0))</f>
        <v/>
      </c>
      <c r="L810" s="21">
        <f>IF(B810="","",IF(Settings!$C$5="Yes",0,K810*Settings!$C$17))</f>
        <v/>
      </c>
      <c r="M810" s="21">
        <f>IF(B810="","",E810*IFERROR(VLOOKUP(D810,Products!$B$5:$F$204,5,FALSE),0))</f>
        <v/>
      </c>
      <c r="N810" s="21">
        <f>IF(B810="","",J810-K810-L810-M810-I810)</f>
        <v/>
      </c>
    </row>
    <row r="811">
      <c r="B811" s="11" t="n"/>
      <c r="C811" s="8" t="n"/>
      <c r="D811" s="8" t="n"/>
      <c r="E811" s="8" t="n"/>
      <c r="F811" s="20" t="n"/>
      <c r="G811" s="20" t="n"/>
      <c r="H811" s="8" t="n"/>
      <c r="I811" s="20" t="n"/>
      <c r="J811" s="21">
        <f>IF(B811="","",F811+G811)</f>
        <v/>
      </c>
      <c r="K811" s="21">
        <f>IF(B811="","",J811*(Settings!$C$11+Settings!$C$12+Settings!$C$14)+IF(C811="",Settings!$C$13,IF(COUNTIF($C$5:C811,C811)=1,Settings!$C$13,0))+E811*Settings!$C$15+IF(H811="Yes",J811*Settings!$C$16,0))</f>
        <v/>
      </c>
      <c r="L811" s="21">
        <f>IF(B811="","",IF(Settings!$C$5="Yes",0,K811*Settings!$C$17))</f>
        <v/>
      </c>
      <c r="M811" s="21">
        <f>IF(B811="","",E811*IFERROR(VLOOKUP(D811,Products!$B$5:$F$204,5,FALSE),0))</f>
        <v/>
      </c>
      <c r="N811" s="21">
        <f>IF(B811="","",J811-K811-L811-M811-I811)</f>
        <v/>
      </c>
    </row>
    <row r="812">
      <c r="B812" s="11" t="n"/>
      <c r="C812" s="8" t="n"/>
      <c r="D812" s="8" t="n"/>
      <c r="E812" s="8" t="n"/>
      <c r="F812" s="20" t="n"/>
      <c r="G812" s="20" t="n"/>
      <c r="H812" s="8" t="n"/>
      <c r="I812" s="20" t="n"/>
      <c r="J812" s="21">
        <f>IF(B812="","",F812+G812)</f>
        <v/>
      </c>
      <c r="K812" s="21">
        <f>IF(B812="","",J812*(Settings!$C$11+Settings!$C$12+Settings!$C$14)+IF(C812="",Settings!$C$13,IF(COUNTIF($C$5:C812,C812)=1,Settings!$C$13,0))+E812*Settings!$C$15+IF(H812="Yes",J812*Settings!$C$16,0))</f>
        <v/>
      </c>
      <c r="L812" s="21">
        <f>IF(B812="","",IF(Settings!$C$5="Yes",0,K812*Settings!$C$17))</f>
        <v/>
      </c>
      <c r="M812" s="21">
        <f>IF(B812="","",E812*IFERROR(VLOOKUP(D812,Products!$B$5:$F$204,5,FALSE),0))</f>
        <v/>
      </c>
      <c r="N812" s="21">
        <f>IF(B812="","",J812-K812-L812-M812-I812)</f>
        <v/>
      </c>
    </row>
    <row r="813">
      <c r="B813" s="11" t="n"/>
      <c r="C813" s="8" t="n"/>
      <c r="D813" s="8" t="n"/>
      <c r="E813" s="8" t="n"/>
      <c r="F813" s="20" t="n"/>
      <c r="G813" s="20" t="n"/>
      <c r="H813" s="8" t="n"/>
      <c r="I813" s="20" t="n"/>
      <c r="J813" s="21">
        <f>IF(B813="","",F813+G813)</f>
        <v/>
      </c>
      <c r="K813" s="21">
        <f>IF(B813="","",J813*(Settings!$C$11+Settings!$C$12+Settings!$C$14)+IF(C813="",Settings!$C$13,IF(COUNTIF($C$5:C813,C813)=1,Settings!$C$13,0))+E813*Settings!$C$15+IF(H813="Yes",J813*Settings!$C$16,0))</f>
        <v/>
      </c>
      <c r="L813" s="21">
        <f>IF(B813="","",IF(Settings!$C$5="Yes",0,K813*Settings!$C$17))</f>
        <v/>
      </c>
      <c r="M813" s="21">
        <f>IF(B813="","",E813*IFERROR(VLOOKUP(D813,Products!$B$5:$F$204,5,FALSE),0))</f>
        <v/>
      </c>
      <c r="N813" s="21">
        <f>IF(B813="","",J813-K813-L813-M813-I813)</f>
        <v/>
      </c>
    </row>
    <row r="814">
      <c r="B814" s="11" t="n"/>
      <c r="C814" s="8" t="n"/>
      <c r="D814" s="8" t="n"/>
      <c r="E814" s="8" t="n"/>
      <c r="F814" s="20" t="n"/>
      <c r="G814" s="20" t="n"/>
      <c r="H814" s="8" t="n"/>
      <c r="I814" s="20" t="n"/>
      <c r="J814" s="21">
        <f>IF(B814="","",F814+G814)</f>
        <v/>
      </c>
      <c r="K814" s="21">
        <f>IF(B814="","",J814*(Settings!$C$11+Settings!$C$12+Settings!$C$14)+IF(C814="",Settings!$C$13,IF(COUNTIF($C$5:C814,C814)=1,Settings!$C$13,0))+E814*Settings!$C$15+IF(H814="Yes",J814*Settings!$C$16,0))</f>
        <v/>
      </c>
      <c r="L814" s="21">
        <f>IF(B814="","",IF(Settings!$C$5="Yes",0,K814*Settings!$C$17))</f>
        <v/>
      </c>
      <c r="M814" s="21">
        <f>IF(B814="","",E814*IFERROR(VLOOKUP(D814,Products!$B$5:$F$204,5,FALSE),0))</f>
        <v/>
      </c>
      <c r="N814" s="21">
        <f>IF(B814="","",J814-K814-L814-M814-I814)</f>
        <v/>
      </c>
    </row>
    <row r="815">
      <c r="B815" s="11" t="n"/>
      <c r="C815" s="8" t="n"/>
      <c r="D815" s="8" t="n"/>
      <c r="E815" s="8" t="n"/>
      <c r="F815" s="20" t="n"/>
      <c r="G815" s="20" t="n"/>
      <c r="H815" s="8" t="n"/>
      <c r="I815" s="20" t="n"/>
      <c r="J815" s="21">
        <f>IF(B815="","",F815+G815)</f>
        <v/>
      </c>
      <c r="K815" s="21">
        <f>IF(B815="","",J815*(Settings!$C$11+Settings!$C$12+Settings!$C$14)+IF(C815="",Settings!$C$13,IF(COUNTIF($C$5:C815,C815)=1,Settings!$C$13,0))+E815*Settings!$C$15+IF(H815="Yes",J815*Settings!$C$16,0))</f>
        <v/>
      </c>
      <c r="L815" s="21">
        <f>IF(B815="","",IF(Settings!$C$5="Yes",0,K815*Settings!$C$17))</f>
        <v/>
      </c>
      <c r="M815" s="21">
        <f>IF(B815="","",E815*IFERROR(VLOOKUP(D815,Products!$B$5:$F$204,5,FALSE),0))</f>
        <v/>
      </c>
      <c r="N815" s="21">
        <f>IF(B815="","",J815-K815-L815-M815-I815)</f>
        <v/>
      </c>
    </row>
    <row r="816">
      <c r="B816" s="11" t="n"/>
      <c r="C816" s="8" t="n"/>
      <c r="D816" s="8" t="n"/>
      <c r="E816" s="8" t="n"/>
      <c r="F816" s="20" t="n"/>
      <c r="G816" s="20" t="n"/>
      <c r="H816" s="8" t="n"/>
      <c r="I816" s="20" t="n"/>
      <c r="J816" s="21">
        <f>IF(B816="","",F816+G816)</f>
        <v/>
      </c>
      <c r="K816" s="21">
        <f>IF(B816="","",J816*(Settings!$C$11+Settings!$C$12+Settings!$C$14)+IF(C816="",Settings!$C$13,IF(COUNTIF($C$5:C816,C816)=1,Settings!$C$13,0))+E816*Settings!$C$15+IF(H816="Yes",J816*Settings!$C$16,0))</f>
        <v/>
      </c>
      <c r="L816" s="21">
        <f>IF(B816="","",IF(Settings!$C$5="Yes",0,K816*Settings!$C$17))</f>
        <v/>
      </c>
      <c r="M816" s="21">
        <f>IF(B816="","",E816*IFERROR(VLOOKUP(D816,Products!$B$5:$F$204,5,FALSE),0))</f>
        <v/>
      </c>
      <c r="N816" s="21">
        <f>IF(B816="","",J816-K816-L816-M816-I816)</f>
        <v/>
      </c>
    </row>
    <row r="817">
      <c r="B817" s="11" t="n"/>
      <c r="C817" s="8" t="n"/>
      <c r="D817" s="8" t="n"/>
      <c r="E817" s="8" t="n"/>
      <c r="F817" s="20" t="n"/>
      <c r="G817" s="20" t="n"/>
      <c r="H817" s="8" t="n"/>
      <c r="I817" s="20" t="n"/>
      <c r="J817" s="21">
        <f>IF(B817="","",F817+G817)</f>
        <v/>
      </c>
      <c r="K817" s="21">
        <f>IF(B817="","",J817*(Settings!$C$11+Settings!$C$12+Settings!$C$14)+IF(C817="",Settings!$C$13,IF(COUNTIF($C$5:C817,C817)=1,Settings!$C$13,0))+E817*Settings!$C$15+IF(H817="Yes",J817*Settings!$C$16,0))</f>
        <v/>
      </c>
      <c r="L817" s="21">
        <f>IF(B817="","",IF(Settings!$C$5="Yes",0,K817*Settings!$C$17))</f>
        <v/>
      </c>
      <c r="M817" s="21">
        <f>IF(B817="","",E817*IFERROR(VLOOKUP(D817,Products!$B$5:$F$204,5,FALSE),0))</f>
        <v/>
      </c>
      <c r="N817" s="21">
        <f>IF(B817="","",J817-K817-L817-M817-I817)</f>
        <v/>
      </c>
    </row>
    <row r="818">
      <c r="B818" s="11" t="n"/>
      <c r="C818" s="8" t="n"/>
      <c r="D818" s="8" t="n"/>
      <c r="E818" s="8" t="n"/>
      <c r="F818" s="20" t="n"/>
      <c r="G818" s="20" t="n"/>
      <c r="H818" s="8" t="n"/>
      <c r="I818" s="20" t="n"/>
      <c r="J818" s="21">
        <f>IF(B818="","",F818+G818)</f>
        <v/>
      </c>
      <c r="K818" s="21">
        <f>IF(B818="","",J818*(Settings!$C$11+Settings!$C$12+Settings!$C$14)+IF(C818="",Settings!$C$13,IF(COUNTIF($C$5:C818,C818)=1,Settings!$C$13,0))+E818*Settings!$C$15+IF(H818="Yes",J818*Settings!$C$16,0))</f>
        <v/>
      </c>
      <c r="L818" s="21">
        <f>IF(B818="","",IF(Settings!$C$5="Yes",0,K818*Settings!$C$17))</f>
        <v/>
      </c>
      <c r="M818" s="21">
        <f>IF(B818="","",E818*IFERROR(VLOOKUP(D818,Products!$B$5:$F$204,5,FALSE),0))</f>
        <v/>
      </c>
      <c r="N818" s="21">
        <f>IF(B818="","",J818-K818-L818-M818-I818)</f>
        <v/>
      </c>
    </row>
    <row r="819">
      <c r="B819" s="11" t="n"/>
      <c r="C819" s="8" t="n"/>
      <c r="D819" s="8" t="n"/>
      <c r="E819" s="8" t="n"/>
      <c r="F819" s="20" t="n"/>
      <c r="G819" s="20" t="n"/>
      <c r="H819" s="8" t="n"/>
      <c r="I819" s="20" t="n"/>
      <c r="J819" s="21">
        <f>IF(B819="","",F819+G819)</f>
        <v/>
      </c>
      <c r="K819" s="21">
        <f>IF(B819="","",J819*(Settings!$C$11+Settings!$C$12+Settings!$C$14)+IF(C819="",Settings!$C$13,IF(COUNTIF($C$5:C819,C819)=1,Settings!$C$13,0))+E819*Settings!$C$15+IF(H819="Yes",J819*Settings!$C$16,0))</f>
        <v/>
      </c>
      <c r="L819" s="21">
        <f>IF(B819="","",IF(Settings!$C$5="Yes",0,K819*Settings!$C$17))</f>
        <v/>
      </c>
      <c r="M819" s="21">
        <f>IF(B819="","",E819*IFERROR(VLOOKUP(D819,Products!$B$5:$F$204,5,FALSE),0))</f>
        <v/>
      </c>
      <c r="N819" s="21">
        <f>IF(B819="","",J819-K819-L819-M819-I819)</f>
        <v/>
      </c>
    </row>
    <row r="820">
      <c r="B820" s="11" t="n"/>
      <c r="C820" s="8" t="n"/>
      <c r="D820" s="8" t="n"/>
      <c r="E820" s="8" t="n"/>
      <c r="F820" s="20" t="n"/>
      <c r="G820" s="20" t="n"/>
      <c r="H820" s="8" t="n"/>
      <c r="I820" s="20" t="n"/>
      <c r="J820" s="21">
        <f>IF(B820="","",F820+G820)</f>
        <v/>
      </c>
      <c r="K820" s="21">
        <f>IF(B820="","",J820*(Settings!$C$11+Settings!$C$12+Settings!$C$14)+IF(C820="",Settings!$C$13,IF(COUNTIF($C$5:C820,C820)=1,Settings!$C$13,0))+E820*Settings!$C$15+IF(H820="Yes",J820*Settings!$C$16,0))</f>
        <v/>
      </c>
      <c r="L820" s="21">
        <f>IF(B820="","",IF(Settings!$C$5="Yes",0,K820*Settings!$C$17))</f>
        <v/>
      </c>
      <c r="M820" s="21">
        <f>IF(B820="","",E820*IFERROR(VLOOKUP(D820,Products!$B$5:$F$204,5,FALSE),0))</f>
        <v/>
      </c>
      <c r="N820" s="21">
        <f>IF(B820="","",J820-K820-L820-M820-I820)</f>
        <v/>
      </c>
    </row>
    <row r="821">
      <c r="B821" s="11" t="n"/>
      <c r="C821" s="8" t="n"/>
      <c r="D821" s="8" t="n"/>
      <c r="E821" s="8" t="n"/>
      <c r="F821" s="20" t="n"/>
      <c r="G821" s="20" t="n"/>
      <c r="H821" s="8" t="n"/>
      <c r="I821" s="20" t="n"/>
      <c r="J821" s="21">
        <f>IF(B821="","",F821+G821)</f>
        <v/>
      </c>
      <c r="K821" s="21">
        <f>IF(B821="","",J821*(Settings!$C$11+Settings!$C$12+Settings!$C$14)+IF(C821="",Settings!$C$13,IF(COUNTIF($C$5:C821,C821)=1,Settings!$C$13,0))+E821*Settings!$C$15+IF(H821="Yes",J821*Settings!$C$16,0))</f>
        <v/>
      </c>
      <c r="L821" s="21">
        <f>IF(B821="","",IF(Settings!$C$5="Yes",0,K821*Settings!$C$17))</f>
        <v/>
      </c>
      <c r="M821" s="21">
        <f>IF(B821="","",E821*IFERROR(VLOOKUP(D821,Products!$B$5:$F$204,5,FALSE),0))</f>
        <v/>
      </c>
      <c r="N821" s="21">
        <f>IF(B821="","",J821-K821-L821-M821-I821)</f>
        <v/>
      </c>
    </row>
    <row r="822">
      <c r="B822" s="11" t="n"/>
      <c r="C822" s="8" t="n"/>
      <c r="D822" s="8" t="n"/>
      <c r="E822" s="8" t="n"/>
      <c r="F822" s="20" t="n"/>
      <c r="G822" s="20" t="n"/>
      <c r="H822" s="8" t="n"/>
      <c r="I822" s="20" t="n"/>
      <c r="J822" s="21">
        <f>IF(B822="","",F822+G822)</f>
        <v/>
      </c>
      <c r="K822" s="21">
        <f>IF(B822="","",J822*(Settings!$C$11+Settings!$C$12+Settings!$C$14)+IF(C822="",Settings!$C$13,IF(COUNTIF($C$5:C822,C822)=1,Settings!$C$13,0))+E822*Settings!$C$15+IF(H822="Yes",J822*Settings!$C$16,0))</f>
        <v/>
      </c>
      <c r="L822" s="21">
        <f>IF(B822="","",IF(Settings!$C$5="Yes",0,K822*Settings!$C$17))</f>
        <v/>
      </c>
      <c r="M822" s="21">
        <f>IF(B822="","",E822*IFERROR(VLOOKUP(D822,Products!$B$5:$F$204,5,FALSE),0))</f>
        <v/>
      </c>
      <c r="N822" s="21">
        <f>IF(B822="","",J822-K822-L822-M822-I822)</f>
        <v/>
      </c>
    </row>
    <row r="823">
      <c r="B823" s="11" t="n"/>
      <c r="C823" s="8" t="n"/>
      <c r="D823" s="8" t="n"/>
      <c r="E823" s="8" t="n"/>
      <c r="F823" s="20" t="n"/>
      <c r="G823" s="20" t="n"/>
      <c r="H823" s="8" t="n"/>
      <c r="I823" s="20" t="n"/>
      <c r="J823" s="21">
        <f>IF(B823="","",F823+G823)</f>
        <v/>
      </c>
      <c r="K823" s="21">
        <f>IF(B823="","",J823*(Settings!$C$11+Settings!$C$12+Settings!$C$14)+IF(C823="",Settings!$C$13,IF(COUNTIF($C$5:C823,C823)=1,Settings!$C$13,0))+E823*Settings!$C$15+IF(H823="Yes",J823*Settings!$C$16,0))</f>
        <v/>
      </c>
      <c r="L823" s="21">
        <f>IF(B823="","",IF(Settings!$C$5="Yes",0,K823*Settings!$C$17))</f>
        <v/>
      </c>
      <c r="M823" s="21">
        <f>IF(B823="","",E823*IFERROR(VLOOKUP(D823,Products!$B$5:$F$204,5,FALSE),0))</f>
        <v/>
      </c>
      <c r="N823" s="21">
        <f>IF(B823="","",J823-K823-L823-M823-I823)</f>
        <v/>
      </c>
    </row>
    <row r="824">
      <c r="B824" s="11" t="n"/>
      <c r="C824" s="8" t="n"/>
      <c r="D824" s="8" t="n"/>
      <c r="E824" s="8" t="n"/>
      <c r="F824" s="20" t="n"/>
      <c r="G824" s="20" t="n"/>
      <c r="H824" s="8" t="n"/>
      <c r="I824" s="20" t="n"/>
      <c r="J824" s="21">
        <f>IF(B824="","",F824+G824)</f>
        <v/>
      </c>
      <c r="K824" s="21">
        <f>IF(B824="","",J824*(Settings!$C$11+Settings!$C$12+Settings!$C$14)+IF(C824="",Settings!$C$13,IF(COUNTIF($C$5:C824,C824)=1,Settings!$C$13,0))+E824*Settings!$C$15+IF(H824="Yes",J824*Settings!$C$16,0))</f>
        <v/>
      </c>
      <c r="L824" s="21">
        <f>IF(B824="","",IF(Settings!$C$5="Yes",0,K824*Settings!$C$17))</f>
        <v/>
      </c>
      <c r="M824" s="21">
        <f>IF(B824="","",E824*IFERROR(VLOOKUP(D824,Products!$B$5:$F$204,5,FALSE),0))</f>
        <v/>
      </c>
      <c r="N824" s="21">
        <f>IF(B824="","",J824-K824-L824-M824-I824)</f>
        <v/>
      </c>
    </row>
    <row r="825">
      <c r="B825" s="11" t="n"/>
      <c r="C825" s="8" t="n"/>
      <c r="D825" s="8" t="n"/>
      <c r="E825" s="8" t="n"/>
      <c r="F825" s="20" t="n"/>
      <c r="G825" s="20" t="n"/>
      <c r="H825" s="8" t="n"/>
      <c r="I825" s="20" t="n"/>
      <c r="J825" s="21">
        <f>IF(B825="","",F825+G825)</f>
        <v/>
      </c>
      <c r="K825" s="21">
        <f>IF(B825="","",J825*(Settings!$C$11+Settings!$C$12+Settings!$C$14)+IF(C825="",Settings!$C$13,IF(COUNTIF($C$5:C825,C825)=1,Settings!$C$13,0))+E825*Settings!$C$15+IF(H825="Yes",J825*Settings!$C$16,0))</f>
        <v/>
      </c>
      <c r="L825" s="21">
        <f>IF(B825="","",IF(Settings!$C$5="Yes",0,K825*Settings!$C$17))</f>
        <v/>
      </c>
      <c r="M825" s="21">
        <f>IF(B825="","",E825*IFERROR(VLOOKUP(D825,Products!$B$5:$F$204,5,FALSE),0))</f>
        <v/>
      </c>
      <c r="N825" s="21">
        <f>IF(B825="","",J825-K825-L825-M825-I825)</f>
        <v/>
      </c>
    </row>
    <row r="826">
      <c r="B826" s="11" t="n"/>
      <c r="C826" s="8" t="n"/>
      <c r="D826" s="8" t="n"/>
      <c r="E826" s="8" t="n"/>
      <c r="F826" s="20" t="n"/>
      <c r="G826" s="20" t="n"/>
      <c r="H826" s="8" t="n"/>
      <c r="I826" s="20" t="n"/>
      <c r="J826" s="21">
        <f>IF(B826="","",F826+G826)</f>
        <v/>
      </c>
      <c r="K826" s="21">
        <f>IF(B826="","",J826*(Settings!$C$11+Settings!$C$12+Settings!$C$14)+IF(C826="",Settings!$C$13,IF(COUNTIF($C$5:C826,C826)=1,Settings!$C$13,0))+E826*Settings!$C$15+IF(H826="Yes",J826*Settings!$C$16,0))</f>
        <v/>
      </c>
      <c r="L826" s="21">
        <f>IF(B826="","",IF(Settings!$C$5="Yes",0,K826*Settings!$C$17))</f>
        <v/>
      </c>
      <c r="M826" s="21">
        <f>IF(B826="","",E826*IFERROR(VLOOKUP(D826,Products!$B$5:$F$204,5,FALSE),0))</f>
        <v/>
      </c>
      <c r="N826" s="21">
        <f>IF(B826="","",J826-K826-L826-M826-I826)</f>
        <v/>
      </c>
    </row>
    <row r="827">
      <c r="B827" s="11" t="n"/>
      <c r="C827" s="8" t="n"/>
      <c r="D827" s="8" t="n"/>
      <c r="E827" s="8" t="n"/>
      <c r="F827" s="20" t="n"/>
      <c r="G827" s="20" t="n"/>
      <c r="H827" s="8" t="n"/>
      <c r="I827" s="20" t="n"/>
      <c r="J827" s="21">
        <f>IF(B827="","",F827+G827)</f>
        <v/>
      </c>
      <c r="K827" s="21">
        <f>IF(B827="","",J827*(Settings!$C$11+Settings!$C$12+Settings!$C$14)+IF(C827="",Settings!$C$13,IF(COUNTIF($C$5:C827,C827)=1,Settings!$C$13,0))+E827*Settings!$C$15+IF(H827="Yes",J827*Settings!$C$16,0))</f>
        <v/>
      </c>
      <c r="L827" s="21">
        <f>IF(B827="","",IF(Settings!$C$5="Yes",0,K827*Settings!$C$17))</f>
        <v/>
      </c>
      <c r="M827" s="21">
        <f>IF(B827="","",E827*IFERROR(VLOOKUP(D827,Products!$B$5:$F$204,5,FALSE),0))</f>
        <v/>
      </c>
      <c r="N827" s="21">
        <f>IF(B827="","",J827-K827-L827-M827-I827)</f>
        <v/>
      </c>
    </row>
    <row r="828">
      <c r="B828" s="11" t="n"/>
      <c r="C828" s="8" t="n"/>
      <c r="D828" s="8" t="n"/>
      <c r="E828" s="8" t="n"/>
      <c r="F828" s="20" t="n"/>
      <c r="G828" s="20" t="n"/>
      <c r="H828" s="8" t="n"/>
      <c r="I828" s="20" t="n"/>
      <c r="J828" s="21">
        <f>IF(B828="","",F828+G828)</f>
        <v/>
      </c>
      <c r="K828" s="21">
        <f>IF(B828="","",J828*(Settings!$C$11+Settings!$C$12+Settings!$C$14)+IF(C828="",Settings!$C$13,IF(COUNTIF($C$5:C828,C828)=1,Settings!$C$13,0))+E828*Settings!$C$15+IF(H828="Yes",J828*Settings!$C$16,0))</f>
        <v/>
      </c>
      <c r="L828" s="21">
        <f>IF(B828="","",IF(Settings!$C$5="Yes",0,K828*Settings!$C$17))</f>
        <v/>
      </c>
      <c r="M828" s="21">
        <f>IF(B828="","",E828*IFERROR(VLOOKUP(D828,Products!$B$5:$F$204,5,FALSE),0))</f>
        <v/>
      </c>
      <c r="N828" s="21">
        <f>IF(B828="","",J828-K828-L828-M828-I828)</f>
        <v/>
      </c>
    </row>
    <row r="829">
      <c r="B829" s="11" t="n"/>
      <c r="C829" s="8" t="n"/>
      <c r="D829" s="8" t="n"/>
      <c r="E829" s="8" t="n"/>
      <c r="F829" s="20" t="n"/>
      <c r="G829" s="20" t="n"/>
      <c r="H829" s="8" t="n"/>
      <c r="I829" s="20" t="n"/>
      <c r="J829" s="21">
        <f>IF(B829="","",F829+G829)</f>
        <v/>
      </c>
      <c r="K829" s="21">
        <f>IF(B829="","",J829*(Settings!$C$11+Settings!$C$12+Settings!$C$14)+IF(C829="",Settings!$C$13,IF(COUNTIF($C$5:C829,C829)=1,Settings!$C$13,0))+E829*Settings!$C$15+IF(H829="Yes",J829*Settings!$C$16,0))</f>
        <v/>
      </c>
      <c r="L829" s="21">
        <f>IF(B829="","",IF(Settings!$C$5="Yes",0,K829*Settings!$C$17))</f>
        <v/>
      </c>
      <c r="M829" s="21">
        <f>IF(B829="","",E829*IFERROR(VLOOKUP(D829,Products!$B$5:$F$204,5,FALSE),0))</f>
        <v/>
      </c>
      <c r="N829" s="21">
        <f>IF(B829="","",J829-K829-L829-M829-I829)</f>
        <v/>
      </c>
    </row>
    <row r="830">
      <c r="B830" s="11" t="n"/>
      <c r="C830" s="8" t="n"/>
      <c r="D830" s="8" t="n"/>
      <c r="E830" s="8" t="n"/>
      <c r="F830" s="20" t="n"/>
      <c r="G830" s="20" t="n"/>
      <c r="H830" s="8" t="n"/>
      <c r="I830" s="20" t="n"/>
      <c r="J830" s="21">
        <f>IF(B830="","",F830+G830)</f>
        <v/>
      </c>
      <c r="K830" s="21">
        <f>IF(B830="","",J830*(Settings!$C$11+Settings!$C$12+Settings!$C$14)+IF(C830="",Settings!$C$13,IF(COUNTIF($C$5:C830,C830)=1,Settings!$C$13,0))+E830*Settings!$C$15+IF(H830="Yes",J830*Settings!$C$16,0))</f>
        <v/>
      </c>
      <c r="L830" s="21">
        <f>IF(B830="","",IF(Settings!$C$5="Yes",0,K830*Settings!$C$17))</f>
        <v/>
      </c>
      <c r="M830" s="21">
        <f>IF(B830="","",E830*IFERROR(VLOOKUP(D830,Products!$B$5:$F$204,5,FALSE),0))</f>
        <v/>
      </c>
      <c r="N830" s="21">
        <f>IF(B830="","",J830-K830-L830-M830-I830)</f>
        <v/>
      </c>
    </row>
    <row r="831">
      <c r="B831" s="11" t="n"/>
      <c r="C831" s="8" t="n"/>
      <c r="D831" s="8" t="n"/>
      <c r="E831" s="8" t="n"/>
      <c r="F831" s="20" t="n"/>
      <c r="G831" s="20" t="n"/>
      <c r="H831" s="8" t="n"/>
      <c r="I831" s="20" t="n"/>
      <c r="J831" s="21">
        <f>IF(B831="","",F831+G831)</f>
        <v/>
      </c>
      <c r="K831" s="21">
        <f>IF(B831="","",J831*(Settings!$C$11+Settings!$C$12+Settings!$C$14)+IF(C831="",Settings!$C$13,IF(COUNTIF($C$5:C831,C831)=1,Settings!$C$13,0))+E831*Settings!$C$15+IF(H831="Yes",J831*Settings!$C$16,0))</f>
        <v/>
      </c>
      <c r="L831" s="21">
        <f>IF(B831="","",IF(Settings!$C$5="Yes",0,K831*Settings!$C$17))</f>
        <v/>
      </c>
      <c r="M831" s="21">
        <f>IF(B831="","",E831*IFERROR(VLOOKUP(D831,Products!$B$5:$F$204,5,FALSE),0))</f>
        <v/>
      </c>
      <c r="N831" s="21">
        <f>IF(B831="","",J831-K831-L831-M831-I831)</f>
        <v/>
      </c>
    </row>
    <row r="832">
      <c r="B832" s="11" t="n"/>
      <c r="C832" s="8" t="n"/>
      <c r="D832" s="8" t="n"/>
      <c r="E832" s="8" t="n"/>
      <c r="F832" s="20" t="n"/>
      <c r="G832" s="20" t="n"/>
      <c r="H832" s="8" t="n"/>
      <c r="I832" s="20" t="n"/>
      <c r="J832" s="21">
        <f>IF(B832="","",F832+G832)</f>
        <v/>
      </c>
      <c r="K832" s="21">
        <f>IF(B832="","",J832*(Settings!$C$11+Settings!$C$12+Settings!$C$14)+IF(C832="",Settings!$C$13,IF(COUNTIF($C$5:C832,C832)=1,Settings!$C$13,0))+E832*Settings!$C$15+IF(H832="Yes",J832*Settings!$C$16,0))</f>
        <v/>
      </c>
      <c r="L832" s="21">
        <f>IF(B832="","",IF(Settings!$C$5="Yes",0,K832*Settings!$C$17))</f>
        <v/>
      </c>
      <c r="M832" s="21">
        <f>IF(B832="","",E832*IFERROR(VLOOKUP(D832,Products!$B$5:$F$204,5,FALSE),0))</f>
        <v/>
      </c>
      <c r="N832" s="21">
        <f>IF(B832="","",J832-K832-L832-M832-I832)</f>
        <v/>
      </c>
    </row>
    <row r="833">
      <c r="B833" s="11" t="n"/>
      <c r="C833" s="8" t="n"/>
      <c r="D833" s="8" t="n"/>
      <c r="E833" s="8" t="n"/>
      <c r="F833" s="20" t="n"/>
      <c r="G833" s="20" t="n"/>
      <c r="H833" s="8" t="n"/>
      <c r="I833" s="20" t="n"/>
      <c r="J833" s="21">
        <f>IF(B833="","",F833+G833)</f>
        <v/>
      </c>
      <c r="K833" s="21">
        <f>IF(B833="","",J833*(Settings!$C$11+Settings!$C$12+Settings!$C$14)+IF(C833="",Settings!$C$13,IF(COUNTIF($C$5:C833,C833)=1,Settings!$C$13,0))+E833*Settings!$C$15+IF(H833="Yes",J833*Settings!$C$16,0))</f>
        <v/>
      </c>
      <c r="L833" s="21">
        <f>IF(B833="","",IF(Settings!$C$5="Yes",0,K833*Settings!$C$17))</f>
        <v/>
      </c>
      <c r="M833" s="21">
        <f>IF(B833="","",E833*IFERROR(VLOOKUP(D833,Products!$B$5:$F$204,5,FALSE),0))</f>
        <v/>
      </c>
      <c r="N833" s="21">
        <f>IF(B833="","",J833-K833-L833-M833-I833)</f>
        <v/>
      </c>
    </row>
    <row r="834">
      <c r="B834" s="11" t="n"/>
      <c r="C834" s="8" t="n"/>
      <c r="D834" s="8" t="n"/>
      <c r="E834" s="8" t="n"/>
      <c r="F834" s="20" t="n"/>
      <c r="G834" s="20" t="n"/>
      <c r="H834" s="8" t="n"/>
      <c r="I834" s="20" t="n"/>
      <c r="J834" s="21">
        <f>IF(B834="","",F834+G834)</f>
        <v/>
      </c>
      <c r="K834" s="21">
        <f>IF(B834="","",J834*(Settings!$C$11+Settings!$C$12+Settings!$C$14)+IF(C834="",Settings!$C$13,IF(COUNTIF($C$5:C834,C834)=1,Settings!$C$13,0))+E834*Settings!$C$15+IF(H834="Yes",J834*Settings!$C$16,0))</f>
        <v/>
      </c>
      <c r="L834" s="21">
        <f>IF(B834="","",IF(Settings!$C$5="Yes",0,K834*Settings!$C$17))</f>
        <v/>
      </c>
      <c r="M834" s="21">
        <f>IF(B834="","",E834*IFERROR(VLOOKUP(D834,Products!$B$5:$F$204,5,FALSE),0))</f>
        <v/>
      </c>
      <c r="N834" s="21">
        <f>IF(B834="","",J834-K834-L834-M834-I834)</f>
        <v/>
      </c>
    </row>
    <row r="835">
      <c r="B835" s="11" t="n"/>
      <c r="C835" s="8" t="n"/>
      <c r="D835" s="8" t="n"/>
      <c r="E835" s="8" t="n"/>
      <c r="F835" s="20" t="n"/>
      <c r="G835" s="20" t="n"/>
      <c r="H835" s="8" t="n"/>
      <c r="I835" s="20" t="n"/>
      <c r="J835" s="21">
        <f>IF(B835="","",F835+G835)</f>
        <v/>
      </c>
      <c r="K835" s="21">
        <f>IF(B835="","",J835*(Settings!$C$11+Settings!$C$12+Settings!$C$14)+IF(C835="",Settings!$C$13,IF(COUNTIF($C$5:C835,C835)=1,Settings!$C$13,0))+E835*Settings!$C$15+IF(H835="Yes",J835*Settings!$C$16,0))</f>
        <v/>
      </c>
      <c r="L835" s="21">
        <f>IF(B835="","",IF(Settings!$C$5="Yes",0,K835*Settings!$C$17))</f>
        <v/>
      </c>
      <c r="M835" s="21">
        <f>IF(B835="","",E835*IFERROR(VLOOKUP(D835,Products!$B$5:$F$204,5,FALSE),0))</f>
        <v/>
      </c>
      <c r="N835" s="21">
        <f>IF(B835="","",J835-K835-L835-M835-I835)</f>
        <v/>
      </c>
    </row>
    <row r="836">
      <c r="B836" s="11" t="n"/>
      <c r="C836" s="8" t="n"/>
      <c r="D836" s="8" t="n"/>
      <c r="E836" s="8" t="n"/>
      <c r="F836" s="20" t="n"/>
      <c r="G836" s="20" t="n"/>
      <c r="H836" s="8" t="n"/>
      <c r="I836" s="20" t="n"/>
      <c r="J836" s="21">
        <f>IF(B836="","",F836+G836)</f>
        <v/>
      </c>
      <c r="K836" s="21">
        <f>IF(B836="","",J836*(Settings!$C$11+Settings!$C$12+Settings!$C$14)+IF(C836="",Settings!$C$13,IF(COUNTIF($C$5:C836,C836)=1,Settings!$C$13,0))+E836*Settings!$C$15+IF(H836="Yes",J836*Settings!$C$16,0))</f>
        <v/>
      </c>
      <c r="L836" s="21">
        <f>IF(B836="","",IF(Settings!$C$5="Yes",0,K836*Settings!$C$17))</f>
        <v/>
      </c>
      <c r="M836" s="21">
        <f>IF(B836="","",E836*IFERROR(VLOOKUP(D836,Products!$B$5:$F$204,5,FALSE),0))</f>
        <v/>
      </c>
      <c r="N836" s="21">
        <f>IF(B836="","",J836-K836-L836-M836-I836)</f>
        <v/>
      </c>
    </row>
    <row r="837">
      <c r="B837" s="11" t="n"/>
      <c r="C837" s="8" t="n"/>
      <c r="D837" s="8" t="n"/>
      <c r="E837" s="8" t="n"/>
      <c r="F837" s="20" t="n"/>
      <c r="G837" s="20" t="n"/>
      <c r="H837" s="8" t="n"/>
      <c r="I837" s="20" t="n"/>
      <c r="J837" s="21">
        <f>IF(B837="","",F837+G837)</f>
        <v/>
      </c>
      <c r="K837" s="21">
        <f>IF(B837="","",J837*(Settings!$C$11+Settings!$C$12+Settings!$C$14)+IF(C837="",Settings!$C$13,IF(COUNTIF($C$5:C837,C837)=1,Settings!$C$13,0))+E837*Settings!$C$15+IF(H837="Yes",J837*Settings!$C$16,0))</f>
        <v/>
      </c>
      <c r="L837" s="21">
        <f>IF(B837="","",IF(Settings!$C$5="Yes",0,K837*Settings!$C$17))</f>
        <v/>
      </c>
      <c r="M837" s="21">
        <f>IF(B837="","",E837*IFERROR(VLOOKUP(D837,Products!$B$5:$F$204,5,FALSE),0))</f>
        <v/>
      </c>
      <c r="N837" s="21">
        <f>IF(B837="","",J837-K837-L837-M837-I837)</f>
        <v/>
      </c>
    </row>
    <row r="838">
      <c r="B838" s="11" t="n"/>
      <c r="C838" s="8" t="n"/>
      <c r="D838" s="8" t="n"/>
      <c r="E838" s="8" t="n"/>
      <c r="F838" s="20" t="n"/>
      <c r="G838" s="20" t="n"/>
      <c r="H838" s="8" t="n"/>
      <c r="I838" s="20" t="n"/>
      <c r="J838" s="21">
        <f>IF(B838="","",F838+G838)</f>
        <v/>
      </c>
      <c r="K838" s="21">
        <f>IF(B838="","",J838*(Settings!$C$11+Settings!$C$12+Settings!$C$14)+IF(C838="",Settings!$C$13,IF(COUNTIF($C$5:C838,C838)=1,Settings!$C$13,0))+E838*Settings!$C$15+IF(H838="Yes",J838*Settings!$C$16,0))</f>
        <v/>
      </c>
      <c r="L838" s="21">
        <f>IF(B838="","",IF(Settings!$C$5="Yes",0,K838*Settings!$C$17))</f>
        <v/>
      </c>
      <c r="M838" s="21">
        <f>IF(B838="","",E838*IFERROR(VLOOKUP(D838,Products!$B$5:$F$204,5,FALSE),0))</f>
        <v/>
      </c>
      <c r="N838" s="21">
        <f>IF(B838="","",J838-K838-L838-M838-I838)</f>
        <v/>
      </c>
    </row>
    <row r="839">
      <c r="B839" s="11" t="n"/>
      <c r="C839" s="8" t="n"/>
      <c r="D839" s="8" t="n"/>
      <c r="E839" s="8" t="n"/>
      <c r="F839" s="20" t="n"/>
      <c r="G839" s="20" t="n"/>
      <c r="H839" s="8" t="n"/>
      <c r="I839" s="20" t="n"/>
      <c r="J839" s="21">
        <f>IF(B839="","",F839+G839)</f>
        <v/>
      </c>
      <c r="K839" s="21">
        <f>IF(B839="","",J839*(Settings!$C$11+Settings!$C$12+Settings!$C$14)+IF(C839="",Settings!$C$13,IF(COUNTIF($C$5:C839,C839)=1,Settings!$C$13,0))+E839*Settings!$C$15+IF(H839="Yes",J839*Settings!$C$16,0))</f>
        <v/>
      </c>
      <c r="L839" s="21">
        <f>IF(B839="","",IF(Settings!$C$5="Yes",0,K839*Settings!$C$17))</f>
        <v/>
      </c>
      <c r="M839" s="21">
        <f>IF(B839="","",E839*IFERROR(VLOOKUP(D839,Products!$B$5:$F$204,5,FALSE),0))</f>
        <v/>
      </c>
      <c r="N839" s="21">
        <f>IF(B839="","",J839-K839-L839-M839-I839)</f>
        <v/>
      </c>
    </row>
    <row r="840">
      <c r="B840" s="11" t="n"/>
      <c r="C840" s="8" t="n"/>
      <c r="D840" s="8" t="n"/>
      <c r="E840" s="8" t="n"/>
      <c r="F840" s="20" t="n"/>
      <c r="G840" s="20" t="n"/>
      <c r="H840" s="8" t="n"/>
      <c r="I840" s="20" t="n"/>
      <c r="J840" s="21">
        <f>IF(B840="","",F840+G840)</f>
        <v/>
      </c>
      <c r="K840" s="21">
        <f>IF(B840="","",J840*(Settings!$C$11+Settings!$C$12+Settings!$C$14)+IF(C840="",Settings!$C$13,IF(COUNTIF($C$5:C840,C840)=1,Settings!$C$13,0))+E840*Settings!$C$15+IF(H840="Yes",J840*Settings!$C$16,0))</f>
        <v/>
      </c>
      <c r="L840" s="21">
        <f>IF(B840="","",IF(Settings!$C$5="Yes",0,K840*Settings!$C$17))</f>
        <v/>
      </c>
      <c r="M840" s="21">
        <f>IF(B840="","",E840*IFERROR(VLOOKUP(D840,Products!$B$5:$F$204,5,FALSE),0))</f>
        <v/>
      </c>
      <c r="N840" s="21">
        <f>IF(B840="","",J840-K840-L840-M840-I840)</f>
        <v/>
      </c>
    </row>
    <row r="841">
      <c r="B841" s="11" t="n"/>
      <c r="C841" s="8" t="n"/>
      <c r="D841" s="8" t="n"/>
      <c r="E841" s="8" t="n"/>
      <c r="F841" s="20" t="n"/>
      <c r="G841" s="20" t="n"/>
      <c r="H841" s="8" t="n"/>
      <c r="I841" s="20" t="n"/>
      <c r="J841" s="21">
        <f>IF(B841="","",F841+G841)</f>
        <v/>
      </c>
      <c r="K841" s="21">
        <f>IF(B841="","",J841*(Settings!$C$11+Settings!$C$12+Settings!$C$14)+IF(C841="",Settings!$C$13,IF(COUNTIF($C$5:C841,C841)=1,Settings!$C$13,0))+E841*Settings!$C$15+IF(H841="Yes",J841*Settings!$C$16,0))</f>
        <v/>
      </c>
      <c r="L841" s="21">
        <f>IF(B841="","",IF(Settings!$C$5="Yes",0,K841*Settings!$C$17))</f>
        <v/>
      </c>
      <c r="M841" s="21">
        <f>IF(B841="","",E841*IFERROR(VLOOKUP(D841,Products!$B$5:$F$204,5,FALSE),0))</f>
        <v/>
      </c>
      <c r="N841" s="21">
        <f>IF(B841="","",J841-K841-L841-M841-I841)</f>
        <v/>
      </c>
    </row>
    <row r="842">
      <c r="B842" s="11" t="n"/>
      <c r="C842" s="8" t="n"/>
      <c r="D842" s="8" t="n"/>
      <c r="E842" s="8" t="n"/>
      <c r="F842" s="20" t="n"/>
      <c r="G842" s="20" t="n"/>
      <c r="H842" s="8" t="n"/>
      <c r="I842" s="20" t="n"/>
      <c r="J842" s="21">
        <f>IF(B842="","",F842+G842)</f>
        <v/>
      </c>
      <c r="K842" s="21">
        <f>IF(B842="","",J842*(Settings!$C$11+Settings!$C$12+Settings!$C$14)+IF(C842="",Settings!$C$13,IF(COUNTIF($C$5:C842,C842)=1,Settings!$C$13,0))+E842*Settings!$C$15+IF(H842="Yes",J842*Settings!$C$16,0))</f>
        <v/>
      </c>
      <c r="L842" s="21">
        <f>IF(B842="","",IF(Settings!$C$5="Yes",0,K842*Settings!$C$17))</f>
        <v/>
      </c>
      <c r="M842" s="21">
        <f>IF(B842="","",E842*IFERROR(VLOOKUP(D842,Products!$B$5:$F$204,5,FALSE),0))</f>
        <v/>
      </c>
      <c r="N842" s="21">
        <f>IF(B842="","",J842-K842-L842-M842-I842)</f>
        <v/>
      </c>
    </row>
    <row r="843">
      <c r="B843" s="11" t="n"/>
      <c r="C843" s="8" t="n"/>
      <c r="D843" s="8" t="n"/>
      <c r="E843" s="8" t="n"/>
      <c r="F843" s="20" t="n"/>
      <c r="G843" s="20" t="n"/>
      <c r="H843" s="8" t="n"/>
      <c r="I843" s="20" t="n"/>
      <c r="J843" s="21">
        <f>IF(B843="","",F843+G843)</f>
        <v/>
      </c>
      <c r="K843" s="21">
        <f>IF(B843="","",J843*(Settings!$C$11+Settings!$C$12+Settings!$C$14)+IF(C843="",Settings!$C$13,IF(COUNTIF($C$5:C843,C843)=1,Settings!$C$13,0))+E843*Settings!$C$15+IF(H843="Yes",J843*Settings!$C$16,0))</f>
        <v/>
      </c>
      <c r="L843" s="21">
        <f>IF(B843="","",IF(Settings!$C$5="Yes",0,K843*Settings!$C$17))</f>
        <v/>
      </c>
      <c r="M843" s="21">
        <f>IF(B843="","",E843*IFERROR(VLOOKUP(D843,Products!$B$5:$F$204,5,FALSE),0))</f>
        <v/>
      </c>
      <c r="N843" s="21">
        <f>IF(B843="","",J843-K843-L843-M843-I843)</f>
        <v/>
      </c>
    </row>
    <row r="844">
      <c r="B844" s="11" t="n"/>
      <c r="C844" s="8" t="n"/>
      <c r="D844" s="8" t="n"/>
      <c r="E844" s="8" t="n"/>
      <c r="F844" s="20" t="n"/>
      <c r="G844" s="20" t="n"/>
      <c r="H844" s="8" t="n"/>
      <c r="I844" s="20" t="n"/>
      <c r="J844" s="21">
        <f>IF(B844="","",F844+G844)</f>
        <v/>
      </c>
      <c r="K844" s="21">
        <f>IF(B844="","",J844*(Settings!$C$11+Settings!$C$12+Settings!$C$14)+IF(C844="",Settings!$C$13,IF(COUNTIF($C$5:C844,C844)=1,Settings!$C$13,0))+E844*Settings!$C$15+IF(H844="Yes",J844*Settings!$C$16,0))</f>
        <v/>
      </c>
      <c r="L844" s="21">
        <f>IF(B844="","",IF(Settings!$C$5="Yes",0,K844*Settings!$C$17))</f>
        <v/>
      </c>
      <c r="M844" s="21">
        <f>IF(B844="","",E844*IFERROR(VLOOKUP(D844,Products!$B$5:$F$204,5,FALSE),0))</f>
        <v/>
      </c>
      <c r="N844" s="21">
        <f>IF(B844="","",J844-K844-L844-M844-I844)</f>
        <v/>
      </c>
    </row>
    <row r="845">
      <c r="B845" s="11" t="n"/>
      <c r="C845" s="8" t="n"/>
      <c r="D845" s="8" t="n"/>
      <c r="E845" s="8" t="n"/>
      <c r="F845" s="20" t="n"/>
      <c r="G845" s="20" t="n"/>
      <c r="H845" s="8" t="n"/>
      <c r="I845" s="20" t="n"/>
      <c r="J845" s="21">
        <f>IF(B845="","",F845+G845)</f>
        <v/>
      </c>
      <c r="K845" s="21">
        <f>IF(B845="","",J845*(Settings!$C$11+Settings!$C$12+Settings!$C$14)+IF(C845="",Settings!$C$13,IF(COUNTIF($C$5:C845,C845)=1,Settings!$C$13,0))+E845*Settings!$C$15+IF(H845="Yes",J845*Settings!$C$16,0))</f>
        <v/>
      </c>
      <c r="L845" s="21">
        <f>IF(B845="","",IF(Settings!$C$5="Yes",0,K845*Settings!$C$17))</f>
        <v/>
      </c>
      <c r="M845" s="21">
        <f>IF(B845="","",E845*IFERROR(VLOOKUP(D845,Products!$B$5:$F$204,5,FALSE),0))</f>
        <v/>
      </c>
      <c r="N845" s="21">
        <f>IF(B845="","",J845-K845-L845-M845-I845)</f>
        <v/>
      </c>
    </row>
    <row r="846">
      <c r="B846" s="11" t="n"/>
      <c r="C846" s="8" t="n"/>
      <c r="D846" s="8" t="n"/>
      <c r="E846" s="8" t="n"/>
      <c r="F846" s="20" t="n"/>
      <c r="G846" s="20" t="n"/>
      <c r="H846" s="8" t="n"/>
      <c r="I846" s="20" t="n"/>
      <c r="J846" s="21">
        <f>IF(B846="","",F846+G846)</f>
        <v/>
      </c>
      <c r="K846" s="21">
        <f>IF(B846="","",J846*(Settings!$C$11+Settings!$C$12+Settings!$C$14)+IF(C846="",Settings!$C$13,IF(COUNTIF($C$5:C846,C846)=1,Settings!$C$13,0))+E846*Settings!$C$15+IF(H846="Yes",J846*Settings!$C$16,0))</f>
        <v/>
      </c>
      <c r="L846" s="21">
        <f>IF(B846="","",IF(Settings!$C$5="Yes",0,K846*Settings!$C$17))</f>
        <v/>
      </c>
      <c r="M846" s="21">
        <f>IF(B846="","",E846*IFERROR(VLOOKUP(D846,Products!$B$5:$F$204,5,FALSE),0))</f>
        <v/>
      </c>
      <c r="N846" s="21">
        <f>IF(B846="","",J846-K846-L846-M846-I846)</f>
        <v/>
      </c>
    </row>
    <row r="847">
      <c r="B847" s="11" t="n"/>
      <c r="C847" s="8" t="n"/>
      <c r="D847" s="8" t="n"/>
      <c r="E847" s="8" t="n"/>
      <c r="F847" s="20" t="n"/>
      <c r="G847" s="20" t="n"/>
      <c r="H847" s="8" t="n"/>
      <c r="I847" s="20" t="n"/>
      <c r="J847" s="21">
        <f>IF(B847="","",F847+G847)</f>
        <v/>
      </c>
      <c r="K847" s="21">
        <f>IF(B847="","",J847*(Settings!$C$11+Settings!$C$12+Settings!$C$14)+IF(C847="",Settings!$C$13,IF(COUNTIF($C$5:C847,C847)=1,Settings!$C$13,0))+E847*Settings!$C$15+IF(H847="Yes",J847*Settings!$C$16,0))</f>
        <v/>
      </c>
      <c r="L847" s="21">
        <f>IF(B847="","",IF(Settings!$C$5="Yes",0,K847*Settings!$C$17))</f>
        <v/>
      </c>
      <c r="M847" s="21">
        <f>IF(B847="","",E847*IFERROR(VLOOKUP(D847,Products!$B$5:$F$204,5,FALSE),0))</f>
        <v/>
      </c>
      <c r="N847" s="21">
        <f>IF(B847="","",J847-K847-L847-M847-I847)</f>
        <v/>
      </c>
    </row>
    <row r="848">
      <c r="B848" s="11" t="n"/>
      <c r="C848" s="8" t="n"/>
      <c r="D848" s="8" t="n"/>
      <c r="E848" s="8" t="n"/>
      <c r="F848" s="20" t="n"/>
      <c r="G848" s="20" t="n"/>
      <c r="H848" s="8" t="n"/>
      <c r="I848" s="20" t="n"/>
      <c r="J848" s="21">
        <f>IF(B848="","",F848+G848)</f>
        <v/>
      </c>
      <c r="K848" s="21">
        <f>IF(B848="","",J848*(Settings!$C$11+Settings!$C$12+Settings!$C$14)+IF(C848="",Settings!$C$13,IF(COUNTIF($C$5:C848,C848)=1,Settings!$C$13,0))+E848*Settings!$C$15+IF(H848="Yes",J848*Settings!$C$16,0))</f>
        <v/>
      </c>
      <c r="L848" s="21">
        <f>IF(B848="","",IF(Settings!$C$5="Yes",0,K848*Settings!$C$17))</f>
        <v/>
      </c>
      <c r="M848" s="21">
        <f>IF(B848="","",E848*IFERROR(VLOOKUP(D848,Products!$B$5:$F$204,5,FALSE),0))</f>
        <v/>
      </c>
      <c r="N848" s="21">
        <f>IF(B848="","",J848-K848-L848-M848-I848)</f>
        <v/>
      </c>
    </row>
    <row r="849">
      <c r="B849" s="11" t="n"/>
      <c r="C849" s="8" t="n"/>
      <c r="D849" s="8" t="n"/>
      <c r="E849" s="8" t="n"/>
      <c r="F849" s="20" t="n"/>
      <c r="G849" s="20" t="n"/>
      <c r="H849" s="8" t="n"/>
      <c r="I849" s="20" t="n"/>
      <c r="J849" s="21">
        <f>IF(B849="","",F849+G849)</f>
        <v/>
      </c>
      <c r="K849" s="21">
        <f>IF(B849="","",J849*(Settings!$C$11+Settings!$C$12+Settings!$C$14)+IF(C849="",Settings!$C$13,IF(COUNTIF($C$5:C849,C849)=1,Settings!$C$13,0))+E849*Settings!$C$15+IF(H849="Yes",J849*Settings!$C$16,0))</f>
        <v/>
      </c>
      <c r="L849" s="21">
        <f>IF(B849="","",IF(Settings!$C$5="Yes",0,K849*Settings!$C$17))</f>
        <v/>
      </c>
      <c r="M849" s="21">
        <f>IF(B849="","",E849*IFERROR(VLOOKUP(D849,Products!$B$5:$F$204,5,FALSE),0))</f>
        <v/>
      </c>
      <c r="N849" s="21">
        <f>IF(B849="","",J849-K849-L849-M849-I849)</f>
        <v/>
      </c>
    </row>
    <row r="850">
      <c r="B850" s="11" t="n"/>
      <c r="C850" s="8" t="n"/>
      <c r="D850" s="8" t="n"/>
      <c r="E850" s="8" t="n"/>
      <c r="F850" s="20" t="n"/>
      <c r="G850" s="20" t="n"/>
      <c r="H850" s="8" t="n"/>
      <c r="I850" s="20" t="n"/>
      <c r="J850" s="21">
        <f>IF(B850="","",F850+G850)</f>
        <v/>
      </c>
      <c r="K850" s="21">
        <f>IF(B850="","",J850*(Settings!$C$11+Settings!$C$12+Settings!$C$14)+IF(C850="",Settings!$C$13,IF(COUNTIF($C$5:C850,C850)=1,Settings!$C$13,0))+E850*Settings!$C$15+IF(H850="Yes",J850*Settings!$C$16,0))</f>
        <v/>
      </c>
      <c r="L850" s="21">
        <f>IF(B850="","",IF(Settings!$C$5="Yes",0,K850*Settings!$C$17))</f>
        <v/>
      </c>
      <c r="M850" s="21">
        <f>IF(B850="","",E850*IFERROR(VLOOKUP(D850,Products!$B$5:$F$204,5,FALSE),0))</f>
        <v/>
      </c>
      <c r="N850" s="21">
        <f>IF(B850="","",J850-K850-L850-M850-I850)</f>
        <v/>
      </c>
    </row>
    <row r="851">
      <c r="B851" s="11" t="n"/>
      <c r="C851" s="8" t="n"/>
      <c r="D851" s="8" t="n"/>
      <c r="E851" s="8" t="n"/>
      <c r="F851" s="20" t="n"/>
      <c r="G851" s="20" t="n"/>
      <c r="H851" s="8" t="n"/>
      <c r="I851" s="20" t="n"/>
      <c r="J851" s="21">
        <f>IF(B851="","",F851+G851)</f>
        <v/>
      </c>
      <c r="K851" s="21">
        <f>IF(B851="","",J851*(Settings!$C$11+Settings!$C$12+Settings!$C$14)+IF(C851="",Settings!$C$13,IF(COUNTIF($C$5:C851,C851)=1,Settings!$C$13,0))+E851*Settings!$C$15+IF(H851="Yes",J851*Settings!$C$16,0))</f>
        <v/>
      </c>
      <c r="L851" s="21">
        <f>IF(B851="","",IF(Settings!$C$5="Yes",0,K851*Settings!$C$17))</f>
        <v/>
      </c>
      <c r="M851" s="21">
        <f>IF(B851="","",E851*IFERROR(VLOOKUP(D851,Products!$B$5:$F$204,5,FALSE),0))</f>
        <v/>
      </c>
      <c r="N851" s="21">
        <f>IF(B851="","",J851-K851-L851-M851-I851)</f>
        <v/>
      </c>
    </row>
    <row r="852">
      <c r="B852" s="11" t="n"/>
      <c r="C852" s="8" t="n"/>
      <c r="D852" s="8" t="n"/>
      <c r="E852" s="8" t="n"/>
      <c r="F852" s="20" t="n"/>
      <c r="G852" s="20" t="n"/>
      <c r="H852" s="8" t="n"/>
      <c r="I852" s="20" t="n"/>
      <c r="J852" s="21">
        <f>IF(B852="","",F852+G852)</f>
        <v/>
      </c>
      <c r="K852" s="21">
        <f>IF(B852="","",J852*(Settings!$C$11+Settings!$C$12+Settings!$C$14)+IF(C852="",Settings!$C$13,IF(COUNTIF($C$5:C852,C852)=1,Settings!$C$13,0))+E852*Settings!$C$15+IF(H852="Yes",J852*Settings!$C$16,0))</f>
        <v/>
      </c>
      <c r="L852" s="21">
        <f>IF(B852="","",IF(Settings!$C$5="Yes",0,K852*Settings!$C$17))</f>
        <v/>
      </c>
      <c r="M852" s="21">
        <f>IF(B852="","",E852*IFERROR(VLOOKUP(D852,Products!$B$5:$F$204,5,FALSE),0))</f>
        <v/>
      </c>
      <c r="N852" s="21">
        <f>IF(B852="","",J852-K852-L852-M852-I852)</f>
        <v/>
      </c>
    </row>
    <row r="853">
      <c r="B853" s="11" t="n"/>
      <c r="C853" s="8" t="n"/>
      <c r="D853" s="8" t="n"/>
      <c r="E853" s="8" t="n"/>
      <c r="F853" s="20" t="n"/>
      <c r="G853" s="20" t="n"/>
      <c r="H853" s="8" t="n"/>
      <c r="I853" s="20" t="n"/>
      <c r="J853" s="21">
        <f>IF(B853="","",F853+G853)</f>
        <v/>
      </c>
      <c r="K853" s="21">
        <f>IF(B853="","",J853*(Settings!$C$11+Settings!$C$12+Settings!$C$14)+IF(C853="",Settings!$C$13,IF(COUNTIF($C$5:C853,C853)=1,Settings!$C$13,0))+E853*Settings!$C$15+IF(H853="Yes",J853*Settings!$C$16,0))</f>
        <v/>
      </c>
      <c r="L853" s="21">
        <f>IF(B853="","",IF(Settings!$C$5="Yes",0,K853*Settings!$C$17))</f>
        <v/>
      </c>
      <c r="M853" s="21">
        <f>IF(B853="","",E853*IFERROR(VLOOKUP(D853,Products!$B$5:$F$204,5,FALSE),0))</f>
        <v/>
      </c>
      <c r="N853" s="21">
        <f>IF(B853="","",J853-K853-L853-M853-I853)</f>
        <v/>
      </c>
    </row>
    <row r="854">
      <c r="B854" s="11" t="n"/>
      <c r="C854" s="8" t="n"/>
      <c r="D854" s="8" t="n"/>
      <c r="E854" s="8" t="n"/>
      <c r="F854" s="20" t="n"/>
      <c r="G854" s="20" t="n"/>
      <c r="H854" s="8" t="n"/>
      <c r="I854" s="20" t="n"/>
      <c r="J854" s="21">
        <f>IF(B854="","",F854+G854)</f>
        <v/>
      </c>
      <c r="K854" s="21">
        <f>IF(B854="","",J854*(Settings!$C$11+Settings!$C$12+Settings!$C$14)+IF(C854="",Settings!$C$13,IF(COUNTIF($C$5:C854,C854)=1,Settings!$C$13,0))+E854*Settings!$C$15+IF(H854="Yes",J854*Settings!$C$16,0))</f>
        <v/>
      </c>
      <c r="L854" s="21">
        <f>IF(B854="","",IF(Settings!$C$5="Yes",0,K854*Settings!$C$17))</f>
        <v/>
      </c>
      <c r="M854" s="21">
        <f>IF(B854="","",E854*IFERROR(VLOOKUP(D854,Products!$B$5:$F$204,5,FALSE),0))</f>
        <v/>
      </c>
      <c r="N854" s="21">
        <f>IF(B854="","",J854-K854-L854-M854-I854)</f>
        <v/>
      </c>
    </row>
    <row r="855">
      <c r="B855" s="11" t="n"/>
      <c r="C855" s="8" t="n"/>
      <c r="D855" s="8" t="n"/>
      <c r="E855" s="8" t="n"/>
      <c r="F855" s="20" t="n"/>
      <c r="G855" s="20" t="n"/>
      <c r="H855" s="8" t="n"/>
      <c r="I855" s="20" t="n"/>
      <c r="J855" s="21">
        <f>IF(B855="","",F855+G855)</f>
        <v/>
      </c>
      <c r="K855" s="21">
        <f>IF(B855="","",J855*(Settings!$C$11+Settings!$C$12+Settings!$C$14)+IF(C855="",Settings!$C$13,IF(COUNTIF($C$5:C855,C855)=1,Settings!$C$13,0))+E855*Settings!$C$15+IF(H855="Yes",J855*Settings!$C$16,0))</f>
        <v/>
      </c>
      <c r="L855" s="21">
        <f>IF(B855="","",IF(Settings!$C$5="Yes",0,K855*Settings!$C$17))</f>
        <v/>
      </c>
      <c r="M855" s="21">
        <f>IF(B855="","",E855*IFERROR(VLOOKUP(D855,Products!$B$5:$F$204,5,FALSE),0))</f>
        <v/>
      </c>
      <c r="N855" s="21">
        <f>IF(B855="","",J855-K855-L855-M855-I855)</f>
        <v/>
      </c>
    </row>
    <row r="856">
      <c r="B856" s="11" t="n"/>
      <c r="C856" s="8" t="n"/>
      <c r="D856" s="8" t="n"/>
      <c r="E856" s="8" t="n"/>
      <c r="F856" s="20" t="n"/>
      <c r="G856" s="20" t="n"/>
      <c r="H856" s="8" t="n"/>
      <c r="I856" s="20" t="n"/>
      <c r="J856" s="21">
        <f>IF(B856="","",F856+G856)</f>
        <v/>
      </c>
      <c r="K856" s="21">
        <f>IF(B856="","",J856*(Settings!$C$11+Settings!$C$12+Settings!$C$14)+IF(C856="",Settings!$C$13,IF(COUNTIF($C$5:C856,C856)=1,Settings!$C$13,0))+E856*Settings!$C$15+IF(H856="Yes",J856*Settings!$C$16,0))</f>
        <v/>
      </c>
      <c r="L856" s="21">
        <f>IF(B856="","",IF(Settings!$C$5="Yes",0,K856*Settings!$C$17))</f>
        <v/>
      </c>
      <c r="M856" s="21">
        <f>IF(B856="","",E856*IFERROR(VLOOKUP(D856,Products!$B$5:$F$204,5,FALSE),0))</f>
        <v/>
      </c>
      <c r="N856" s="21">
        <f>IF(B856="","",J856-K856-L856-M856-I856)</f>
        <v/>
      </c>
    </row>
    <row r="857">
      <c r="B857" s="11" t="n"/>
      <c r="C857" s="8" t="n"/>
      <c r="D857" s="8" t="n"/>
      <c r="E857" s="8" t="n"/>
      <c r="F857" s="20" t="n"/>
      <c r="G857" s="20" t="n"/>
      <c r="H857" s="8" t="n"/>
      <c r="I857" s="20" t="n"/>
      <c r="J857" s="21">
        <f>IF(B857="","",F857+G857)</f>
        <v/>
      </c>
      <c r="K857" s="21">
        <f>IF(B857="","",J857*(Settings!$C$11+Settings!$C$12+Settings!$C$14)+IF(C857="",Settings!$C$13,IF(COUNTIF($C$5:C857,C857)=1,Settings!$C$13,0))+E857*Settings!$C$15+IF(H857="Yes",J857*Settings!$C$16,0))</f>
        <v/>
      </c>
      <c r="L857" s="21">
        <f>IF(B857="","",IF(Settings!$C$5="Yes",0,K857*Settings!$C$17))</f>
        <v/>
      </c>
      <c r="M857" s="21">
        <f>IF(B857="","",E857*IFERROR(VLOOKUP(D857,Products!$B$5:$F$204,5,FALSE),0))</f>
        <v/>
      </c>
      <c r="N857" s="21">
        <f>IF(B857="","",J857-K857-L857-M857-I857)</f>
        <v/>
      </c>
    </row>
    <row r="858">
      <c r="B858" s="11" t="n"/>
      <c r="C858" s="8" t="n"/>
      <c r="D858" s="8" t="n"/>
      <c r="E858" s="8" t="n"/>
      <c r="F858" s="20" t="n"/>
      <c r="G858" s="20" t="n"/>
      <c r="H858" s="8" t="n"/>
      <c r="I858" s="20" t="n"/>
      <c r="J858" s="21">
        <f>IF(B858="","",F858+G858)</f>
        <v/>
      </c>
      <c r="K858" s="21">
        <f>IF(B858="","",J858*(Settings!$C$11+Settings!$C$12+Settings!$C$14)+IF(C858="",Settings!$C$13,IF(COUNTIF($C$5:C858,C858)=1,Settings!$C$13,0))+E858*Settings!$C$15+IF(H858="Yes",J858*Settings!$C$16,0))</f>
        <v/>
      </c>
      <c r="L858" s="21">
        <f>IF(B858="","",IF(Settings!$C$5="Yes",0,K858*Settings!$C$17))</f>
        <v/>
      </c>
      <c r="M858" s="21">
        <f>IF(B858="","",E858*IFERROR(VLOOKUP(D858,Products!$B$5:$F$204,5,FALSE),0))</f>
        <v/>
      </c>
      <c r="N858" s="21">
        <f>IF(B858="","",J858-K858-L858-M858-I858)</f>
        <v/>
      </c>
    </row>
    <row r="859">
      <c r="B859" s="11" t="n"/>
      <c r="C859" s="8" t="n"/>
      <c r="D859" s="8" t="n"/>
      <c r="E859" s="8" t="n"/>
      <c r="F859" s="20" t="n"/>
      <c r="G859" s="20" t="n"/>
      <c r="H859" s="8" t="n"/>
      <c r="I859" s="20" t="n"/>
      <c r="J859" s="21">
        <f>IF(B859="","",F859+G859)</f>
        <v/>
      </c>
      <c r="K859" s="21">
        <f>IF(B859="","",J859*(Settings!$C$11+Settings!$C$12+Settings!$C$14)+IF(C859="",Settings!$C$13,IF(COUNTIF($C$5:C859,C859)=1,Settings!$C$13,0))+E859*Settings!$C$15+IF(H859="Yes",J859*Settings!$C$16,0))</f>
        <v/>
      </c>
      <c r="L859" s="21">
        <f>IF(B859="","",IF(Settings!$C$5="Yes",0,K859*Settings!$C$17))</f>
        <v/>
      </c>
      <c r="M859" s="21">
        <f>IF(B859="","",E859*IFERROR(VLOOKUP(D859,Products!$B$5:$F$204,5,FALSE),0))</f>
        <v/>
      </c>
      <c r="N859" s="21">
        <f>IF(B859="","",J859-K859-L859-M859-I859)</f>
        <v/>
      </c>
    </row>
    <row r="860">
      <c r="B860" s="11" t="n"/>
      <c r="C860" s="8" t="n"/>
      <c r="D860" s="8" t="n"/>
      <c r="E860" s="8" t="n"/>
      <c r="F860" s="20" t="n"/>
      <c r="G860" s="20" t="n"/>
      <c r="H860" s="8" t="n"/>
      <c r="I860" s="20" t="n"/>
      <c r="J860" s="21">
        <f>IF(B860="","",F860+G860)</f>
        <v/>
      </c>
      <c r="K860" s="21">
        <f>IF(B860="","",J860*(Settings!$C$11+Settings!$C$12+Settings!$C$14)+IF(C860="",Settings!$C$13,IF(COUNTIF($C$5:C860,C860)=1,Settings!$C$13,0))+E860*Settings!$C$15+IF(H860="Yes",J860*Settings!$C$16,0))</f>
        <v/>
      </c>
      <c r="L860" s="21">
        <f>IF(B860="","",IF(Settings!$C$5="Yes",0,K860*Settings!$C$17))</f>
        <v/>
      </c>
      <c r="M860" s="21">
        <f>IF(B860="","",E860*IFERROR(VLOOKUP(D860,Products!$B$5:$F$204,5,FALSE),0))</f>
        <v/>
      </c>
      <c r="N860" s="21">
        <f>IF(B860="","",J860-K860-L860-M860-I860)</f>
        <v/>
      </c>
    </row>
    <row r="861">
      <c r="B861" s="11" t="n"/>
      <c r="C861" s="8" t="n"/>
      <c r="D861" s="8" t="n"/>
      <c r="E861" s="8" t="n"/>
      <c r="F861" s="20" t="n"/>
      <c r="G861" s="20" t="n"/>
      <c r="H861" s="8" t="n"/>
      <c r="I861" s="20" t="n"/>
      <c r="J861" s="21">
        <f>IF(B861="","",F861+G861)</f>
        <v/>
      </c>
      <c r="K861" s="21">
        <f>IF(B861="","",J861*(Settings!$C$11+Settings!$C$12+Settings!$C$14)+IF(C861="",Settings!$C$13,IF(COUNTIF($C$5:C861,C861)=1,Settings!$C$13,0))+E861*Settings!$C$15+IF(H861="Yes",J861*Settings!$C$16,0))</f>
        <v/>
      </c>
      <c r="L861" s="21">
        <f>IF(B861="","",IF(Settings!$C$5="Yes",0,K861*Settings!$C$17))</f>
        <v/>
      </c>
      <c r="M861" s="21">
        <f>IF(B861="","",E861*IFERROR(VLOOKUP(D861,Products!$B$5:$F$204,5,FALSE),0))</f>
        <v/>
      </c>
      <c r="N861" s="21">
        <f>IF(B861="","",J861-K861-L861-M861-I861)</f>
        <v/>
      </c>
    </row>
    <row r="862">
      <c r="B862" s="11" t="n"/>
      <c r="C862" s="8" t="n"/>
      <c r="D862" s="8" t="n"/>
      <c r="E862" s="8" t="n"/>
      <c r="F862" s="20" t="n"/>
      <c r="G862" s="20" t="n"/>
      <c r="H862" s="8" t="n"/>
      <c r="I862" s="20" t="n"/>
      <c r="J862" s="21">
        <f>IF(B862="","",F862+G862)</f>
        <v/>
      </c>
      <c r="K862" s="21">
        <f>IF(B862="","",J862*(Settings!$C$11+Settings!$C$12+Settings!$C$14)+IF(C862="",Settings!$C$13,IF(COUNTIF($C$5:C862,C862)=1,Settings!$C$13,0))+E862*Settings!$C$15+IF(H862="Yes",J862*Settings!$C$16,0))</f>
        <v/>
      </c>
      <c r="L862" s="21">
        <f>IF(B862="","",IF(Settings!$C$5="Yes",0,K862*Settings!$C$17))</f>
        <v/>
      </c>
      <c r="M862" s="21">
        <f>IF(B862="","",E862*IFERROR(VLOOKUP(D862,Products!$B$5:$F$204,5,FALSE),0))</f>
        <v/>
      </c>
      <c r="N862" s="21">
        <f>IF(B862="","",J862-K862-L862-M862-I862)</f>
        <v/>
      </c>
    </row>
    <row r="863">
      <c r="B863" s="11" t="n"/>
      <c r="C863" s="8" t="n"/>
      <c r="D863" s="8" t="n"/>
      <c r="E863" s="8" t="n"/>
      <c r="F863" s="20" t="n"/>
      <c r="G863" s="20" t="n"/>
      <c r="H863" s="8" t="n"/>
      <c r="I863" s="20" t="n"/>
      <c r="J863" s="21">
        <f>IF(B863="","",F863+G863)</f>
        <v/>
      </c>
      <c r="K863" s="21">
        <f>IF(B863="","",J863*(Settings!$C$11+Settings!$C$12+Settings!$C$14)+IF(C863="",Settings!$C$13,IF(COUNTIF($C$5:C863,C863)=1,Settings!$C$13,0))+E863*Settings!$C$15+IF(H863="Yes",J863*Settings!$C$16,0))</f>
        <v/>
      </c>
      <c r="L863" s="21">
        <f>IF(B863="","",IF(Settings!$C$5="Yes",0,K863*Settings!$C$17))</f>
        <v/>
      </c>
      <c r="M863" s="21">
        <f>IF(B863="","",E863*IFERROR(VLOOKUP(D863,Products!$B$5:$F$204,5,FALSE),0))</f>
        <v/>
      </c>
      <c r="N863" s="21">
        <f>IF(B863="","",J863-K863-L863-M863-I863)</f>
        <v/>
      </c>
    </row>
    <row r="864">
      <c r="B864" s="11" t="n"/>
      <c r="C864" s="8" t="n"/>
      <c r="D864" s="8" t="n"/>
      <c r="E864" s="8" t="n"/>
      <c r="F864" s="20" t="n"/>
      <c r="G864" s="20" t="n"/>
      <c r="H864" s="8" t="n"/>
      <c r="I864" s="20" t="n"/>
      <c r="J864" s="21">
        <f>IF(B864="","",F864+G864)</f>
        <v/>
      </c>
      <c r="K864" s="21">
        <f>IF(B864="","",J864*(Settings!$C$11+Settings!$C$12+Settings!$C$14)+IF(C864="",Settings!$C$13,IF(COUNTIF($C$5:C864,C864)=1,Settings!$C$13,0))+E864*Settings!$C$15+IF(H864="Yes",J864*Settings!$C$16,0))</f>
        <v/>
      </c>
      <c r="L864" s="21">
        <f>IF(B864="","",IF(Settings!$C$5="Yes",0,K864*Settings!$C$17))</f>
        <v/>
      </c>
      <c r="M864" s="21">
        <f>IF(B864="","",E864*IFERROR(VLOOKUP(D864,Products!$B$5:$F$204,5,FALSE),0))</f>
        <v/>
      </c>
      <c r="N864" s="21">
        <f>IF(B864="","",J864-K864-L864-M864-I864)</f>
        <v/>
      </c>
    </row>
    <row r="865">
      <c r="B865" s="11" t="n"/>
      <c r="C865" s="8" t="n"/>
      <c r="D865" s="8" t="n"/>
      <c r="E865" s="8" t="n"/>
      <c r="F865" s="20" t="n"/>
      <c r="G865" s="20" t="n"/>
      <c r="H865" s="8" t="n"/>
      <c r="I865" s="20" t="n"/>
      <c r="J865" s="21">
        <f>IF(B865="","",F865+G865)</f>
        <v/>
      </c>
      <c r="K865" s="21">
        <f>IF(B865="","",J865*(Settings!$C$11+Settings!$C$12+Settings!$C$14)+IF(C865="",Settings!$C$13,IF(COUNTIF($C$5:C865,C865)=1,Settings!$C$13,0))+E865*Settings!$C$15+IF(H865="Yes",J865*Settings!$C$16,0))</f>
        <v/>
      </c>
      <c r="L865" s="21">
        <f>IF(B865="","",IF(Settings!$C$5="Yes",0,K865*Settings!$C$17))</f>
        <v/>
      </c>
      <c r="M865" s="21">
        <f>IF(B865="","",E865*IFERROR(VLOOKUP(D865,Products!$B$5:$F$204,5,FALSE),0))</f>
        <v/>
      </c>
      <c r="N865" s="21">
        <f>IF(B865="","",J865-K865-L865-M865-I865)</f>
        <v/>
      </c>
    </row>
    <row r="866">
      <c r="B866" s="11" t="n"/>
      <c r="C866" s="8" t="n"/>
      <c r="D866" s="8" t="n"/>
      <c r="E866" s="8" t="n"/>
      <c r="F866" s="20" t="n"/>
      <c r="G866" s="20" t="n"/>
      <c r="H866" s="8" t="n"/>
      <c r="I866" s="20" t="n"/>
      <c r="J866" s="21">
        <f>IF(B866="","",F866+G866)</f>
        <v/>
      </c>
      <c r="K866" s="21">
        <f>IF(B866="","",J866*(Settings!$C$11+Settings!$C$12+Settings!$C$14)+IF(C866="",Settings!$C$13,IF(COUNTIF($C$5:C866,C866)=1,Settings!$C$13,0))+E866*Settings!$C$15+IF(H866="Yes",J866*Settings!$C$16,0))</f>
        <v/>
      </c>
      <c r="L866" s="21">
        <f>IF(B866="","",IF(Settings!$C$5="Yes",0,K866*Settings!$C$17))</f>
        <v/>
      </c>
      <c r="M866" s="21">
        <f>IF(B866="","",E866*IFERROR(VLOOKUP(D866,Products!$B$5:$F$204,5,FALSE),0))</f>
        <v/>
      </c>
      <c r="N866" s="21">
        <f>IF(B866="","",J866-K866-L866-M866-I866)</f>
        <v/>
      </c>
    </row>
    <row r="867">
      <c r="B867" s="11" t="n"/>
      <c r="C867" s="8" t="n"/>
      <c r="D867" s="8" t="n"/>
      <c r="E867" s="8" t="n"/>
      <c r="F867" s="20" t="n"/>
      <c r="G867" s="20" t="n"/>
      <c r="H867" s="8" t="n"/>
      <c r="I867" s="20" t="n"/>
      <c r="J867" s="21">
        <f>IF(B867="","",F867+G867)</f>
        <v/>
      </c>
      <c r="K867" s="21">
        <f>IF(B867="","",J867*(Settings!$C$11+Settings!$C$12+Settings!$C$14)+IF(C867="",Settings!$C$13,IF(COUNTIF($C$5:C867,C867)=1,Settings!$C$13,0))+E867*Settings!$C$15+IF(H867="Yes",J867*Settings!$C$16,0))</f>
        <v/>
      </c>
      <c r="L867" s="21">
        <f>IF(B867="","",IF(Settings!$C$5="Yes",0,K867*Settings!$C$17))</f>
        <v/>
      </c>
      <c r="M867" s="21">
        <f>IF(B867="","",E867*IFERROR(VLOOKUP(D867,Products!$B$5:$F$204,5,FALSE),0))</f>
        <v/>
      </c>
      <c r="N867" s="21">
        <f>IF(B867="","",J867-K867-L867-M867-I867)</f>
        <v/>
      </c>
    </row>
    <row r="868">
      <c r="B868" s="11" t="n"/>
      <c r="C868" s="8" t="n"/>
      <c r="D868" s="8" t="n"/>
      <c r="E868" s="8" t="n"/>
      <c r="F868" s="20" t="n"/>
      <c r="G868" s="20" t="n"/>
      <c r="H868" s="8" t="n"/>
      <c r="I868" s="20" t="n"/>
      <c r="J868" s="21">
        <f>IF(B868="","",F868+G868)</f>
        <v/>
      </c>
      <c r="K868" s="21">
        <f>IF(B868="","",J868*(Settings!$C$11+Settings!$C$12+Settings!$C$14)+IF(C868="",Settings!$C$13,IF(COUNTIF($C$5:C868,C868)=1,Settings!$C$13,0))+E868*Settings!$C$15+IF(H868="Yes",J868*Settings!$C$16,0))</f>
        <v/>
      </c>
      <c r="L868" s="21">
        <f>IF(B868="","",IF(Settings!$C$5="Yes",0,K868*Settings!$C$17))</f>
        <v/>
      </c>
      <c r="M868" s="21">
        <f>IF(B868="","",E868*IFERROR(VLOOKUP(D868,Products!$B$5:$F$204,5,FALSE),0))</f>
        <v/>
      </c>
      <c r="N868" s="21">
        <f>IF(B868="","",J868-K868-L868-M868-I868)</f>
        <v/>
      </c>
    </row>
    <row r="869">
      <c r="B869" s="11" t="n"/>
      <c r="C869" s="8" t="n"/>
      <c r="D869" s="8" t="n"/>
      <c r="E869" s="8" t="n"/>
      <c r="F869" s="20" t="n"/>
      <c r="G869" s="20" t="n"/>
      <c r="H869" s="8" t="n"/>
      <c r="I869" s="20" t="n"/>
      <c r="J869" s="21">
        <f>IF(B869="","",F869+G869)</f>
        <v/>
      </c>
      <c r="K869" s="21">
        <f>IF(B869="","",J869*(Settings!$C$11+Settings!$C$12+Settings!$C$14)+IF(C869="",Settings!$C$13,IF(COUNTIF($C$5:C869,C869)=1,Settings!$C$13,0))+E869*Settings!$C$15+IF(H869="Yes",J869*Settings!$C$16,0))</f>
        <v/>
      </c>
      <c r="L869" s="21">
        <f>IF(B869="","",IF(Settings!$C$5="Yes",0,K869*Settings!$C$17))</f>
        <v/>
      </c>
      <c r="M869" s="21">
        <f>IF(B869="","",E869*IFERROR(VLOOKUP(D869,Products!$B$5:$F$204,5,FALSE),0))</f>
        <v/>
      </c>
      <c r="N869" s="21">
        <f>IF(B869="","",J869-K869-L869-M869-I869)</f>
        <v/>
      </c>
    </row>
    <row r="870">
      <c r="B870" s="11" t="n"/>
      <c r="C870" s="8" t="n"/>
      <c r="D870" s="8" t="n"/>
      <c r="E870" s="8" t="n"/>
      <c r="F870" s="20" t="n"/>
      <c r="G870" s="20" t="n"/>
      <c r="H870" s="8" t="n"/>
      <c r="I870" s="20" t="n"/>
      <c r="J870" s="21">
        <f>IF(B870="","",F870+G870)</f>
        <v/>
      </c>
      <c r="K870" s="21">
        <f>IF(B870="","",J870*(Settings!$C$11+Settings!$C$12+Settings!$C$14)+IF(C870="",Settings!$C$13,IF(COUNTIF($C$5:C870,C870)=1,Settings!$C$13,0))+E870*Settings!$C$15+IF(H870="Yes",J870*Settings!$C$16,0))</f>
        <v/>
      </c>
      <c r="L870" s="21">
        <f>IF(B870="","",IF(Settings!$C$5="Yes",0,K870*Settings!$C$17))</f>
        <v/>
      </c>
      <c r="M870" s="21">
        <f>IF(B870="","",E870*IFERROR(VLOOKUP(D870,Products!$B$5:$F$204,5,FALSE),0))</f>
        <v/>
      </c>
      <c r="N870" s="21">
        <f>IF(B870="","",J870-K870-L870-M870-I870)</f>
        <v/>
      </c>
    </row>
    <row r="871">
      <c r="B871" s="11" t="n"/>
      <c r="C871" s="8" t="n"/>
      <c r="D871" s="8" t="n"/>
      <c r="E871" s="8" t="n"/>
      <c r="F871" s="20" t="n"/>
      <c r="G871" s="20" t="n"/>
      <c r="H871" s="8" t="n"/>
      <c r="I871" s="20" t="n"/>
      <c r="J871" s="21">
        <f>IF(B871="","",F871+G871)</f>
        <v/>
      </c>
      <c r="K871" s="21">
        <f>IF(B871="","",J871*(Settings!$C$11+Settings!$C$12+Settings!$C$14)+IF(C871="",Settings!$C$13,IF(COUNTIF($C$5:C871,C871)=1,Settings!$C$13,0))+E871*Settings!$C$15+IF(H871="Yes",J871*Settings!$C$16,0))</f>
        <v/>
      </c>
      <c r="L871" s="21">
        <f>IF(B871="","",IF(Settings!$C$5="Yes",0,K871*Settings!$C$17))</f>
        <v/>
      </c>
      <c r="M871" s="21">
        <f>IF(B871="","",E871*IFERROR(VLOOKUP(D871,Products!$B$5:$F$204,5,FALSE),0))</f>
        <v/>
      </c>
      <c r="N871" s="21">
        <f>IF(B871="","",J871-K871-L871-M871-I871)</f>
        <v/>
      </c>
    </row>
    <row r="872">
      <c r="B872" s="11" t="n"/>
      <c r="C872" s="8" t="n"/>
      <c r="D872" s="8" t="n"/>
      <c r="E872" s="8" t="n"/>
      <c r="F872" s="20" t="n"/>
      <c r="G872" s="20" t="n"/>
      <c r="H872" s="8" t="n"/>
      <c r="I872" s="20" t="n"/>
      <c r="J872" s="21">
        <f>IF(B872="","",F872+G872)</f>
        <v/>
      </c>
      <c r="K872" s="21">
        <f>IF(B872="","",J872*(Settings!$C$11+Settings!$C$12+Settings!$C$14)+IF(C872="",Settings!$C$13,IF(COUNTIF($C$5:C872,C872)=1,Settings!$C$13,0))+E872*Settings!$C$15+IF(H872="Yes",J872*Settings!$C$16,0))</f>
        <v/>
      </c>
      <c r="L872" s="21">
        <f>IF(B872="","",IF(Settings!$C$5="Yes",0,K872*Settings!$C$17))</f>
        <v/>
      </c>
      <c r="M872" s="21">
        <f>IF(B872="","",E872*IFERROR(VLOOKUP(D872,Products!$B$5:$F$204,5,FALSE),0))</f>
        <v/>
      </c>
      <c r="N872" s="21">
        <f>IF(B872="","",J872-K872-L872-M872-I872)</f>
        <v/>
      </c>
    </row>
    <row r="873">
      <c r="B873" s="11" t="n"/>
      <c r="C873" s="8" t="n"/>
      <c r="D873" s="8" t="n"/>
      <c r="E873" s="8" t="n"/>
      <c r="F873" s="20" t="n"/>
      <c r="G873" s="20" t="n"/>
      <c r="H873" s="8" t="n"/>
      <c r="I873" s="20" t="n"/>
      <c r="J873" s="21">
        <f>IF(B873="","",F873+G873)</f>
        <v/>
      </c>
      <c r="K873" s="21">
        <f>IF(B873="","",J873*(Settings!$C$11+Settings!$C$12+Settings!$C$14)+IF(C873="",Settings!$C$13,IF(COUNTIF($C$5:C873,C873)=1,Settings!$C$13,0))+E873*Settings!$C$15+IF(H873="Yes",J873*Settings!$C$16,0))</f>
        <v/>
      </c>
      <c r="L873" s="21">
        <f>IF(B873="","",IF(Settings!$C$5="Yes",0,K873*Settings!$C$17))</f>
        <v/>
      </c>
      <c r="M873" s="21">
        <f>IF(B873="","",E873*IFERROR(VLOOKUP(D873,Products!$B$5:$F$204,5,FALSE),0))</f>
        <v/>
      </c>
      <c r="N873" s="21">
        <f>IF(B873="","",J873-K873-L873-M873-I873)</f>
        <v/>
      </c>
    </row>
    <row r="874">
      <c r="B874" s="11" t="n"/>
      <c r="C874" s="8" t="n"/>
      <c r="D874" s="8" t="n"/>
      <c r="E874" s="8" t="n"/>
      <c r="F874" s="20" t="n"/>
      <c r="G874" s="20" t="n"/>
      <c r="H874" s="8" t="n"/>
      <c r="I874" s="20" t="n"/>
      <c r="J874" s="21">
        <f>IF(B874="","",F874+G874)</f>
        <v/>
      </c>
      <c r="K874" s="21">
        <f>IF(B874="","",J874*(Settings!$C$11+Settings!$C$12+Settings!$C$14)+IF(C874="",Settings!$C$13,IF(COUNTIF($C$5:C874,C874)=1,Settings!$C$13,0))+E874*Settings!$C$15+IF(H874="Yes",J874*Settings!$C$16,0))</f>
        <v/>
      </c>
      <c r="L874" s="21">
        <f>IF(B874="","",IF(Settings!$C$5="Yes",0,K874*Settings!$C$17))</f>
        <v/>
      </c>
      <c r="M874" s="21">
        <f>IF(B874="","",E874*IFERROR(VLOOKUP(D874,Products!$B$5:$F$204,5,FALSE),0))</f>
        <v/>
      </c>
      <c r="N874" s="21">
        <f>IF(B874="","",J874-K874-L874-M874-I874)</f>
        <v/>
      </c>
    </row>
    <row r="875">
      <c r="B875" s="11" t="n"/>
      <c r="C875" s="8" t="n"/>
      <c r="D875" s="8" t="n"/>
      <c r="E875" s="8" t="n"/>
      <c r="F875" s="20" t="n"/>
      <c r="G875" s="20" t="n"/>
      <c r="H875" s="8" t="n"/>
      <c r="I875" s="20" t="n"/>
      <c r="J875" s="21">
        <f>IF(B875="","",F875+G875)</f>
        <v/>
      </c>
      <c r="K875" s="21">
        <f>IF(B875="","",J875*(Settings!$C$11+Settings!$C$12+Settings!$C$14)+IF(C875="",Settings!$C$13,IF(COUNTIF($C$5:C875,C875)=1,Settings!$C$13,0))+E875*Settings!$C$15+IF(H875="Yes",J875*Settings!$C$16,0))</f>
        <v/>
      </c>
      <c r="L875" s="21">
        <f>IF(B875="","",IF(Settings!$C$5="Yes",0,K875*Settings!$C$17))</f>
        <v/>
      </c>
      <c r="M875" s="21">
        <f>IF(B875="","",E875*IFERROR(VLOOKUP(D875,Products!$B$5:$F$204,5,FALSE),0))</f>
        <v/>
      </c>
      <c r="N875" s="21">
        <f>IF(B875="","",J875-K875-L875-M875-I875)</f>
        <v/>
      </c>
    </row>
    <row r="876">
      <c r="B876" s="11" t="n"/>
      <c r="C876" s="8" t="n"/>
      <c r="D876" s="8" t="n"/>
      <c r="E876" s="8" t="n"/>
      <c r="F876" s="20" t="n"/>
      <c r="G876" s="20" t="n"/>
      <c r="H876" s="8" t="n"/>
      <c r="I876" s="20" t="n"/>
      <c r="J876" s="21">
        <f>IF(B876="","",F876+G876)</f>
        <v/>
      </c>
      <c r="K876" s="21">
        <f>IF(B876="","",J876*(Settings!$C$11+Settings!$C$12+Settings!$C$14)+IF(C876="",Settings!$C$13,IF(COUNTIF($C$5:C876,C876)=1,Settings!$C$13,0))+E876*Settings!$C$15+IF(H876="Yes",J876*Settings!$C$16,0))</f>
        <v/>
      </c>
      <c r="L876" s="21">
        <f>IF(B876="","",IF(Settings!$C$5="Yes",0,K876*Settings!$C$17))</f>
        <v/>
      </c>
      <c r="M876" s="21">
        <f>IF(B876="","",E876*IFERROR(VLOOKUP(D876,Products!$B$5:$F$204,5,FALSE),0))</f>
        <v/>
      </c>
      <c r="N876" s="21">
        <f>IF(B876="","",J876-K876-L876-M876-I876)</f>
        <v/>
      </c>
    </row>
    <row r="877">
      <c r="B877" s="11" t="n"/>
      <c r="C877" s="8" t="n"/>
      <c r="D877" s="8" t="n"/>
      <c r="E877" s="8" t="n"/>
      <c r="F877" s="20" t="n"/>
      <c r="G877" s="20" t="n"/>
      <c r="H877" s="8" t="n"/>
      <c r="I877" s="20" t="n"/>
      <c r="J877" s="21">
        <f>IF(B877="","",F877+G877)</f>
        <v/>
      </c>
      <c r="K877" s="21">
        <f>IF(B877="","",J877*(Settings!$C$11+Settings!$C$12+Settings!$C$14)+IF(C877="",Settings!$C$13,IF(COUNTIF($C$5:C877,C877)=1,Settings!$C$13,0))+E877*Settings!$C$15+IF(H877="Yes",J877*Settings!$C$16,0))</f>
        <v/>
      </c>
      <c r="L877" s="21">
        <f>IF(B877="","",IF(Settings!$C$5="Yes",0,K877*Settings!$C$17))</f>
        <v/>
      </c>
      <c r="M877" s="21">
        <f>IF(B877="","",E877*IFERROR(VLOOKUP(D877,Products!$B$5:$F$204,5,FALSE),0))</f>
        <v/>
      </c>
      <c r="N877" s="21">
        <f>IF(B877="","",J877-K877-L877-M877-I877)</f>
        <v/>
      </c>
    </row>
    <row r="878">
      <c r="B878" s="11" t="n"/>
      <c r="C878" s="8" t="n"/>
      <c r="D878" s="8" t="n"/>
      <c r="E878" s="8" t="n"/>
      <c r="F878" s="20" t="n"/>
      <c r="G878" s="20" t="n"/>
      <c r="H878" s="8" t="n"/>
      <c r="I878" s="20" t="n"/>
      <c r="J878" s="21">
        <f>IF(B878="","",F878+G878)</f>
        <v/>
      </c>
      <c r="K878" s="21">
        <f>IF(B878="","",J878*(Settings!$C$11+Settings!$C$12+Settings!$C$14)+IF(C878="",Settings!$C$13,IF(COUNTIF($C$5:C878,C878)=1,Settings!$C$13,0))+E878*Settings!$C$15+IF(H878="Yes",J878*Settings!$C$16,0))</f>
        <v/>
      </c>
      <c r="L878" s="21">
        <f>IF(B878="","",IF(Settings!$C$5="Yes",0,K878*Settings!$C$17))</f>
        <v/>
      </c>
      <c r="M878" s="21">
        <f>IF(B878="","",E878*IFERROR(VLOOKUP(D878,Products!$B$5:$F$204,5,FALSE),0))</f>
        <v/>
      </c>
      <c r="N878" s="21">
        <f>IF(B878="","",J878-K878-L878-M878-I878)</f>
        <v/>
      </c>
    </row>
    <row r="879">
      <c r="B879" s="11" t="n"/>
      <c r="C879" s="8" t="n"/>
      <c r="D879" s="8" t="n"/>
      <c r="E879" s="8" t="n"/>
      <c r="F879" s="20" t="n"/>
      <c r="G879" s="20" t="n"/>
      <c r="H879" s="8" t="n"/>
      <c r="I879" s="20" t="n"/>
      <c r="J879" s="21">
        <f>IF(B879="","",F879+G879)</f>
        <v/>
      </c>
      <c r="K879" s="21">
        <f>IF(B879="","",J879*(Settings!$C$11+Settings!$C$12+Settings!$C$14)+IF(C879="",Settings!$C$13,IF(COUNTIF($C$5:C879,C879)=1,Settings!$C$13,0))+E879*Settings!$C$15+IF(H879="Yes",J879*Settings!$C$16,0))</f>
        <v/>
      </c>
      <c r="L879" s="21">
        <f>IF(B879="","",IF(Settings!$C$5="Yes",0,K879*Settings!$C$17))</f>
        <v/>
      </c>
      <c r="M879" s="21">
        <f>IF(B879="","",E879*IFERROR(VLOOKUP(D879,Products!$B$5:$F$204,5,FALSE),0))</f>
        <v/>
      </c>
      <c r="N879" s="21">
        <f>IF(B879="","",J879-K879-L879-M879-I879)</f>
        <v/>
      </c>
    </row>
    <row r="880">
      <c r="B880" s="11" t="n"/>
      <c r="C880" s="8" t="n"/>
      <c r="D880" s="8" t="n"/>
      <c r="E880" s="8" t="n"/>
      <c r="F880" s="20" t="n"/>
      <c r="G880" s="20" t="n"/>
      <c r="H880" s="8" t="n"/>
      <c r="I880" s="20" t="n"/>
      <c r="J880" s="21">
        <f>IF(B880="","",F880+G880)</f>
        <v/>
      </c>
      <c r="K880" s="21">
        <f>IF(B880="","",J880*(Settings!$C$11+Settings!$C$12+Settings!$C$14)+IF(C880="",Settings!$C$13,IF(COUNTIF($C$5:C880,C880)=1,Settings!$C$13,0))+E880*Settings!$C$15+IF(H880="Yes",J880*Settings!$C$16,0))</f>
        <v/>
      </c>
      <c r="L880" s="21">
        <f>IF(B880="","",IF(Settings!$C$5="Yes",0,K880*Settings!$C$17))</f>
        <v/>
      </c>
      <c r="M880" s="21">
        <f>IF(B880="","",E880*IFERROR(VLOOKUP(D880,Products!$B$5:$F$204,5,FALSE),0))</f>
        <v/>
      </c>
      <c r="N880" s="21">
        <f>IF(B880="","",J880-K880-L880-M880-I880)</f>
        <v/>
      </c>
    </row>
    <row r="881">
      <c r="B881" s="11" t="n"/>
      <c r="C881" s="8" t="n"/>
      <c r="D881" s="8" t="n"/>
      <c r="E881" s="8" t="n"/>
      <c r="F881" s="20" t="n"/>
      <c r="G881" s="20" t="n"/>
      <c r="H881" s="8" t="n"/>
      <c r="I881" s="20" t="n"/>
      <c r="J881" s="21">
        <f>IF(B881="","",F881+G881)</f>
        <v/>
      </c>
      <c r="K881" s="21">
        <f>IF(B881="","",J881*(Settings!$C$11+Settings!$C$12+Settings!$C$14)+IF(C881="",Settings!$C$13,IF(COUNTIF($C$5:C881,C881)=1,Settings!$C$13,0))+E881*Settings!$C$15+IF(H881="Yes",J881*Settings!$C$16,0))</f>
        <v/>
      </c>
      <c r="L881" s="21">
        <f>IF(B881="","",IF(Settings!$C$5="Yes",0,K881*Settings!$C$17))</f>
        <v/>
      </c>
      <c r="M881" s="21">
        <f>IF(B881="","",E881*IFERROR(VLOOKUP(D881,Products!$B$5:$F$204,5,FALSE),0))</f>
        <v/>
      </c>
      <c r="N881" s="21">
        <f>IF(B881="","",J881-K881-L881-M881-I881)</f>
        <v/>
      </c>
    </row>
    <row r="882">
      <c r="B882" s="11" t="n"/>
      <c r="C882" s="8" t="n"/>
      <c r="D882" s="8" t="n"/>
      <c r="E882" s="8" t="n"/>
      <c r="F882" s="20" t="n"/>
      <c r="G882" s="20" t="n"/>
      <c r="H882" s="8" t="n"/>
      <c r="I882" s="20" t="n"/>
      <c r="J882" s="21">
        <f>IF(B882="","",F882+G882)</f>
        <v/>
      </c>
      <c r="K882" s="21">
        <f>IF(B882="","",J882*(Settings!$C$11+Settings!$C$12+Settings!$C$14)+IF(C882="",Settings!$C$13,IF(COUNTIF($C$5:C882,C882)=1,Settings!$C$13,0))+E882*Settings!$C$15+IF(H882="Yes",J882*Settings!$C$16,0))</f>
        <v/>
      </c>
      <c r="L882" s="21">
        <f>IF(B882="","",IF(Settings!$C$5="Yes",0,K882*Settings!$C$17))</f>
        <v/>
      </c>
      <c r="M882" s="21">
        <f>IF(B882="","",E882*IFERROR(VLOOKUP(D882,Products!$B$5:$F$204,5,FALSE),0))</f>
        <v/>
      </c>
      <c r="N882" s="21">
        <f>IF(B882="","",J882-K882-L882-M882-I882)</f>
        <v/>
      </c>
    </row>
    <row r="883">
      <c r="B883" s="11" t="n"/>
      <c r="C883" s="8" t="n"/>
      <c r="D883" s="8" t="n"/>
      <c r="E883" s="8" t="n"/>
      <c r="F883" s="20" t="n"/>
      <c r="G883" s="20" t="n"/>
      <c r="H883" s="8" t="n"/>
      <c r="I883" s="20" t="n"/>
      <c r="J883" s="21">
        <f>IF(B883="","",F883+G883)</f>
        <v/>
      </c>
      <c r="K883" s="21">
        <f>IF(B883="","",J883*(Settings!$C$11+Settings!$C$12+Settings!$C$14)+IF(C883="",Settings!$C$13,IF(COUNTIF($C$5:C883,C883)=1,Settings!$C$13,0))+E883*Settings!$C$15+IF(H883="Yes",J883*Settings!$C$16,0))</f>
        <v/>
      </c>
      <c r="L883" s="21">
        <f>IF(B883="","",IF(Settings!$C$5="Yes",0,K883*Settings!$C$17))</f>
        <v/>
      </c>
      <c r="M883" s="21">
        <f>IF(B883="","",E883*IFERROR(VLOOKUP(D883,Products!$B$5:$F$204,5,FALSE),0))</f>
        <v/>
      </c>
      <c r="N883" s="21">
        <f>IF(B883="","",J883-K883-L883-M883-I883)</f>
        <v/>
      </c>
    </row>
    <row r="884">
      <c r="B884" s="11" t="n"/>
      <c r="C884" s="8" t="n"/>
      <c r="D884" s="8" t="n"/>
      <c r="E884" s="8" t="n"/>
      <c r="F884" s="20" t="n"/>
      <c r="G884" s="20" t="n"/>
      <c r="H884" s="8" t="n"/>
      <c r="I884" s="20" t="n"/>
      <c r="J884" s="21">
        <f>IF(B884="","",F884+G884)</f>
        <v/>
      </c>
      <c r="K884" s="21">
        <f>IF(B884="","",J884*(Settings!$C$11+Settings!$C$12+Settings!$C$14)+IF(C884="",Settings!$C$13,IF(COUNTIF($C$5:C884,C884)=1,Settings!$C$13,0))+E884*Settings!$C$15+IF(H884="Yes",J884*Settings!$C$16,0))</f>
        <v/>
      </c>
      <c r="L884" s="21">
        <f>IF(B884="","",IF(Settings!$C$5="Yes",0,K884*Settings!$C$17))</f>
        <v/>
      </c>
      <c r="M884" s="21">
        <f>IF(B884="","",E884*IFERROR(VLOOKUP(D884,Products!$B$5:$F$204,5,FALSE),0))</f>
        <v/>
      </c>
      <c r="N884" s="21">
        <f>IF(B884="","",J884-K884-L884-M884-I884)</f>
        <v/>
      </c>
    </row>
    <row r="885">
      <c r="B885" s="11" t="n"/>
      <c r="C885" s="8" t="n"/>
      <c r="D885" s="8" t="n"/>
      <c r="E885" s="8" t="n"/>
      <c r="F885" s="20" t="n"/>
      <c r="G885" s="20" t="n"/>
      <c r="H885" s="8" t="n"/>
      <c r="I885" s="20" t="n"/>
      <c r="J885" s="21">
        <f>IF(B885="","",F885+G885)</f>
        <v/>
      </c>
      <c r="K885" s="21">
        <f>IF(B885="","",J885*(Settings!$C$11+Settings!$C$12+Settings!$C$14)+IF(C885="",Settings!$C$13,IF(COUNTIF($C$5:C885,C885)=1,Settings!$C$13,0))+E885*Settings!$C$15+IF(H885="Yes",J885*Settings!$C$16,0))</f>
        <v/>
      </c>
      <c r="L885" s="21">
        <f>IF(B885="","",IF(Settings!$C$5="Yes",0,K885*Settings!$C$17))</f>
        <v/>
      </c>
      <c r="M885" s="21">
        <f>IF(B885="","",E885*IFERROR(VLOOKUP(D885,Products!$B$5:$F$204,5,FALSE),0))</f>
        <v/>
      </c>
      <c r="N885" s="21">
        <f>IF(B885="","",J885-K885-L885-M885-I885)</f>
        <v/>
      </c>
    </row>
    <row r="886">
      <c r="B886" s="11" t="n"/>
      <c r="C886" s="8" t="n"/>
      <c r="D886" s="8" t="n"/>
      <c r="E886" s="8" t="n"/>
      <c r="F886" s="20" t="n"/>
      <c r="G886" s="20" t="n"/>
      <c r="H886" s="8" t="n"/>
      <c r="I886" s="20" t="n"/>
      <c r="J886" s="21">
        <f>IF(B886="","",F886+G886)</f>
        <v/>
      </c>
      <c r="K886" s="21">
        <f>IF(B886="","",J886*(Settings!$C$11+Settings!$C$12+Settings!$C$14)+IF(C886="",Settings!$C$13,IF(COUNTIF($C$5:C886,C886)=1,Settings!$C$13,0))+E886*Settings!$C$15+IF(H886="Yes",J886*Settings!$C$16,0))</f>
        <v/>
      </c>
      <c r="L886" s="21">
        <f>IF(B886="","",IF(Settings!$C$5="Yes",0,K886*Settings!$C$17))</f>
        <v/>
      </c>
      <c r="M886" s="21">
        <f>IF(B886="","",E886*IFERROR(VLOOKUP(D886,Products!$B$5:$F$204,5,FALSE),0))</f>
        <v/>
      </c>
      <c r="N886" s="21">
        <f>IF(B886="","",J886-K886-L886-M886-I886)</f>
        <v/>
      </c>
    </row>
    <row r="887">
      <c r="B887" s="11" t="n"/>
      <c r="C887" s="8" t="n"/>
      <c r="D887" s="8" t="n"/>
      <c r="E887" s="8" t="n"/>
      <c r="F887" s="20" t="n"/>
      <c r="G887" s="20" t="n"/>
      <c r="H887" s="8" t="n"/>
      <c r="I887" s="20" t="n"/>
      <c r="J887" s="21">
        <f>IF(B887="","",F887+G887)</f>
        <v/>
      </c>
      <c r="K887" s="21">
        <f>IF(B887="","",J887*(Settings!$C$11+Settings!$C$12+Settings!$C$14)+IF(C887="",Settings!$C$13,IF(COUNTIF($C$5:C887,C887)=1,Settings!$C$13,0))+E887*Settings!$C$15+IF(H887="Yes",J887*Settings!$C$16,0))</f>
        <v/>
      </c>
      <c r="L887" s="21">
        <f>IF(B887="","",IF(Settings!$C$5="Yes",0,K887*Settings!$C$17))</f>
        <v/>
      </c>
      <c r="M887" s="21">
        <f>IF(B887="","",E887*IFERROR(VLOOKUP(D887,Products!$B$5:$F$204,5,FALSE),0))</f>
        <v/>
      </c>
      <c r="N887" s="21">
        <f>IF(B887="","",J887-K887-L887-M887-I887)</f>
        <v/>
      </c>
    </row>
    <row r="888">
      <c r="B888" s="11" t="n"/>
      <c r="C888" s="8" t="n"/>
      <c r="D888" s="8" t="n"/>
      <c r="E888" s="8" t="n"/>
      <c r="F888" s="20" t="n"/>
      <c r="G888" s="20" t="n"/>
      <c r="H888" s="8" t="n"/>
      <c r="I888" s="20" t="n"/>
      <c r="J888" s="21">
        <f>IF(B888="","",F888+G888)</f>
        <v/>
      </c>
      <c r="K888" s="21">
        <f>IF(B888="","",J888*(Settings!$C$11+Settings!$C$12+Settings!$C$14)+IF(C888="",Settings!$C$13,IF(COUNTIF($C$5:C888,C888)=1,Settings!$C$13,0))+E888*Settings!$C$15+IF(H888="Yes",J888*Settings!$C$16,0))</f>
        <v/>
      </c>
      <c r="L888" s="21">
        <f>IF(B888="","",IF(Settings!$C$5="Yes",0,K888*Settings!$C$17))</f>
        <v/>
      </c>
      <c r="M888" s="21">
        <f>IF(B888="","",E888*IFERROR(VLOOKUP(D888,Products!$B$5:$F$204,5,FALSE),0))</f>
        <v/>
      </c>
      <c r="N888" s="21">
        <f>IF(B888="","",J888-K888-L888-M888-I888)</f>
        <v/>
      </c>
    </row>
    <row r="889">
      <c r="B889" s="11" t="n"/>
      <c r="C889" s="8" t="n"/>
      <c r="D889" s="8" t="n"/>
      <c r="E889" s="8" t="n"/>
      <c r="F889" s="20" t="n"/>
      <c r="G889" s="20" t="n"/>
      <c r="H889" s="8" t="n"/>
      <c r="I889" s="20" t="n"/>
      <c r="J889" s="21">
        <f>IF(B889="","",F889+G889)</f>
        <v/>
      </c>
      <c r="K889" s="21">
        <f>IF(B889="","",J889*(Settings!$C$11+Settings!$C$12+Settings!$C$14)+IF(C889="",Settings!$C$13,IF(COUNTIF($C$5:C889,C889)=1,Settings!$C$13,0))+E889*Settings!$C$15+IF(H889="Yes",J889*Settings!$C$16,0))</f>
        <v/>
      </c>
      <c r="L889" s="21">
        <f>IF(B889="","",IF(Settings!$C$5="Yes",0,K889*Settings!$C$17))</f>
        <v/>
      </c>
      <c r="M889" s="21">
        <f>IF(B889="","",E889*IFERROR(VLOOKUP(D889,Products!$B$5:$F$204,5,FALSE),0))</f>
        <v/>
      </c>
      <c r="N889" s="21">
        <f>IF(B889="","",J889-K889-L889-M889-I889)</f>
        <v/>
      </c>
    </row>
    <row r="890">
      <c r="B890" s="11" t="n"/>
      <c r="C890" s="8" t="n"/>
      <c r="D890" s="8" t="n"/>
      <c r="E890" s="8" t="n"/>
      <c r="F890" s="20" t="n"/>
      <c r="G890" s="20" t="n"/>
      <c r="H890" s="8" t="n"/>
      <c r="I890" s="20" t="n"/>
      <c r="J890" s="21">
        <f>IF(B890="","",F890+G890)</f>
        <v/>
      </c>
      <c r="K890" s="21">
        <f>IF(B890="","",J890*(Settings!$C$11+Settings!$C$12+Settings!$C$14)+IF(C890="",Settings!$C$13,IF(COUNTIF($C$5:C890,C890)=1,Settings!$C$13,0))+E890*Settings!$C$15+IF(H890="Yes",J890*Settings!$C$16,0))</f>
        <v/>
      </c>
      <c r="L890" s="21">
        <f>IF(B890="","",IF(Settings!$C$5="Yes",0,K890*Settings!$C$17))</f>
        <v/>
      </c>
      <c r="M890" s="21">
        <f>IF(B890="","",E890*IFERROR(VLOOKUP(D890,Products!$B$5:$F$204,5,FALSE),0))</f>
        <v/>
      </c>
      <c r="N890" s="21">
        <f>IF(B890="","",J890-K890-L890-M890-I890)</f>
        <v/>
      </c>
    </row>
    <row r="891">
      <c r="B891" s="11" t="n"/>
      <c r="C891" s="8" t="n"/>
      <c r="D891" s="8" t="n"/>
      <c r="E891" s="8" t="n"/>
      <c r="F891" s="20" t="n"/>
      <c r="G891" s="20" t="n"/>
      <c r="H891" s="8" t="n"/>
      <c r="I891" s="20" t="n"/>
      <c r="J891" s="21">
        <f>IF(B891="","",F891+G891)</f>
        <v/>
      </c>
      <c r="K891" s="21">
        <f>IF(B891="","",J891*(Settings!$C$11+Settings!$C$12+Settings!$C$14)+IF(C891="",Settings!$C$13,IF(COUNTIF($C$5:C891,C891)=1,Settings!$C$13,0))+E891*Settings!$C$15+IF(H891="Yes",J891*Settings!$C$16,0))</f>
        <v/>
      </c>
      <c r="L891" s="21">
        <f>IF(B891="","",IF(Settings!$C$5="Yes",0,K891*Settings!$C$17))</f>
        <v/>
      </c>
      <c r="M891" s="21">
        <f>IF(B891="","",E891*IFERROR(VLOOKUP(D891,Products!$B$5:$F$204,5,FALSE),0))</f>
        <v/>
      </c>
      <c r="N891" s="21">
        <f>IF(B891="","",J891-K891-L891-M891-I891)</f>
        <v/>
      </c>
    </row>
    <row r="892">
      <c r="B892" s="11" t="n"/>
      <c r="C892" s="8" t="n"/>
      <c r="D892" s="8" t="n"/>
      <c r="E892" s="8" t="n"/>
      <c r="F892" s="20" t="n"/>
      <c r="G892" s="20" t="n"/>
      <c r="H892" s="8" t="n"/>
      <c r="I892" s="20" t="n"/>
      <c r="J892" s="21">
        <f>IF(B892="","",F892+G892)</f>
        <v/>
      </c>
      <c r="K892" s="21">
        <f>IF(B892="","",J892*(Settings!$C$11+Settings!$C$12+Settings!$C$14)+IF(C892="",Settings!$C$13,IF(COUNTIF($C$5:C892,C892)=1,Settings!$C$13,0))+E892*Settings!$C$15+IF(H892="Yes",J892*Settings!$C$16,0))</f>
        <v/>
      </c>
      <c r="L892" s="21">
        <f>IF(B892="","",IF(Settings!$C$5="Yes",0,K892*Settings!$C$17))</f>
        <v/>
      </c>
      <c r="M892" s="21">
        <f>IF(B892="","",E892*IFERROR(VLOOKUP(D892,Products!$B$5:$F$204,5,FALSE),0))</f>
        <v/>
      </c>
      <c r="N892" s="21">
        <f>IF(B892="","",J892-K892-L892-M892-I892)</f>
        <v/>
      </c>
    </row>
    <row r="893">
      <c r="B893" s="11" t="n"/>
      <c r="C893" s="8" t="n"/>
      <c r="D893" s="8" t="n"/>
      <c r="E893" s="8" t="n"/>
      <c r="F893" s="20" t="n"/>
      <c r="G893" s="20" t="n"/>
      <c r="H893" s="8" t="n"/>
      <c r="I893" s="20" t="n"/>
      <c r="J893" s="21">
        <f>IF(B893="","",F893+G893)</f>
        <v/>
      </c>
      <c r="K893" s="21">
        <f>IF(B893="","",J893*(Settings!$C$11+Settings!$C$12+Settings!$C$14)+IF(C893="",Settings!$C$13,IF(COUNTIF($C$5:C893,C893)=1,Settings!$C$13,0))+E893*Settings!$C$15+IF(H893="Yes",J893*Settings!$C$16,0))</f>
        <v/>
      </c>
      <c r="L893" s="21">
        <f>IF(B893="","",IF(Settings!$C$5="Yes",0,K893*Settings!$C$17))</f>
        <v/>
      </c>
      <c r="M893" s="21">
        <f>IF(B893="","",E893*IFERROR(VLOOKUP(D893,Products!$B$5:$F$204,5,FALSE),0))</f>
        <v/>
      </c>
      <c r="N893" s="21">
        <f>IF(B893="","",J893-K893-L893-M893-I893)</f>
        <v/>
      </c>
    </row>
    <row r="894">
      <c r="B894" s="11" t="n"/>
      <c r="C894" s="8" t="n"/>
      <c r="D894" s="8" t="n"/>
      <c r="E894" s="8" t="n"/>
      <c r="F894" s="20" t="n"/>
      <c r="G894" s="20" t="n"/>
      <c r="H894" s="8" t="n"/>
      <c r="I894" s="20" t="n"/>
      <c r="J894" s="21">
        <f>IF(B894="","",F894+G894)</f>
        <v/>
      </c>
      <c r="K894" s="21">
        <f>IF(B894="","",J894*(Settings!$C$11+Settings!$C$12+Settings!$C$14)+IF(C894="",Settings!$C$13,IF(COUNTIF($C$5:C894,C894)=1,Settings!$C$13,0))+E894*Settings!$C$15+IF(H894="Yes",J894*Settings!$C$16,0))</f>
        <v/>
      </c>
      <c r="L894" s="21">
        <f>IF(B894="","",IF(Settings!$C$5="Yes",0,K894*Settings!$C$17))</f>
        <v/>
      </c>
      <c r="M894" s="21">
        <f>IF(B894="","",E894*IFERROR(VLOOKUP(D894,Products!$B$5:$F$204,5,FALSE),0))</f>
        <v/>
      </c>
      <c r="N894" s="21">
        <f>IF(B894="","",J894-K894-L894-M894-I894)</f>
        <v/>
      </c>
    </row>
    <row r="895">
      <c r="B895" s="11" t="n"/>
      <c r="C895" s="8" t="n"/>
      <c r="D895" s="8" t="n"/>
      <c r="E895" s="8" t="n"/>
      <c r="F895" s="20" t="n"/>
      <c r="G895" s="20" t="n"/>
      <c r="H895" s="8" t="n"/>
      <c r="I895" s="20" t="n"/>
      <c r="J895" s="21">
        <f>IF(B895="","",F895+G895)</f>
        <v/>
      </c>
      <c r="K895" s="21">
        <f>IF(B895="","",J895*(Settings!$C$11+Settings!$C$12+Settings!$C$14)+IF(C895="",Settings!$C$13,IF(COUNTIF($C$5:C895,C895)=1,Settings!$C$13,0))+E895*Settings!$C$15+IF(H895="Yes",J895*Settings!$C$16,0))</f>
        <v/>
      </c>
      <c r="L895" s="21">
        <f>IF(B895="","",IF(Settings!$C$5="Yes",0,K895*Settings!$C$17))</f>
        <v/>
      </c>
      <c r="M895" s="21">
        <f>IF(B895="","",E895*IFERROR(VLOOKUP(D895,Products!$B$5:$F$204,5,FALSE),0))</f>
        <v/>
      </c>
      <c r="N895" s="21">
        <f>IF(B895="","",J895-K895-L895-M895-I895)</f>
        <v/>
      </c>
    </row>
    <row r="896">
      <c r="B896" s="11" t="n"/>
      <c r="C896" s="8" t="n"/>
      <c r="D896" s="8" t="n"/>
      <c r="E896" s="8" t="n"/>
      <c r="F896" s="20" t="n"/>
      <c r="G896" s="20" t="n"/>
      <c r="H896" s="8" t="n"/>
      <c r="I896" s="20" t="n"/>
      <c r="J896" s="21">
        <f>IF(B896="","",F896+G896)</f>
        <v/>
      </c>
      <c r="K896" s="21">
        <f>IF(B896="","",J896*(Settings!$C$11+Settings!$C$12+Settings!$C$14)+IF(C896="",Settings!$C$13,IF(COUNTIF($C$5:C896,C896)=1,Settings!$C$13,0))+E896*Settings!$C$15+IF(H896="Yes",J896*Settings!$C$16,0))</f>
        <v/>
      </c>
      <c r="L896" s="21">
        <f>IF(B896="","",IF(Settings!$C$5="Yes",0,K896*Settings!$C$17))</f>
        <v/>
      </c>
      <c r="M896" s="21">
        <f>IF(B896="","",E896*IFERROR(VLOOKUP(D896,Products!$B$5:$F$204,5,FALSE),0))</f>
        <v/>
      </c>
      <c r="N896" s="21">
        <f>IF(B896="","",J896-K896-L896-M896-I896)</f>
        <v/>
      </c>
    </row>
    <row r="897">
      <c r="B897" s="11" t="n"/>
      <c r="C897" s="8" t="n"/>
      <c r="D897" s="8" t="n"/>
      <c r="E897" s="8" t="n"/>
      <c r="F897" s="20" t="n"/>
      <c r="G897" s="20" t="n"/>
      <c r="H897" s="8" t="n"/>
      <c r="I897" s="20" t="n"/>
      <c r="J897" s="21">
        <f>IF(B897="","",F897+G897)</f>
        <v/>
      </c>
      <c r="K897" s="21">
        <f>IF(B897="","",J897*(Settings!$C$11+Settings!$C$12+Settings!$C$14)+IF(C897="",Settings!$C$13,IF(COUNTIF($C$5:C897,C897)=1,Settings!$C$13,0))+E897*Settings!$C$15+IF(H897="Yes",J897*Settings!$C$16,0))</f>
        <v/>
      </c>
      <c r="L897" s="21">
        <f>IF(B897="","",IF(Settings!$C$5="Yes",0,K897*Settings!$C$17))</f>
        <v/>
      </c>
      <c r="M897" s="21">
        <f>IF(B897="","",E897*IFERROR(VLOOKUP(D897,Products!$B$5:$F$204,5,FALSE),0))</f>
        <v/>
      </c>
      <c r="N897" s="21">
        <f>IF(B897="","",J897-K897-L897-M897-I897)</f>
        <v/>
      </c>
    </row>
    <row r="898">
      <c r="B898" s="11" t="n"/>
      <c r="C898" s="8" t="n"/>
      <c r="D898" s="8" t="n"/>
      <c r="E898" s="8" t="n"/>
      <c r="F898" s="20" t="n"/>
      <c r="G898" s="20" t="n"/>
      <c r="H898" s="8" t="n"/>
      <c r="I898" s="20" t="n"/>
      <c r="J898" s="21">
        <f>IF(B898="","",F898+G898)</f>
        <v/>
      </c>
      <c r="K898" s="21">
        <f>IF(B898="","",J898*(Settings!$C$11+Settings!$C$12+Settings!$C$14)+IF(C898="",Settings!$C$13,IF(COUNTIF($C$5:C898,C898)=1,Settings!$C$13,0))+E898*Settings!$C$15+IF(H898="Yes",J898*Settings!$C$16,0))</f>
        <v/>
      </c>
      <c r="L898" s="21">
        <f>IF(B898="","",IF(Settings!$C$5="Yes",0,K898*Settings!$C$17))</f>
        <v/>
      </c>
      <c r="M898" s="21">
        <f>IF(B898="","",E898*IFERROR(VLOOKUP(D898,Products!$B$5:$F$204,5,FALSE),0))</f>
        <v/>
      </c>
      <c r="N898" s="21">
        <f>IF(B898="","",J898-K898-L898-M898-I898)</f>
        <v/>
      </c>
    </row>
    <row r="899">
      <c r="B899" s="11" t="n"/>
      <c r="C899" s="8" t="n"/>
      <c r="D899" s="8" t="n"/>
      <c r="E899" s="8" t="n"/>
      <c r="F899" s="20" t="n"/>
      <c r="G899" s="20" t="n"/>
      <c r="H899" s="8" t="n"/>
      <c r="I899" s="20" t="n"/>
      <c r="J899" s="21">
        <f>IF(B899="","",F899+G899)</f>
        <v/>
      </c>
      <c r="K899" s="21">
        <f>IF(B899="","",J899*(Settings!$C$11+Settings!$C$12+Settings!$C$14)+IF(C899="",Settings!$C$13,IF(COUNTIF($C$5:C899,C899)=1,Settings!$C$13,0))+E899*Settings!$C$15+IF(H899="Yes",J899*Settings!$C$16,0))</f>
        <v/>
      </c>
      <c r="L899" s="21">
        <f>IF(B899="","",IF(Settings!$C$5="Yes",0,K899*Settings!$C$17))</f>
        <v/>
      </c>
      <c r="M899" s="21">
        <f>IF(B899="","",E899*IFERROR(VLOOKUP(D899,Products!$B$5:$F$204,5,FALSE),0))</f>
        <v/>
      </c>
      <c r="N899" s="21">
        <f>IF(B899="","",J899-K899-L899-M899-I899)</f>
        <v/>
      </c>
    </row>
    <row r="900">
      <c r="B900" s="11" t="n"/>
      <c r="C900" s="8" t="n"/>
      <c r="D900" s="8" t="n"/>
      <c r="E900" s="8" t="n"/>
      <c r="F900" s="20" t="n"/>
      <c r="G900" s="20" t="n"/>
      <c r="H900" s="8" t="n"/>
      <c r="I900" s="20" t="n"/>
      <c r="J900" s="21">
        <f>IF(B900="","",F900+G900)</f>
        <v/>
      </c>
      <c r="K900" s="21">
        <f>IF(B900="","",J900*(Settings!$C$11+Settings!$C$12+Settings!$C$14)+IF(C900="",Settings!$C$13,IF(COUNTIF($C$5:C900,C900)=1,Settings!$C$13,0))+E900*Settings!$C$15+IF(H900="Yes",J900*Settings!$C$16,0))</f>
        <v/>
      </c>
      <c r="L900" s="21">
        <f>IF(B900="","",IF(Settings!$C$5="Yes",0,K900*Settings!$C$17))</f>
        <v/>
      </c>
      <c r="M900" s="21">
        <f>IF(B900="","",E900*IFERROR(VLOOKUP(D900,Products!$B$5:$F$204,5,FALSE),0))</f>
        <v/>
      </c>
      <c r="N900" s="21">
        <f>IF(B900="","",J900-K900-L900-M900-I900)</f>
        <v/>
      </c>
    </row>
    <row r="901">
      <c r="B901" s="11" t="n"/>
      <c r="C901" s="8" t="n"/>
      <c r="D901" s="8" t="n"/>
      <c r="E901" s="8" t="n"/>
      <c r="F901" s="20" t="n"/>
      <c r="G901" s="20" t="n"/>
      <c r="H901" s="8" t="n"/>
      <c r="I901" s="20" t="n"/>
      <c r="J901" s="21">
        <f>IF(B901="","",F901+G901)</f>
        <v/>
      </c>
      <c r="K901" s="21">
        <f>IF(B901="","",J901*(Settings!$C$11+Settings!$C$12+Settings!$C$14)+IF(C901="",Settings!$C$13,IF(COUNTIF($C$5:C901,C901)=1,Settings!$C$13,0))+E901*Settings!$C$15+IF(H901="Yes",J901*Settings!$C$16,0))</f>
        <v/>
      </c>
      <c r="L901" s="21">
        <f>IF(B901="","",IF(Settings!$C$5="Yes",0,K901*Settings!$C$17))</f>
        <v/>
      </c>
      <c r="M901" s="21">
        <f>IF(B901="","",E901*IFERROR(VLOOKUP(D901,Products!$B$5:$F$204,5,FALSE),0))</f>
        <v/>
      </c>
      <c r="N901" s="21">
        <f>IF(B901="","",J901-K901-L901-M901-I901)</f>
        <v/>
      </c>
    </row>
    <row r="902">
      <c r="B902" s="11" t="n"/>
      <c r="C902" s="8" t="n"/>
      <c r="D902" s="8" t="n"/>
      <c r="E902" s="8" t="n"/>
      <c r="F902" s="20" t="n"/>
      <c r="G902" s="20" t="n"/>
      <c r="H902" s="8" t="n"/>
      <c r="I902" s="20" t="n"/>
      <c r="J902" s="21">
        <f>IF(B902="","",F902+G902)</f>
        <v/>
      </c>
      <c r="K902" s="21">
        <f>IF(B902="","",J902*(Settings!$C$11+Settings!$C$12+Settings!$C$14)+IF(C902="",Settings!$C$13,IF(COUNTIF($C$5:C902,C902)=1,Settings!$C$13,0))+E902*Settings!$C$15+IF(H902="Yes",J902*Settings!$C$16,0))</f>
        <v/>
      </c>
      <c r="L902" s="21">
        <f>IF(B902="","",IF(Settings!$C$5="Yes",0,K902*Settings!$C$17))</f>
        <v/>
      </c>
      <c r="M902" s="21">
        <f>IF(B902="","",E902*IFERROR(VLOOKUP(D902,Products!$B$5:$F$204,5,FALSE),0))</f>
        <v/>
      </c>
      <c r="N902" s="21">
        <f>IF(B902="","",J902-K902-L902-M902-I902)</f>
        <v/>
      </c>
    </row>
    <row r="903">
      <c r="B903" s="11" t="n"/>
      <c r="C903" s="8" t="n"/>
      <c r="D903" s="8" t="n"/>
      <c r="E903" s="8" t="n"/>
      <c r="F903" s="20" t="n"/>
      <c r="G903" s="20" t="n"/>
      <c r="H903" s="8" t="n"/>
      <c r="I903" s="20" t="n"/>
      <c r="J903" s="21">
        <f>IF(B903="","",F903+G903)</f>
        <v/>
      </c>
      <c r="K903" s="21">
        <f>IF(B903="","",J903*(Settings!$C$11+Settings!$C$12+Settings!$C$14)+IF(C903="",Settings!$C$13,IF(COUNTIF($C$5:C903,C903)=1,Settings!$C$13,0))+E903*Settings!$C$15+IF(H903="Yes",J903*Settings!$C$16,0))</f>
        <v/>
      </c>
      <c r="L903" s="21">
        <f>IF(B903="","",IF(Settings!$C$5="Yes",0,K903*Settings!$C$17))</f>
        <v/>
      </c>
      <c r="M903" s="21">
        <f>IF(B903="","",E903*IFERROR(VLOOKUP(D903,Products!$B$5:$F$204,5,FALSE),0))</f>
        <v/>
      </c>
      <c r="N903" s="21">
        <f>IF(B903="","",J903-K903-L903-M903-I903)</f>
        <v/>
      </c>
    </row>
    <row r="904">
      <c r="B904" s="11" t="n"/>
      <c r="C904" s="8" t="n"/>
      <c r="D904" s="8" t="n"/>
      <c r="E904" s="8" t="n"/>
      <c r="F904" s="20" t="n"/>
      <c r="G904" s="20" t="n"/>
      <c r="H904" s="8" t="n"/>
      <c r="I904" s="20" t="n"/>
      <c r="J904" s="21">
        <f>IF(B904="","",F904+G904)</f>
        <v/>
      </c>
      <c r="K904" s="21">
        <f>IF(B904="","",J904*(Settings!$C$11+Settings!$C$12+Settings!$C$14)+IF(C904="",Settings!$C$13,IF(COUNTIF($C$5:C904,C904)=1,Settings!$C$13,0))+E904*Settings!$C$15+IF(H904="Yes",J904*Settings!$C$16,0))</f>
        <v/>
      </c>
      <c r="L904" s="21">
        <f>IF(B904="","",IF(Settings!$C$5="Yes",0,K904*Settings!$C$17))</f>
        <v/>
      </c>
      <c r="M904" s="21">
        <f>IF(B904="","",E904*IFERROR(VLOOKUP(D904,Products!$B$5:$F$204,5,FALSE),0))</f>
        <v/>
      </c>
      <c r="N904" s="21">
        <f>IF(B904="","",J904-K904-L904-M904-I904)</f>
        <v/>
      </c>
    </row>
    <row r="905">
      <c r="B905" s="11" t="n"/>
      <c r="C905" s="8" t="n"/>
      <c r="D905" s="8" t="n"/>
      <c r="E905" s="8" t="n"/>
      <c r="F905" s="20" t="n"/>
      <c r="G905" s="20" t="n"/>
      <c r="H905" s="8" t="n"/>
      <c r="I905" s="20" t="n"/>
      <c r="J905" s="21">
        <f>IF(B905="","",F905+G905)</f>
        <v/>
      </c>
      <c r="K905" s="21">
        <f>IF(B905="","",J905*(Settings!$C$11+Settings!$C$12+Settings!$C$14)+IF(C905="",Settings!$C$13,IF(COUNTIF($C$5:C905,C905)=1,Settings!$C$13,0))+E905*Settings!$C$15+IF(H905="Yes",J905*Settings!$C$16,0))</f>
        <v/>
      </c>
      <c r="L905" s="21">
        <f>IF(B905="","",IF(Settings!$C$5="Yes",0,K905*Settings!$C$17))</f>
        <v/>
      </c>
      <c r="M905" s="21">
        <f>IF(B905="","",E905*IFERROR(VLOOKUP(D905,Products!$B$5:$F$204,5,FALSE),0))</f>
        <v/>
      </c>
      <c r="N905" s="21">
        <f>IF(B905="","",J905-K905-L905-M905-I905)</f>
        <v/>
      </c>
    </row>
    <row r="906">
      <c r="B906" s="11" t="n"/>
      <c r="C906" s="8" t="n"/>
      <c r="D906" s="8" t="n"/>
      <c r="E906" s="8" t="n"/>
      <c r="F906" s="20" t="n"/>
      <c r="G906" s="20" t="n"/>
      <c r="H906" s="8" t="n"/>
      <c r="I906" s="20" t="n"/>
      <c r="J906" s="21">
        <f>IF(B906="","",F906+G906)</f>
        <v/>
      </c>
      <c r="K906" s="21">
        <f>IF(B906="","",J906*(Settings!$C$11+Settings!$C$12+Settings!$C$14)+IF(C906="",Settings!$C$13,IF(COUNTIF($C$5:C906,C906)=1,Settings!$C$13,0))+E906*Settings!$C$15+IF(H906="Yes",J906*Settings!$C$16,0))</f>
        <v/>
      </c>
      <c r="L906" s="21">
        <f>IF(B906="","",IF(Settings!$C$5="Yes",0,K906*Settings!$C$17))</f>
        <v/>
      </c>
      <c r="M906" s="21">
        <f>IF(B906="","",E906*IFERROR(VLOOKUP(D906,Products!$B$5:$F$204,5,FALSE),0))</f>
        <v/>
      </c>
      <c r="N906" s="21">
        <f>IF(B906="","",J906-K906-L906-M906-I906)</f>
        <v/>
      </c>
    </row>
    <row r="907">
      <c r="B907" s="11" t="n"/>
      <c r="C907" s="8" t="n"/>
      <c r="D907" s="8" t="n"/>
      <c r="E907" s="8" t="n"/>
      <c r="F907" s="20" t="n"/>
      <c r="G907" s="20" t="n"/>
      <c r="H907" s="8" t="n"/>
      <c r="I907" s="20" t="n"/>
      <c r="J907" s="21">
        <f>IF(B907="","",F907+G907)</f>
        <v/>
      </c>
      <c r="K907" s="21">
        <f>IF(B907="","",J907*(Settings!$C$11+Settings!$C$12+Settings!$C$14)+IF(C907="",Settings!$C$13,IF(COUNTIF($C$5:C907,C907)=1,Settings!$C$13,0))+E907*Settings!$C$15+IF(H907="Yes",J907*Settings!$C$16,0))</f>
        <v/>
      </c>
      <c r="L907" s="21">
        <f>IF(B907="","",IF(Settings!$C$5="Yes",0,K907*Settings!$C$17))</f>
        <v/>
      </c>
      <c r="M907" s="21">
        <f>IF(B907="","",E907*IFERROR(VLOOKUP(D907,Products!$B$5:$F$204,5,FALSE),0))</f>
        <v/>
      </c>
      <c r="N907" s="21">
        <f>IF(B907="","",J907-K907-L907-M907-I907)</f>
        <v/>
      </c>
    </row>
    <row r="908">
      <c r="B908" s="11" t="n"/>
      <c r="C908" s="8" t="n"/>
      <c r="D908" s="8" t="n"/>
      <c r="E908" s="8" t="n"/>
      <c r="F908" s="20" t="n"/>
      <c r="G908" s="20" t="n"/>
      <c r="H908" s="8" t="n"/>
      <c r="I908" s="20" t="n"/>
      <c r="J908" s="21">
        <f>IF(B908="","",F908+G908)</f>
        <v/>
      </c>
      <c r="K908" s="21">
        <f>IF(B908="","",J908*(Settings!$C$11+Settings!$C$12+Settings!$C$14)+IF(C908="",Settings!$C$13,IF(COUNTIF($C$5:C908,C908)=1,Settings!$C$13,0))+E908*Settings!$C$15+IF(H908="Yes",J908*Settings!$C$16,0))</f>
        <v/>
      </c>
      <c r="L908" s="21">
        <f>IF(B908="","",IF(Settings!$C$5="Yes",0,K908*Settings!$C$17))</f>
        <v/>
      </c>
      <c r="M908" s="21">
        <f>IF(B908="","",E908*IFERROR(VLOOKUP(D908,Products!$B$5:$F$204,5,FALSE),0))</f>
        <v/>
      </c>
      <c r="N908" s="21">
        <f>IF(B908="","",J908-K908-L908-M908-I908)</f>
        <v/>
      </c>
    </row>
    <row r="909">
      <c r="B909" s="11" t="n"/>
      <c r="C909" s="8" t="n"/>
      <c r="D909" s="8" t="n"/>
      <c r="E909" s="8" t="n"/>
      <c r="F909" s="20" t="n"/>
      <c r="G909" s="20" t="n"/>
      <c r="H909" s="8" t="n"/>
      <c r="I909" s="20" t="n"/>
      <c r="J909" s="21">
        <f>IF(B909="","",F909+G909)</f>
        <v/>
      </c>
      <c r="K909" s="21">
        <f>IF(B909="","",J909*(Settings!$C$11+Settings!$C$12+Settings!$C$14)+IF(C909="",Settings!$C$13,IF(COUNTIF($C$5:C909,C909)=1,Settings!$C$13,0))+E909*Settings!$C$15+IF(H909="Yes",J909*Settings!$C$16,0))</f>
        <v/>
      </c>
      <c r="L909" s="21">
        <f>IF(B909="","",IF(Settings!$C$5="Yes",0,K909*Settings!$C$17))</f>
        <v/>
      </c>
      <c r="M909" s="21">
        <f>IF(B909="","",E909*IFERROR(VLOOKUP(D909,Products!$B$5:$F$204,5,FALSE),0))</f>
        <v/>
      </c>
      <c r="N909" s="21">
        <f>IF(B909="","",J909-K909-L909-M909-I909)</f>
        <v/>
      </c>
    </row>
    <row r="910">
      <c r="B910" s="11" t="n"/>
      <c r="C910" s="8" t="n"/>
      <c r="D910" s="8" t="n"/>
      <c r="E910" s="8" t="n"/>
      <c r="F910" s="20" t="n"/>
      <c r="G910" s="20" t="n"/>
      <c r="H910" s="8" t="n"/>
      <c r="I910" s="20" t="n"/>
      <c r="J910" s="21">
        <f>IF(B910="","",F910+G910)</f>
        <v/>
      </c>
      <c r="K910" s="21">
        <f>IF(B910="","",J910*(Settings!$C$11+Settings!$C$12+Settings!$C$14)+IF(C910="",Settings!$C$13,IF(COUNTIF($C$5:C910,C910)=1,Settings!$C$13,0))+E910*Settings!$C$15+IF(H910="Yes",J910*Settings!$C$16,0))</f>
        <v/>
      </c>
      <c r="L910" s="21">
        <f>IF(B910="","",IF(Settings!$C$5="Yes",0,K910*Settings!$C$17))</f>
        <v/>
      </c>
      <c r="M910" s="21">
        <f>IF(B910="","",E910*IFERROR(VLOOKUP(D910,Products!$B$5:$F$204,5,FALSE),0))</f>
        <v/>
      </c>
      <c r="N910" s="21">
        <f>IF(B910="","",J910-K910-L910-M910-I910)</f>
        <v/>
      </c>
    </row>
    <row r="911">
      <c r="B911" s="11" t="n"/>
      <c r="C911" s="8" t="n"/>
      <c r="D911" s="8" t="n"/>
      <c r="E911" s="8" t="n"/>
      <c r="F911" s="20" t="n"/>
      <c r="G911" s="20" t="n"/>
      <c r="H911" s="8" t="n"/>
      <c r="I911" s="20" t="n"/>
      <c r="J911" s="21">
        <f>IF(B911="","",F911+G911)</f>
        <v/>
      </c>
      <c r="K911" s="21">
        <f>IF(B911="","",J911*(Settings!$C$11+Settings!$C$12+Settings!$C$14)+IF(C911="",Settings!$C$13,IF(COUNTIF($C$5:C911,C911)=1,Settings!$C$13,0))+E911*Settings!$C$15+IF(H911="Yes",J911*Settings!$C$16,0))</f>
        <v/>
      </c>
      <c r="L911" s="21">
        <f>IF(B911="","",IF(Settings!$C$5="Yes",0,K911*Settings!$C$17))</f>
        <v/>
      </c>
      <c r="M911" s="21">
        <f>IF(B911="","",E911*IFERROR(VLOOKUP(D911,Products!$B$5:$F$204,5,FALSE),0))</f>
        <v/>
      </c>
      <c r="N911" s="21">
        <f>IF(B911="","",J911-K911-L911-M911-I911)</f>
        <v/>
      </c>
    </row>
    <row r="912">
      <c r="B912" s="11" t="n"/>
      <c r="C912" s="8" t="n"/>
      <c r="D912" s="8" t="n"/>
      <c r="E912" s="8" t="n"/>
      <c r="F912" s="20" t="n"/>
      <c r="G912" s="20" t="n"/>
      <c r="H912" s="8" t="n"/>
      <c r="I912" s="20" t="n"/>
      <c r="J912" s="21">
        <f>IF(B912="","",F912+G912)</f>
        <v/>
      </c>
      <c r="K912" s="21">
        <f>IF(B912="","",J912*(Settings!$C$11+Settings!$C$12+Settings!$C$14)+IF(C912="",Settings!$C$13,IF(COUNTIF($C$5:C912,C912)=1,Settings!$C$13,0))+E912*Settings!$C$15+IF(H912="Yes",J912*Settings!$C$16,0))</f>
        <v/>
      </c>
      <c r="L912" s="21">
        <f>IF(B912="","",IF(Settings!$C$5="Yes",0,K912*Settings!$C$17))</f>
        <v/>
      </c>
      <c r="M912" s="21">
        <f>IF(B912="","",E912*IFERROR(VLOOKUP(D912,Products!$B$5:$F$204,5,FALSE),0))</f>
        <v/>
      </c>
      <c r="N912" s="21">
        <f>IF(B912="","",J912-K912-L912-M912-I912)</f>
        <v/>
      </c>
    </row>
    <row r="913">
      <c r="B913" s="11" t="n"/>
      <c r="C913" s="8" t="n"/>
      <c r="D913" s="8" t="n"/>
      <c r="E913" s="8" t="n"/>
      <c r="F913" s="20" t="n"/>
      <c r="G913" s="20" t="n"/>
      <c r="H913" s="8" t="n"/>
      <c r="I913" s="20" t="n"/>
      <c r="J913" s="21">
        <f>IF(B913="","",F913+G913)</f>
        <v/>
      </c>
      <c r="K913" s="21">
        <f>IF(B913="","",J913*(Settings!$C$11+Settings!$C$12+Settings!$C$14)+IF(C913="",Settings!$C$13,IF(COUNTIF($C$5:C913,C913)=1,Settings!$C$13,0))+E913*Settings!$C$15+IF(H913="Yes",J913*Settings!$C$16,0))</f>
        <v/>
      </c>
      <c r="L913" s="21">
        <f>IF(B913="","",IF(Settings!$C$5="Yes",0,K913*Settings!$C$17))</f>
        <v/>
      </c>
      <c r="M913" s="21">
        <f>IF(B913="","",E913*IFERROR(VLOOKUP(D913,Products!$B$5:$F$204,5,FALSE),0))</f>
        <v/>
      </c>
      <c r="N913" s="21">
        <f>IF(B913="","",J913-K913-L913-M913-I913)</f>
        <v/>
      </c>
    </row>
    <row r="914">
      <c r="B914" s="11" t="n"/>
      <c r="C914" s="8" t="n"/>
      <c r="D914" s="8" t="n"/>
      <c r="E914" s="8" t="n"/>
      <c r="F914" s="20" t="n"/>
      <c r="G914" s="20" t="n"/>
      <c r="H914" s="8" t="n"/>
      <c r="I914" s="20" t="n"/>
      <c r="J914" s="21">
        <f>IF(B914="","",F914+G914)</f>
        <v/>
      </c>
      <c r="K914" s="21">
        <f>IF(B914="","",J914*(Settings!$C$11+Settings!$C$12+Settings!$C$14)+IF(C914="",Settings!$C$13,IF(COUNTIF($C$5:C914,C914)=1,Settings!$C$13,0))+E914*Settings!$C$15+IF(H914="Yes",J914*Settings!$C$16,0))</f>
        <v/>
      </c>
      <c r="L914" s="21">
        <f>IF(B914="","",IF(Settings!$C$5="Yes",0,K914*Settings!$C$17))</f>
        <v/>
      </c>
      <c r="M914" s="21">
        <f>IF(B914="","",E914*IFERROR(VLOOKUP(D914,Products!$B$5:$F$204,5,FALSE),0))</f>
        <v/>
      </c>
      <c r="N914" s="21">
        <f>IF(B914="","",J914-K914-L914-M914-I914)</f>
        <v/>
      </c>
    </row>
    <row r="915">
      <c r="B915" s="11" t="n"/>
      <c r="C915" s="8" t="n"/>
      <c r="D915" s="8" t="n"/>
      <c r="E915" s="8" t="n"/>
      <c r="F915" s="20" t="n"/>
      <c r="G915" s="20" t="n"/>
      <c r="H915" s="8" t="n"/>
      <c r="I915" s="20" t="n"/>
      <c r="J915" s="21">
        <f>IF(B915="","",F915+G915)</f>
        <v/>
      </c>
      <c r="K915" s="21">
        <f>IF(B915="","",J915*(Settings!$C$11+Settings!$C$12+Settings!$C$14)+IF(C915="",Settings!$C$13,IF(COUNTIF($C$5:C915,C915)=1,Settings!$C$13,0))+E915*Settings!$C$15+IF(H915="Yes",J915*Settings!$C$16,0))</f>
        <v/>
      </c>
      <c r="L915" s="21">
        <f>IF(B915="","",IF(Settings!$C$5="Yes",0,K915*Settings!$C$17))</f>
        <v/>
      </c>
      <c r="M915" s="21">
        <f>IF(B915="","",E915*IFERROR(VLOOKUP(D915,Products!$B$5:$F$204,5,FALSE),0))</f>
        <v/>
      </c>
      <c r="N915" s="21">
        <f>IF(B915="","",J915-K915-L915-M915-I915)</f>
        <v/>
      </c>
    </row>
    <row r="916">
      <c r="B916" s="11" t="n"/>
      <c r="C916" s="8" t="n"/>
      <c r="D916" s="8" t="n"/>
      <c r="E916" s="8" t="n"/>
      <c r="F916" s="20" t="n"/>
      <c r="G916" s="20" t="n"/>
      <c r="H916" s="8" t="n"/>
      <c r="I916" s="20" t="n"/>
      <c r="J916" s="21">
        <f>IF(B916="","",F916+G916)</f>
        <v/>
      </c>
      <c r="K916" s="21">
        <f>IF(B916="","",J916*(Settings!$C$11+Settings!$C$12+Settings!$C$14)+IF(C916="",Settings!$C$13,IF(COUNTIF($C$5:C916,C916)=1,Settings!$C$13,0))+E916*Settings!$C$15+IF(H916="Yes",J916*Settings!$C$16,0))</f>
        <v/>
      </c>
      <c r="L916" s="21">
        <f>IF(B916="","",IF(Settings!$C$5="Yes",0,K916*Settings!$C$17))</f>
        <v/>
      </c>
      <c r="M916" s="21">
        <f>IF(B916="","",E916*IFERROR(VLOOKUP(D916,Products!$B$5:$F$204,5,FALSE),0))</f>
        <v/>
      </c>
      <c r="N916" s="21">
        <f>IF(B916="","",J916-K916-L916-M916-I916)</f>
        <v/>
      </c>
    </row>
    <row r="917">
      <c r="B917" s="11" t="n"/>
      <c r="C917" s="8" t="n"/>
      <c r="D917" s="8" t="n"/>
      <c r="E917" s="8" t="n"/>
      <c r="F917" s="20" t="n"/>
      <c r="G917" s="20" t="n"/>
      <c r="H917" s="8" t="n"/>
      <c r="I917" s="20" t="n"/>
      <c r="J917" s="21">
        <f>IF(B917="","",F917+G917)</f>
        <v/>
      </c>
      <c r="K917" s="21">
        <f>IF(B917="","",J917*(Settings!$C$11+Settings!$C$12+Settings!$C$14)+IF(C917="",Settings!$C$13,IF(COUNTIF($C$5:C917,C917)=1,Settings!$C$13,0))+E917*Settings!$C$15+IF(H917="Yes",J917*Settings!$C$16,0))</f>
        <v/>
      </c>
      <c r="L917" s="21">
        <f>IF(B917="","",IF(Settings!$C$5="Yes",0,K917*Settings!$C$17))</f>
        <v/>
      </c>
      <c r="M917" s="21">
        <f>IF(B917="","",E917*IFERROR(VLOOKUP(D917,Products!$B$5:$F$204,5,FALSE),0))</f>
        <v/>
      </c>
      <c r="N917" s="21">
        <f>IF(B917="","",J917-K917-L917-M917-I917)</f>
        <v/>
      </c>
    </row>
    <row r="918">
      <c r="B918" s="11" t="n"/>
      <c r="C918" s="8" t="n"/>
      <c r="D918" s="8" t="n"/>
      <c r="E918" s="8" t="n"/>
      <c r="F918" s="20" t="n"/>
      <c r="G918" s="20" t="n"/>
      <c r="H918" s="8" t="n"/>
      <c r="I918" s="20" t="n"/>
      <c r="J918" s="21">
        <f>IF(B918="","",F918+G918)</f>
        <v/>
      </c>
      <c r="K918" s="21">
        <f>IF(B918="","",J918*(Settings!$C$11+Settings!$C$12+Settings!$C$14)+IF(C918="",Settings!$C$13,IF(COUNTIF($C$5:C918,C918)=1,Settings!$C$13,0))+E918*Settings!$C$15+IF(H918="Yes",J918*Settings!$C$16,0))</f>
        <v/>
      </c>
      <c r="L918" s="21">
        <f>IF(B918="","",IF(Settings!$C$5="Yes",0,K918*Settings!$C$17))</f>
        <v/>
      </c>
      <c r="M918" s="21">
        <f>IF(B918="","",E918*IFERROR(VLOOKUP(D918,Products!$B$5:$F$204,5,FALSE),0))</f>
        <v/>
      </c>
      <c r="N918" s="21">
        <f>IF(B918="","",J918-K918-L918-M918-I918)</f>
        <v/>
      </c>
    </row>
    <row r="919">
      <c r="B919" s="11" t="n"/>
      <c r="C919" s="8" t="n"/>
      <c r="D919" s="8" t="n"/>
      <c r="E919" s="8" t="n"/>
      <c r="F919" s="20" t="n"/>
      <c r="G919" s="20" t="n"/>
      <c r="H919" s="8" t="n"/>
      <c r="I919" s="20" t="n"/>
      <c r="J919" s="21">
        <f>IF(B919="","",F919+G919)</f>
        <v/>
      </c>
      <c r="K919" s="21">
        <f>IF(B919="","",J919*(Settings!$C$11+Settings!$C$12+Settings!$C$14)+IF(C919="",Settings!$C$13,IF(COUNTIF($C$5:C919,C919)=1,Settings!$C$13,0))+E919*Settings!$C$15+IF(H919="Yes",J919*Settings!$C$16,0))</f>
        <v/>
      </c>
      <c r="L919" s="21">
        <f>IF(B919="","",IF(Settings!$C$5="Yes",0,K919*Settings!$C$17))</f>
        <v/>
      </c>
      <c r="M919" s="21">
        <f>IF(B919="","",E919*IFERROR(VLOOKUP(D919,Products!$B$5:$F$204,5,FALSE),0))</f>
        <v/>
      </c>
      <c r="N919" s="21">
        <f>IF(B919="","",J919-K919-L919-M919-I919)</f>
        <v/>
      </c>
    </row>
    <row r="920">
      <c r="B920" s="11" t="n"/>
      <c r="C920" s="8" t="n"/>
      <c r="D920" s="8" t="n"/>
      <c r="E920" s="8" t="n"/>
      <c r="F920" s="20" t="n"/>
      <c r="G920" s="20" t="n"/>
      <c r="H920" s="8" t="n"/>
      <c r="I920" s="20" t="n"/>
      <c r="J920" s="21">
        <f>IF(B920="","",F920+G920)</f>
        <v/>
      </c>
      <c r="K920" s="21">
        <f>IF(B920="","",J920*(Settings!$C$11+Settings!$C$12+Settings!$C$14)+IF(C920="",Settings!$C$13,IF(COUNTIF($C$5:C920,C920)=1,Settings!$C$13,0))+E920*Settings!$C$15+IF(H920="Yes",J920*Settings!$C$16,0))</f>
        <v/>
      </c>
      <c r="L920" s="21">
        <f>IF(B920="","",IF(Settings!$C$5="Yes",0,K920*Settings!$C$17))</f>
        <v/>
      </c>
      <c r="M920" s="21">
        <f>IF(B920="","",E920*IFERROR(VLOOKUP(D920,Products!$B$5:$F$204,5,FALSE),0))</f>
        <v/>
      </c>
      <c r="N920" s="21">
        <f>IF(B920="","",J920-K920-L920-M920-I920)</f>
        <v/>
      </c>
    </row>
    <row r="921">
      <c r="B921" s="11" t="n"/>
      <c r="C921" s="8" t="n"/>
      <c r="D921" s="8" t="n"/>
      <c r="E921" s="8" t="n"/>
      <c r="F921" s="20" t="n"/>
      <c r="G921" s="20" t="n"/>
      <c r="H921" s="8" t="n"/>
      <c r="I921" s="20" t="n"/>
      <c r="J921" s="21">
        <f>IF(B921="","",F921+G921)</f>
        <v/>
      </c>
      <c r="K921" s="21">
        <f>IF(B921="","",J921*(Settings!$C$11+Settings!$C$12+Settings!$C$14)+IF(C921="",Settings!$C$13,IF(COUNTIF($C$5:C921,C921)=1,Settings!$C$13,0))+E921*Settings!$C$15+IF(H921="Yes",J921*Settings!$C$16,0))</f>
        <v/>
      </c>
      <c r="L921" s="21">
        <f>IF(B921="","",IF(Settings!$C$5="Yes",0,K921*Settings!$C$17))</f>
        <v/>
      </c>
      <c r="M921" s="21">
        <f>IF(B921="","",E921*IFERROR(VLOOKUP(D921,Products!$B$5:$F$204,5,FALSE),0))</f>
        <v/>
      </c>
      <c r="N921" s="21">
        <f>IF(B921="","",J921-K921-L921-M921-I921)</f>
        <v/>
      </c>
    </row>
    <row r="922">
      <c r="B922" s="11" t="n"/>
      <c r="C922" s="8" t="n"/>
      <c r="D922" s="8" t="n"/>
      <c r="E922" s="8" t="n"/>
      <c r="F922" s="20" t="n"/>
      <c r="G922" s="20" t="n"/>
      <c r="H922" s="8" t="n"/>
      <c r="I922" s="20" t="n"/>
      <c r="J922" s="21">
        <f>IF(B922="","",F922+G922)</f>
        <v/>
      </c>
      <c r="K922" s="21">
        <f>IF(B922="","",J922*(Settings!$C$11+Settings!$C$12+Settings!$C$14)+IF(C922="",Settings!$C$13,IF(COUNTIF($C$5:C922,C922)=1,Settings!$C$13,0))+E922*Settings!$C$15+IF(H922="Yes",J922*Settings!$C$16,0))</f>
        <v/>
      </c>
      <c r="L922" s="21">
        <f>IF(B922="","",IF(Settings!$C$5="Yes",0,K922*Settings!$C$17))</f>
        <v/>
      </c>
      <c r="M922" s="21">
        <f>IF(B922="","",E922*IFERROR(VLOOKUP(D922,Products!$B$5:$F$204,5,FALSE),0))</f>
        <v/>
      </c>
      <c r="N922" s="21">
        <f>IF(B922="","",J922-K922-L922-M922-I922)</f>
        <v/>
      </c>
    </row>
    <row r="923">
      <c r="B923" s="11" t="n"/>
      <c r="C923" s="8" t="n"/>
      <c r="D923" s="8" t="n"/>
      <c r="E923" s="8" t="n"/>
      <c r="F923" s="20" t="n"/>
      <c r="G923" s="20" t="n"/>
      <c r="H923" s="8" t="n"/>
      <c r="I923" s="20" t="n"/>
      <c r="J923" s="21">
        <f>IF(B923="","",F923+G923)</f>
        <v/>
      </c>
      <c r="K923" s="21">
        <f>IF(B923="","",J923*(Settings!$C$11+Settings!$C$12+Settings!$C$14)+IF(C923="",Settings!$C$13,IF(COUNTIF($C$5:C923,C923)=1,Settings!$C$13,0))+E923*Settings!$C$15+IF(H923="Yes",J923*Settings!$C$16,0))</f>
        <v/>
      </c>
      <c r="L923" s="21">
        <f>IF(B923="","",IF(Settings!$C$5="Yes",0,K923*Settings!$C$17))</f>
        <v/>
      </c>
      <c r="M923" s="21">
        <f>IF(B923="","",E923*IFERROR(VLOOKUP(D923,Products!$B$5:$F$204,5,FALSE),0))</f>
        <v/>
      </c>
      <c r="N923" s="21">
        <f>IF(B923="","",J923-K923-L923-M923-I923)</f>
        <v/>
      </c>
    </row>
    <row r="924">
      <c r="B924" s="11" t="n"/>
      <c r="C924" s="8" t="n"/>
      <c r="D924" s="8" t="n"/>
      <c r="E924" s="8" t="n"/>
      <c r="F924" s="20" t="n"/>
      <c r="G924" s="20" t="n"/>
      <c r="H924" s="8" t="n"/>
      <c r="I924" s="20" t="n"/>
      <c r="J924" s="21">
        <f>IF(B924="","",F924+G924)</f>
        <v/>
      </c>
      <c r="K924" s="21">
        <f>IF(B924="","",J924*(Settings!$C$11+Settings!$C$12+Settings!$C$14)+IF(C924="",Settings!$C$13,IF(COUNTIF($C$5:C924,C924)=1,Settings!$C$13,0))+E924*Settings!$C$15+IF(H924="Yes",J924*Settings!$C$16,0))</f>
        <v/>
      </c>
      <c r="L924" s="21">
        <f>IF(B924="","",IF(Settings!$C$5="Yes",0,K924*Settings!$C$17))</f>
        <v/>
      </c>
      <c r="M924" s="21">
        <f>IF(B924="","",E924*IFERROR(VLOOKUP(D924,Products!$B$5:$F$204,5,FALSE),0))</f>
        <v/>
      </c>
      <c r="N924" s="21">
        <f>IF(B924="","",J924-K924-L924-M924-I924)</f>
        <v/>
      </c>
    </row>
    <row r="925">
      <c r="B925" s="11" t="n"/>
      <c r="C925" s="8" t="n"/>
      <c r="D925" s="8" t="n"/>
      <c r="E925" s="8" t="n"/>
      <c r="F925" s="20" t="n"/>
      <c r="G925" s="20" t="n"/>
      <c r="H925" s="8" t="n"/>
      <c r="I925" s="20" t="n"/>
      <c r="J925" s="21">
        <f>IF(B925="","",F925+G925)</f>
        <v/>
      </c>
      <c r="K925" s="21">
        <f>IF(B925="","",J925*(Settings!$C$11+Settings!$C$12+Settings!$C$14)+IF(C925="",Settings!$C$13,IF(COUNTIF($C$5:C925,C925)=1,Settings!$C$13,0))+E925*Settings!$C$15+IF(H925="Yes",J925*Settings!$C$16,0))</f>
        <v/>
      </c>
      <c r="L925" s="21">
        <f>IF(B925="","",IF(Settings!$C$5="Yes",0,K925*Settings!$C$17))</f>
        <v/>
      </c>
      <c r="M925" s="21">
        <f>IF(B925="","",E925*IFERROR(VLOOKUP(D925,Products!$B$5:$F$204,5,FALSE),0))</f>
        <v/>
      </c>
      <c r="N925" s="21">
        <f>IF(B925="","",J925-K925-L925-M925-I925)</f>
        <v/>
      </c>
    </row>
    <row r="926">
      <c r="B926" s="11" t="n"/>
      <c r="C926" s="8" t="n"/>
      <c r="D926" s="8" t="n"/>
      <c r="E926" s="8" t="n"/>
      <c r="F926" s="20" t="n"/>
      <c r="G926" s="20" t="n"/>
      <c r="H926" s="8" t="n"/>
      <c r="I926" s="20" t="n"/>
      <c r="J926" s="21">
        <f>IF(B926="","",F926+G926)</f>
        <v/>
      </c>
      <c r="K926" s="21">
        <f>IF(B926="","",J926*(Settings!$C$11+Settings!$C$12+Settings!$C$14)+IF(C926="",Settings!$C$13,IF(COUNTIF($C$5:C926,C926)=1,Settings!$C$13,0))+E926*Settings!$C$15+IF(H926="Yes",J926*Settings!$C$16,0))</f>
        <v/>
      </c>
      <c r="L926" s="21">
        <f>IF(B926="","",IF(Settings!$C$5="Yes",0,K926*Settings!$C$17))</f>
        <v/>
      </c>
      <c r="M926" s="21">
        <f>IF(B926="","",E926*IFERROR(VLOOKUP(D926,Products!$B$5:$F$204,5,FALSE),0))</f>
        <v/>
      </c>
      <c r="N926" s="21">
        <f>IF(B926="","",J926-K926-L926-M926-I926)</f>
        <v/>
      </c>
    </row>
    <row r="927">
      <c r="B927" s="11" t="n"/>
      <c r="C927" s="8" t="n"/>
      <c r="D927" s="8" t="n"/>
      <c r="E927" s="8" t="n"/>
      <c r="F927" s="20" t="n"/>
      <c r="G927" s="20" t="n"/>
      <c r="H927" s="8" t="n"/>
      <c r="I927" s="20" t="n"/>
      <c r="J927" s="21">
        <f>IF(B927="","",F927+G927)</f>
        <v/>
      </c>
      <c r="K927" s="21">
        <f>IF(B927="","",J927*(Settings!$C$11+Settings!$C$12+Settings!$C$14)+IF(C927="",Settings!$C$13,IF(COUNTIF($C$5:C927,C927)=1,Settings!$C$13,0))+E927*Settings!$C$15+IF(H927="Yes",J927*Settings!$C$16,0))</f>
        <v/>
      </c>
      <c r="L927" s="21">
        <f>IF(B927="","",IF(Settings!$C$5="Yes",0,K927*Settings!$C$17))</f>
        <v/>
      </c>
      <c r="M927" s="21">
        <f>IF(B927="","",E927*IFERROR(VLOOKUP(D927,Products!$B$5:$F$204,5,FALSE),0))</f>
        <v/>
      </c>
      <c r="N927" s="21">
        <f>IF(B927="","",J927-K927-L927-M927-I927)</f>
        <v/>
      </c>
    </row>
    <row r="928">
      <c r="B928" s="11" t="n"/>
      <c r="C928" s="8" t="n"/>
      <c r="D928" s="8" t="n"/>
      <c r="E928" s="8" t="n"/>
      <c r="F928" s="20" t="n"/>
      <c r="G928" s="20" t="n"/>
      <c r="H928" s="8" t="n"/>
      <c r="I928" s="20" t="n"/>
      <c r="J928" s="21">
        <f>IF(B928="","",F928+G928)</f>
        <v/>
      </c>
      <c r="K928" s="21">
        <f>IF(B928="","",J928*(Settings!$C$11+Settings!$C$12+Settings!$C$14)+IF(C928="",Settings!$C$13,IF(COUNTIF($C$5:C928,C928)=1,Settings!$C$13,0))+E928*Settings!$C$15+IF(H928="Yes",J928*Settings!$C$16,0))</f>
        <v/>
      </c>
      <c r="L928" s="21">
        <f>IF(B928="","",IF(Settings!$C$5="Yes",0,K928*Settings!$C$17))</f>
        <v/>
      </c>
      <c r="M928" s="21">
        <f>IF(B928="","",E928*IFERROR(VLOOKUP(D928,Products!$B$5:$F$204,5,FALSE),0))</f>
        <v/>
      </c>
      <c r="N928" s="21">
        <f>IF(B928="","",J928-K928-L928-M928-I928)</f>
        <v/>
      </c>
    </row>
    <row r="929">
      <c r="B929" s="11" t="n"/>
      <c r="C929" s="8" t="n"/>
      <c r="D929" s="8" t="n"/>
      <c r="E929" s="8" t="n"/>
      <c r="F929" s="20" t="n"/>
      <c r="G929" s="20" t="n"/>
      <c r="H929" s="8" t="n"/>
      <c r="I929" s="20" t="n"/>
      <c r="J929" s="21">
        <f>IF(B929="","",F929+G929)</f>
        <v/>
      </c>
      <c r="K929" s="21">
        <f>IF(B929="","",J929*(Settings!$C$11+Settings!$C$12+Settings!$C$14)+IF(C929="",Settings!$C$13,IF(COUNTIF($C$5:C929,C929)=1,Settings!$C$13,0))+E929*Settings!$C$15+IF(H929="Yes",J929*Settings!$C$16,0))</f>
        <v/>
      </c>
      <c r="L929" s="21">
        <f>IF(B929="","",IF(Settings!$C$5="Yes",0,K929*Settings!$C$17))</f>
        <v/>
      </c>
      <c r="M929" s="21">
        <f>IF(B929="","",E929*IFERROR(VLOOKUP(D929,Products!$B$5:$F$204,5,FALSE),0))</f>
        <v/>
      </c>
      <c r="N929" s="21">
        <f>IF(B929="","",J929-K929-L929-M929-I929)</f>
        <v/>
      </c>
    </row>
    <row r="930">
      <c r="B930" s="11" t="n"/>
      <c r="C930" s="8" t="n"/>
      <c r="D930" s="8" t="n"/>
      <c r="E930" s="8" t="n"/>
      <c r="F930" s="20" t="n"/>
      <c r="G930" s="20" t="n"/>
      <c r="H930" s="8" t="n"/>
      <c r="I930" s="20" t="n"/>
      <c r="J930" s="21">
        <f>IF(B930="","",F930+G930)</f>
        <v/>
      </c>
      <c r="K930" s="21">
        <f>IF(B930="","",J930*(Settings!$C$11+Settings!$C$12+Settings!$C$14)+IF(C930="",Settings!$C$13,IF(COUNTIF($C$5:C930,C930)=1,Settings!$C$13,0))+E930*Settings!$C$15+IF(H930="Yes",J930*Settings!$C$16,0))</f>
        <v/>
      </c>
      <c r="L930" s="21">
        <f>IF(B930="","",IF(Settings!$C$5="Yes",0,K930*Settings!$C$17))</f>
        <v/>
      </c>
      <c r="M930" s="21">
        <f>IF(B930="","",E930*IFERROR(VLOOKUP(D930,Products!$B$5:$F$204,5,FALSE),0))</f>
        <v/>
      </c>
      <c r="N930" s="21">
        <f>IF(B930="","",J930-K930-L930-M930-I930)</f>
        <v/>
      </c>
    </row>
    <row r="931">
      <c r="B931" s="11" t="n"/>
      <c r="C931" s="8" t="n"/>
      <c r="D931" s="8" t="n"/>
      <c r="E931" s="8" t="n"/>
      <c r="F931" s="20" t="n"/>
      <c r="G931" s="20" t="n"/>
      <c r="H931" s="8" t="n"/>
      <c r="I931" s="20" t="n"/>
      <c r="J931" s="21">
        <f>IF(B931="","",F931+G931)</f>
        <v/>
      </c>
      <c r="K931" s="21">
        <f>IF(B931="","",J931*(Settings!$C$11+Settings!$C$12+Settings!$C$14)+IF(C931="",Settings!$C$13,IF(COUNTIF($C$5:C931,C931)=1,Settings!$C$13,0))+E931*Settings!$C$15+IF(H931="Yes",J931*Settings!$C$16,0))</f>
        <v/>
      </c>
      <c r="L931" s="21">
        <f>IF(B931="","",IF(Settings!$C$5="Yes",0,K931*Settings!$C$17))</f>
        <v/>
      </c>
      <c r="M931" s="21">
        <f>IF(B931="","",E931*IFERROR(VLOOKUP(D931,Products!$B$5:$F$204,5,FALSE),0))</f>
        <v/>
      </c>
      <c r="N931" s="21">
        <f>IF(B931="","",J931-K931-L931-M931-I931)</f>
        <v/>
      </c>
    </row>
    <row r="932">
      <c r="B932" s="11" t="n"/>
      <c r="C932" s="8" t="n"/>
      <c r="D932" s="8" t="n"/>
      <c r="E932" s="8" t="n"/>
      <c r="F932" s="20" t="n"/>
      <c r="G932" s="20" t="n"/>
      <c r="H932" s="8" t="n"/>
      <c r="I932" s="20" t="n"/>
      <c r="J932" s="21">
        <f>IF(B932="","",F932+G932)</f>
        <v/>
      </c>
      <c r="K932" s="21">
        <f>IF(B932="","",J932*(Settings!$C$11+Settings!$C$12+Settings!$C$14)+IF(C932="",Settings!$C$13,IF(COUNTIF($C$5:C932,C932)=1,Settings!$C$13,0))+E932*Settings!$C$15+IF(H932="Yes",J932*Settings!$C$16,0))</f>
        <v/>
      </c>
      <c r="L932" s="21">
        <f>IF(B932="","",IF(Settings!$C$5="Yes",0,K932*Settings!$C$17))</f>
        <v/>
      </c>
      <c r="M932" s="21">
        <f>IF(B932="","",E932*IFERROR(VLOOKUP(D932,Products!$B$5:$F$204,5,FALSE),0))</f>
        <v/>
      </c>
      <c r="N932" s="21">
        <f>IF(B932="","",J932-K932-L932-M932-I932)</f>
        <v/>
      </c>
    </row>
    <row r="933">
      <c r="B933" s="11" t="n"/>
      <c r="C933" s="8" t="n"/>
      <c r="D933" s="8" t="n"/>
      <c r="E933" s="8" t="n"/>
      <c r="F933" s="20" t="n"/>
      <c r="G933" s="20" t="n"/>
      <c r="H933" s="8" t="n"/>
      <c r="I933" s="20" t="n"/>
      <c r="J933" s="21">
        <f>IF(B933="","",F933+G933)</f>
        <v/>
      </c>
      <c r="K933" s="21">
        <f>IF(B933="","",J933*(Settings!$C$11+Settings!$C$12+Settings!$C$14)+IF(C933="",Settings!$C$13,IF(COUNTIF($C$5:C933,C933)=1,Settings!$C$13,0))+E933*Settings!$C$15+IF(H933="Yes",J933*Settings!$C$16,0))</f>
        <v/>
      </c>
      <c r="L933" s="21">
        <f>IF(B933="","",IF(Settings!$C$5="Yes",0,K933*Settings!$C$17))</f>
        <v/>
      </c>
      <c r="M933" s="21">
        <f>IF(B933="","",E933*IFERROR(VLOOKUP(D933,Products!$B$5:$F$204,5,FALSE),0))</f>
        <v/>
      </c>
      <c r="N933" s="21">
        <f>IF(B933="","",J933-K933-L933-M933-I933)</f>
        <v/>
      </c>
    </row>
    <row r="934">
      <c r="B934" s="11" t="n"/>
      <c r="C934" s="8" t="n"/>
      <c r="D934" s="8" t="n"/>
      <c r="E934" s="8" t="n"/>
      <c r="F934" s="20" t="n"/>
      <c r="G934" s="20" t="n"/>
      <c r="H934" s="8" t="n"/>
      <c r="I934" s="20" t="n"/>
      <c r="J934" s="21">
        <f>IF(B934="","",F934+G934)</f>
        <v/>
      </c>
      <c r="K934" s="21">
        <f>IF(B934="","",J934*(Settings!$C$11+Settings!$C$12+Settings!$C$14)+IF(C934="",Settings!$C$13,IF(COUNTIF($C$5:C934,C934)=1,Settings!$C$13,0))+E934*Settings!$C$15+IF(H934="Yes",J934*Settings!$C$16,0))</f>
        <v/>
      </c>
      <c r="L934" s="21">
        <f>IF(B934="","",IF(Settings!$C$5="Yes",0,K934*Settings!$C$17))</f>
        <v/>
      </c>
      <c r="M934" s="21">
        <f>IF(B934="","",E934*IFERROR(VLOOKUP(D934,Products!$B$5:$F$204,5,FALSE),0))</f>
        <v/>
      </c>
      <c r="N934" s="21">
        <f>IF(B934="","",J934-K934-L934-M934-I934)</f>
        <v/>
      </c>
    </row>
    <row r="935">
      <c r="B935" s="11" t="n"/>
      <c r="C935" s="8" t="n"/>
      <c r="D935" s="8" t="n"/>
      <c r="E935" s="8" t="n"/>
      <c r="F935" s="20" t="n"/>
      <c r="G935" s="20" t="n"/>
      <c r="H935" s="8" t="n"/>
      <c r="I935" s="20" t="n"/>
      <c r="J935" s="21">
        <f>IF(B935="","",F935+G935)</f>
        <v/>
      </c>
      <c r="K935" s="21">
        <f>IF(B935="","",J935*(Settings!$C$11+Settings!$C$12+Settings!$C$14)+IF(C935="",Settings!$C$13,IF(COUNTIF($C$5:C935,C935)=1,Settings!$C$13,0))+E935*Settings!$C$15+IF(H935="Yes",J935*Settings!$C$16,0))</f>
        <v/>
      </c>
      <c r="L935" s="21">
        <f>IF(B935="","",IF(Settings!$C$5="Yes",0,K935*Settings!$C$17))</f>
        <v/>
      </c>
      <c r="M935" s="21">
        <f>IF(B935="","",E935*IFERROR(VLOOKUP(D935,Products!$B$5:$F$204,5,FALSE),0))</f>
        <v/>
      </c>
      <c r="N935" s="21">
        <f>IF(B935="","",J935-K935-L935-M935-I935)</f>
        <v/>
      </c>
    </row>
    <row r="936">
      <c r="B936" s="11" t="n"/>
      <c r="C936" s="8" t="n"/>
      <c r="D936" s="8" t="n"/>
      <c r="E936" s="8" t="n"/>
      <c r="F936" s="20" t="n"/>
      <c r="G936" s="20" t="n"/>
      <c r="H936" s="8" t="n"/>
      <c r="I936" s="20" t="n"/>
      <c r="J936" s="21">
        <f>IF(B936="","",F936+G936)</f>
        <v/>
      </c>
      <c r="K936" s="21">
        <f>IF(B936="","",J936*(Settings!$C$11+Settings!$C$12+Settings!$C$14)+IF(C936="",Settings!$C$13,IF(COUNTIF($C$5:C936,C936)=1,Settings!$C$13,0))+E936*Settings!$C$15+IF(H936="Yes",J936*Settings!$C$16,0))</f>
        <v/>
      </c>
      <c r="L936" s="21">
        <f>IF(B936="","",IF(Settings!$C$5="Yes",0,K936*Settings!$C$17))</f>
        <v/>
      </c>
      <c r="M936" s="21">
        <f>IF(B936="","",E936*IFERROR(VLOOKUP(D936,Products!$B$5:$F$204,5,FALSE),0))</f>
        <v/>
      </c>
      <c r="N936" s="21">
        <f>IF(B936="","",J936-K936-L936-M936-I936)</f>
        <v/>
      </c>
    </row>
    <row r="937">
      <c r="B937" s="11" t="n"/>
      <c r="C937" s="8" t="n"/>
      <c r="D937" s="8" t="n"/>
      <c r="E937" s="8" t="n"/>
      <c r="F937" s="20" t="n"/>
      <c r="G937" s="20" t="n"/>
      <c r="H937" s="8" t="n"/>
      <c r="I937" s="20" t="n"/>
      <c r="J937" s="21">
        <f>IF(B937="","",F937+G937)</f>
        <v/>
      </c>
      <c r="K937" s="21">
        <f>IF(B937="","",J937*(Settings!$C$11+Settings!$C$12+Settings!$C$14)+IF(C937="",Settings!$C$13,IF(COUNTIF($C$5:C937,C937)=1,Settings!$C$13,0))+E937*Settings!$C$15+IF(H937="Yes",J937*Settings!$C$16,0))</f>
        <v/>
      </c>
      <c r="L937" s="21">
        <f>IF(B937="","",IF(Settings!$C$5="Yes",0,K937*Settings!$C$17))</f>
        <v/>
      </c>
      <c r="M937" s="21">
        <f>IF(B937="","",E937*IFERROR(VLOOKUP(D937,Products!$B$5:$F$204,5,FALSE),0))</f>
        <v/>
      </c>
      <c r="N937" s="21">
        <f>IF(B937="","",J937-K937-L937-M937-I937)</f>
        <v/>
      </c>
    </row>
    <row r="938">
      <c r="B938" s="11" t="n"/>
      <c r="C938" s="8" t="n"/>
      <c r="D938" s="8" t="n"/>
      <c r="E938" s="8" t="n"/>
      <c r="F938" s="20" t="n"/>
      <c r="G938" s="20" t="n"/>
      <c r="H938" s="8" t="n"/>
      <c r="I938" s="20" t="n"/>
      <c r="J938" s="21">
        <f>IF(B938="","",F938+G938)</f>
        <v/>
      </c>
      <c r="K938" s="21">
        <f>IF(B938="","",J938*(Settings!$C$11+Settings!$C$12+Settings!$C$14)+IF(C938="",Settings!$C$13,IF(COUNTIF($C$5:C938,C938)=1,Settings!$C$13,0))+E938*Settings!$C$15+IF(H938="Yes",J938*Settings!$C$16,0))</f>
        <v/>
      </c>
      <c r="L938" s="21">
        <f>IF(B938="","",IF(Settings!$C$5="Yes",0,K938*Settings!$C$17))</f>
        <v/>
      </c>
      <c r="M938" s="21">
        <f>IF(B938="","",E938*IFERROR(VLOOKUP(D938,Products!$B$5:$F$204,5,FALSE),0))</f>
        <v/>
      </c>
      <c r="N938" s="21">
        <f>IF(B938="","",J938-K938-L938-M938-I938)</f>
        <v/>
      </c>
    </row>
    <row r="939">
      <c r="B939" s="11" t="n"/>
      <c r="C939" s="8" t="n"/>
      <c r="D939" s="8" t="n"/>
      <c r="E939" s="8" t="n"/>
      <c r="F939" s="20" t="n"/>
      <c r="G939" s="20" t="n"/>
      <c r="H939" s="8" t="n"/>
      <c r="I939" s="20" t="n"/>
      <c r="J939" s="21">
        <f>IF(B939="","",F939+G939)</f>
        <v/>
      </c>
      <c r="K939" s="21">
        <f>IF(B939="","",J939*(Settings!$C$11+Settings!$C$12+Settings!$C$14)+IF(C939="",Settings!$C$13,IF(COUNTIF($C$5:C939,C939)=1,Settings!$C$13,0))+E939*Settings!$C$15+IF(H939="Yes",J939*Settings!$C$16,0))</f>
        <v/>
      </c>
      <c r="L939" s="21">
        <f>IF(B939="","",IF(Settings!$C$5="Yes",0,K939*Settings!$C$17))</f>
        <v/>
      </c>
      <c r="M939" s="21">
        <f>IF(B939="","",E939*IFERROR(VLOOKUP(D939,Products!$B$5:$F$204,5,FALSE),0))</f>
        <v/>
      </c>
      <c r="N939" s="21">
        <f>IF(B939="","",J939-K939-L939-M939-I939)</f>
        <v/>
      </c>
    </row>
    <row r="940">
      <c r="B940" s="11" t="n"/>
      <c r="C940" s="8" t="n"/>
      <c r="D940" s="8" t="n"/>
      <c r="E940" s="8" t="n"/>
      <c r="F940" s="20" t="n"/>
      <c r="G940" s="20" t="n"/>
      <c r="H940" s="8" t="n"/>
      <c r="I940" s="20" t="n"/>
      <c r="J940" s="21">
        <f>IF(B940="","",F940+G940)</f>
        <v/>
      </c>
      <c r="K940" s="21">
        <f>IF(B940="","",J940*(Settings!$C$11+Settings!$C$12+Settings!$C$14)+IF(C940="",Settings!$C$13,IF(COUNTIF($C$5:C940,C940)=1,Settings!$C$13,0))+E940*Settings!$C$15+IF(H940="Yes",J940*Settings!$C$16,0))</f>
        <v/>
      </c>
      <c r="L940" s="21">
        <f>IF(B940="","",IF(Settings!$C$5="Yes",0,K940*Settings!$C$17))</f>
        <v/>
      </c>
      <c r="M940" s="21">
        <f>IF(B940="","",E940*IFERROR(VLOOKUP(D940,Products!$B$5:$F$204,5,FALSE),0))</f>
        <v/>
      </c>
      <c r="N940" s="21">
        <f>IF(B940="","",J940-K940-L940-M940-I940)</f>
        <v/>
      </c>
    </row>
    <row r="941">
      <c r="B941" s="11" t="n"/>
      <c r="C941" s="8" t="n"/>
      <c r="D941" s="8" t="n"/>
      <c r="E941" s="8" t="n"/>
      <c r="F941" s="20" t="n"/>
      <c r="G941" s="20" t="n"/>
      <c r="H941" s="8" t="n"/>
      <c r="I941" s="20" t="n"/>
      <c r="J941" s="21">
        <f>IF(B941="","",F941+G941)</f>
        <v/>
      </c>
      <c r="K941" s="21">
        <f>IF(B941="","",J941*(Settings!$C$11+Settings!$C$12+Settings!$C$14)+IF(C941="",Settings!$C$13,IF(COUNTIF($C$5:C941,C941)=1,Settings!$C$13,0))+E941*Settings!$C$15+IF(H941="Yes",J941*Settings!$C$16,0))</f>
        <v/>
      </c>
      <c r="L941" s="21">
        <f>IF(B941="","",IF(Settings!$C$5="Yes",0,K941*Settings!$C$17))</f>
        <v/>
      </c>
      <c r="M941" s="21">
        <f>IF(B941="","",E941*IFERROR(VLOOKUP(D941,Products!$B$5:$F$204,5,FALSE),0))</f>
        <v/>
      </c>
      <c r="N941" s="21">
        <f>IF(B941="","",J941-K941-L941-M941-I941)</f>
        <v/>
      </c>
    </row>
    <row r="942">
      <c r="B942" s="11" t="n"/>
      <c r="C942" s="8" t="n"/>
      <c r="D942" s="8" t="n"/>
      <c r="E942" s="8" t="n"/>
      <c r="F942" s="20" t="n"/>
      <c r="G942" s="20" t="n"/>
      <c r="H942" s="8" t="n"/>
      <c r="I942" s="20" t="n"/>
      <c r="J942" s="21">
        <f>IF(B942="","",F942+G942)</f>
        <v/>
      </c>
      <c r="K942" s="21">
        <f>IF(B942="","",J942*(Settings!$C$11+Settings!$C$12+Settings!$C$14)+IF(C942="",Settings!$C$13,IF(COUNTIF($C$5:C942,C942)=1,Settings!$C$13,0))+E942*Settings!$C$15+IF(H942="Yes",J942*Settings!$C$16,0))</f>
        <v/>
      </c>
      <c r="L942" s="21">
        <f>IF(B942="","",IF(Settings!$C$5="Yes",0,K942*Settings!$C$17))</f>
        <v/>
      </c>
      <c r="M942" s="21">
        <f>IF(B942="","",E942*IFERROR(VLOOKUP(D942,Products!$B$5:$F$204,5,FALSE),0))</f>
        <v/>
      </c>
      <c r="N942" s="21">
        <f>IF(B942="","",J942-K942-L942-M942-I942)</f>
        <v/>
      </c>
    </row>
    <row r="943">
      <c r="B943" s="11" t="n"/>
      <c r="C943" s="8" t="n"/>
      <c r="D943" s="8" t="n"/>
      <c r="E943" s="8" t="n"/>
      <c r="F943" s="20" t="n"/>
      <c r="G943" s="20" t="n"/>
      <c r="H943" s="8" t="n"/>
      <c r="I943" s="20" t="n"/>
      <c r="J943" s="21">
        <f>IF(B943="","",F943+G943)</f>
        <v/>
      </c>
      <c r="K943" s="21">
        <f>IF(B943="","",J943*(Settings!$C$11+Settings!$C$12+Settings!$C$14)+IF(C943="",Settings!$C$13,IF(COUNTIF($C$5:C943,C943)=1,Settings!$C$13,0))+E943*Settings!$C$15+IF(H943="Yes",J943*Settings!$C$16,0))</f>
        <v/>
      </c>
      <c r="L943" s="21">
        <f>IF(B943="","",IF(Settings!$C$5="Yes",0,K943*Settings!$C$17))</f>
        <v/>
      </c>
      <c r="M943" s="21">
        <f>IF(B943="","",E943*IFERROR(VLOOKUP(D943,Products!$B$5:$F$204,5,FALSE),0))</f>
        <v/>
      </c>
      <c r="N943" s="21">
        <f>IF(B943="","",J943-K943-L943-M943-I943)</f>
        <v/>
      </c>
    </row>
    <row r="944">
      <c r="B944" s="11" t="n"/>
      <c r="C944" s="8" t="n"/>
      <c r="D944" s="8" t="n"/>
      <c r="E944" s="8" t="n"/>
      <c r="F944" s="20" t="n"/>
      <c r="G944" s="20" t="n"/>
      <c r="H944" s="8" t="n"/>
      <c r="I944" s="20" t="n"/>
      <c r="J944" s="21">
        <f>IF(B944="","",F944+G944)</f>
        <v/>
      </c>
      <c r="K944" s="21">
        <f>IF(B944="","",J944*(Settings!$C$11+Settings!$C$12+Settings!$C$14)+IF(C944="",Settings!$C$13,IF(COUNTIF($C$5:C944,C944)=1,Settings!$C$13,0))+E944*Settings!$C$15+IF(H944="Yes",J944*Settings!$C$16,0))</f>
        <v/>
      </c>
      <c r="L944" s="21">
        <f>IF(B944="","",IF(Settings!$C$5="Yes",0,K944*Settings!$C$17))</f>
        <v/>
      </c>
      <c r="M944" s="21">
        <f>IF(B944="","",E944*IFERROR(VLOOKUP(D944,Products!$B$5:$F$204,5,FALSE),0))</f>
        <v/>
      </c>
      <c r="N944" s="21">
        <f>IF(B944="","",J944-K944-L944-M944-I944)</f>
        <v/>
      </c>
    </row>
    <row r="945">
      <c r="B945" s="11" t="n"/>
      <c r="C945" s="8" t="n"/>
      <c r="D945" s="8" t="n"/>
      <c r="E945" s="8" t="n"/>
      <c r="F945" s="20" t="n"/>
      <c r="G945" s="20" t="n"/>
      <c r="H945" s="8" t="n"/>
      <c r="I945" s="20" t="n"/>
      <c r="J945" s="21">
        <f>IF(B945="","",F945+G945)</f>
        <v/>
      </c>
      <c r="K945" s="21">
        <f>IF(B945="","",J945*(Settings!$C$11+Settings!$C$12+Settings!$C$14)+IF(C945="",Settings!$C$13,IF(COUNTIF($C$5:C945,C945)=1,Settings!$C$13,0))+E945*Settings!$C$15+IF(H945="Yes",J945*Settings!$C$16,0))</f>
        <v/>
      </c>
      <c r="L945" s="21">
        <f>IF(B945="","",IF(Settings!$C$5="Yes",0,K945*Settings!$C$17))</f>
        <v/>
      </c>
      <c r="M945" s="21">
        <f>IF(B945="","",E945*IFERROR(VLOOKUP(D945,Products!$B$5:$F$204,5,FALSE),0))</f>
        <v/>
      </c>
      <c r="N945" s="21">
        <f>IF(B945="","",J945-K945-L945-M945-I945)</f>
        <v/>
      </c>
    </row>
    <row r="946">
      <c r="B946" s="11" t="n"/>
      <c r="C946" s="8" t="n"/>
      <c r="D946" s="8" t="n"/>
      <c r="E946" s="8" t="n"/>
      <c r="F946" s="20" t="n"/>
      <c r="G946" s="20" t="n"/>
      <c r="H946" s="8" t="n"/>
      <c r="I946" s="20" t="n"/>
      <c r="J946" s="21">
        <f>IF(B946="","",F946+G946)</f>
        <v/>
      </c>
      <c r="K946" s="21">
        <f>IF(B946="","",J946*(Settings!$C$11+Settings!$C$12+Settings!$C$14)+IF(C946="",Settings!$C$13,IF(COUNTIF($C$5:C946,C946)=1,Settings!$C$13,0))+E946*Settings!$C$15+IF(H946="Yes",J946*Settings!$C$16,0))</f>
        <v/>
      </c>
      <c r="L946" s="21">
        <f>IF(B946="","",IF(Settings!$C$5="Yes",0,K946*Settings!$C$17))</f>
        <v/>
      </c>
      <c r="M946" s="21">
        <f>IF(B946="","",E946*IFERROR(VLOOKUP(D946,Products!$B$5:$F$204,5,FALSE),0))</f>
        <v/>
      </c>
      <c r="N946" s="21">
        <f>IF(B946="","",J946-K946-L946-M946-I946)</f>
        <v/>
      </c>
    </row>
    <row r="947">
      <c r="B947" s="11" t="n"/>
      <c r="C947" s="8" t="n"/>
      <c r="D947" s="8" t="n"/>
      <c r="E947" s="8" t="n"/>
      <c r="F947" s="20" t="n"/>
      <c r="G947" s="20" t="n"/>
      <c r="H947" s="8" t="n"/>
      <c r="I947" s="20" t="n"/>
      <c r="J947" s="21">
        <f>IF(B947="","",F947+G947)</f>
        <v/>
      </c>
      <c r="K947" s="21">
        <f>IF(B947="","",J947*(Settings!$C$11+Settings!$C$12+Settings!$C$14)+IF(C947="",Settings!$C$13,IF(COUNTIF($C$5:C947,C947)=1,Settings!$C$13,0))+E947*Settings!$C$15+IF(H947="Yes",J947*Settings!$C$16,0))</f>
        <v/>
      </c>
      <c r="L947" s="21">
        <f>IF(B947="","",IF(Settings!$C$5="Yes",0,K947*Settings!$C$17))</f>
        <v/>
      </c>
      <c r="M947" s="21">
        <f>IF(B947="","",E947*IFERROR(VLOOKUP(D947,Products!$B$5:$F$204,5,FALSE),0))</f>
        <v/>
      </c>
      <c r="N947" s="21">
        <f>IF(B947="","",J947-K947-L947-M947-I947)</f>
        <v/>
      </c>
    </row>
    <row r="948">
      <c r="B948" s="11" t="n"/>
      <c r="C948" s="8" t="n"/>
      <c r="D948" s="8" t="n"/>
      <c r="E948" s="8" t="n"/>
      <c r="F948" s="20" t="n"/>
      <c r="G948" s="20" t="n"/>
      <c r="H948" s="8" t="n"/>
      <c r="I948" s="20" t="n"/>
      <c r="J948" s="21">
        <f>IF(B948="","",F948+G948)</f>
        <v/>
      </c>
      <c r="K948" s="21">
        <f>IF(B948="","",J948*(Settings!$C$11+Settings!$C$12+Settings!$C$14)+IF(C948="",Settings!$C$13,IF(COUNTIF($C$5:C948,C948)=1,Settings!$C$13,0))+E948*Settings!$C$15+IF(H948="Yes",J948*Settings!$C$16,0))</f>
        <v/>
      </c>
      <c r="L948" s="21">
        <f>IF(B948="","",IF(Settings!$C$5="Yes",0,K948*Settings!$C$17))</f>
        <v/>
      </c>
      <c r="M948" s="21">
        <f>IF(B948="","",E948*IFERROR(VLOOKUP(D948,Products!$B$5:$F$204,5,FALSE),0))</f>
        <v/>
      </c>
      <c r="N948" s="21">
        <f>IF(B948="","",J948-K948-L948-M948-I948)</f>
        <v/>
      </c>
    </row>
    <row r="949">
      <c r="B949" s="11" t="n"/>
      <c r="C949" s="8" t="n"/>
      <c r="D949" s="8" t="n"/>
      <c r="E949" s="8" t="n"/>
      <c r="F949" s="20" t="n"/>
      <c r="G949" s="20" t="n"/>
      <c r="H949" s="8" t="n"/>
      <c r="I949" s="20" t="n"/>
      <c r="J949" s="21">
        <f>IF(B949="","",F949+G949)</f>
        <v/>
      </c>
      <c r="K949" s="21">
        <f>IF(B949="","",J949*(Settings!$C$11+Settings!$C$12+Settings!$C$14)+IF(C949="",Settings!$C$13,IF(COUNTIF($C$5:C949,C949)=1,Settings!$C$13,0))+E949*Settings!$C$15+IF(H949="Yes",J949*Settings!$C$16,0))</f>
        <v/>
      </c>
      <c r="L949" s="21">
        <f>IF(B949="","",IF(Settings!$C$5="Yes",0,K949*Settings!$C$17))</f>
        <v/>
      </c>
      <c r="M949" s="21">
        <f>IF(B949="","",E949*IFERROR(VLOOKUP(D949,Products!$B$5:$F$204,5,FALSE),0))</f>
        <v/>
      </c>
      <c r="N949" s="21">
        <f>IF(B949="","",J949-K949-L949-M949-I949)</f>
        <v/>
      </c>
    </row>
    <row r="950">
      <c r="B950" s="11" t="n"/>
      <c r="C950" s="8" t="n"/>
      <c r="D950" s="8" t="n"/>
      <c r="E950" s="8" t="n"/>
      <c r="F950" s="20" t="n"/>
      <c r="G950" s="20" t="n"/>
      <c r="H950" s="8" t="n"/>
      <c r="I950" s="20" t="n"/>
      <c r="J950" s="21">
        <f>IF(B950="","",F950+G950)</f>
        <v/>
      </c>
      <c r="K950" s="21">
        <f>IF(B950="","",J950*(Settings!$C$11+Settings!$C$12+Settings!$C$14)+IF(C950="",Settings!$C$13,IF(COUNTIF($C$5:C950,C950)=1,Settings!$C$13,0))+E950*Settings!$C$15+IF(H950="Yes",J950*Settings!$C$16,0))</f>
        <v/>
      </c>
      <c r="L950" s="21">
        <f>IF(B950="","",IF(Settings!$C$5="Yes",0,K950*Settings!$C$17))</f>
        <v/>
      </c>
      <c r="M950" s="21">
        <f>IF(B950="","",E950*IFERROR(VLOOKUP(D950,Products!$B$5:$F$204,5,FALSE),0))</f>
        <v/>
      </c>
      <c r="N950" s="21">
        <f>IF(B950="","",J950-K950-L950-M950-I950)</f>
        <v/>
      </c>
    </row>
    <row r="951">
      <c r="B951" s="11" t="n"/>
      <c r="C951" s="8" t="n"/>
      <c r="D951" s="8" t="n"/>
      <c r="E951" s="8" t="n"/>
      <c r="F951" s="20" t="n"/>
      <c r="G951" s="20" t="n"/>
      <c r="H951" s="8" t="n"/>
      <c r="I951" s="20" t="n"/>
      <c r="J951" s="21">
        <f>IF(B951="","",F951+G951)</f>
        <v/>
      </c>
      <c r="K951" s="21">
        <f>IF(B951="","",J951*(Settings!$C$11+Settings!$C$12+Settings!$C$14)+IF(C951="",Settings!$C$13,IF(COUNTIF($C$5:C951,C951)=1,Settings!$C$13,0))+E951*Settings!$C$15+IF(H951="Yes",J951*Settings!$C$16,0))</f>
        <v/>
      </c>
      <c r="L951" s="21">
        <f>IF(B951="","",IF(Settings!$C$5="Yes",0,K951*Settings!$C$17))</f>
        <v/>
      </c>
      <c r="M951" s="21">
        <f>IF(B951="","",E951*IFERROR(VLOOKUP(D951,Products!$B$5:$F$204,5,FALSE),0))</f>
        <v/>
      </c>
      <c r="N951" s="21">
        <f>IF(B951="","",J951-K951-L951-M951-I951)</f>
        <v/>
      </c>
    </row>
    <row r="952">
      <c r="B952" s="11" t="n"/>
      <c r="C952" s="8" t="n"/>
      <c r="D952" s="8" t="n"/>
      <c r="E952" s="8" t="n"/>
      <c r="F952" s="20" t="n"/>
      <c r="G952" s="20" t="n"/>
      <c r="H952" s="8" t="n"/>
      <c r="I952" s="20" t="n"/>
      <c r="J952" s="21">
        <f>IF(B952="","",F952+G952)</f>
        <v/>
      </c>
      <c r="K952" s="21">
        <f>IF(B952="","",J952*(Settings!$C$11+Settings!$C$12+Settings!$C$14)+IF(C952="",Settings!$C$13,IF(COUNTIF($C$5:C952,C952)=1,Settings!$C$13,0))+E952*Settings!$C$15+IF(H952="Yes",J952*Settings!$C$16,0))</f>
        <v/>
      </c>
      <c r="L952" s="21">
        <f>IF(B952="","",IF(Settings!$C$5="Yes",0,K952*Settings!$C$17))</f>
        <v/>
      </c>
      <c r="M952" s="21">
        <f>IF(B952="","",E952*IFERROR(VLOOKUP(D952,Products!$B$5:$F$204,5,FALSE),0))</f>
        <v/>
      </c>
      <c r="N952" s="21">
        <f>IF(B952="","",J952-K952-L952-M952-I952)</f>
        <v/>
      </c>
    </row>
    <row r="953">
      <c r="B953" s="11" t="n"/>
      <c r="C953" s="8" t="n"/>
      <c r="D953" s="8" t="n"/>
      <c r="E953" s="8" t="n"/>
      <c r="F953" s="20" t="n"/>
      <c r="G953" s="20" t="n"/>
      <c r="H953" s="8" t="n"/>
      <c r="I953" s="20" t="n"/>
      <c r="J953" s="21">
        <f>IF(B953="","",F953+G953)</f>
        <v/>
      </c>
      <c r="K953" s="21">
        <f>IF(B953="","",J953*(Settings!$C$11+Settings!$C$12+Settings!$C$14)+IF(C953="",Settings!$C$13,IF(COUNTIF($C$5:C953,C953)=1,Settings!$C$13,0))+E953*Settings!$C$15+IF(H953="Yes",J953*Settings!$C$16,0))</f>
        <v/>
      </c>
      <c r="L953" s="21">
        <f>IF(B953="","",IF(Settings!$C$5="Yes",0,K953*Settings!$C$17))</f>
        <v/>
      </c>
      <c r="M953" s="21">
        <f>IF(B953="","",E953*IFERROR(VLOOKUP(D953,Products!$B$5:$F$204,5,FALSE),0))</f>
        <v/>
      </c>
      <c r="N953" s="21">
        <f>IF(B953="","",J953-K953-L953-M953-I953)</f>
        <v/>
      </c>
    </row>
    <row r="954">
      <c r="B954" s="11" t="n"/>
      <c r="C954" s="8" t="n"/>
      <c r="D954" s="8" t="n"/>
      <c r="E954" s="8" t="n"/>
      <c r="F954" s="20" t="n"/>
      <c r="G954" s="20" t="n"/>
      <c r="H954" s="8" t="n"/>
      <c r="I954" s="20" t="n"/>
      <c r="J954" s="21">
        <f>IF(B954="","",F954+G954)</f>
        <v/>
      </c>
      <c r="K954" s="21">
        <f>IF(B954="","",J954*(Settings!$C$11+Settings!$C$12+Settings!$C$14)+IF(C954="",Settings!$C$13,IF(COUNTIF($C$5:C954,C954)=1,Settings!$C$13,0))+E954*Settings!$C$15+IF(H954="Yes",J954*Settings!$C$16,0))</f>
        <v/>
      </c>
      <c r="L954" s="21">
        <f>IF(B954="","",IF(Settings!$C$5="Yes",0,K954*Settings!$C$17))</f>
        <v/>
      </c>
      <c r="M954" s="21">
        <f>IF(B954="","",E954*IFERROR(VLOOKUP(D954,Products!$B$5:$F$204,5,FALSE),0))</f>
        <v/>
      </c>
      <c r="N954" s="21">
        <f>IF(B954="","",J954-K954-L954-M954-I954)</f>
        <v/>
      </c>
    </row>
    <row r="955">
      <c r="B955" s="11" t="n"/>
      <c r="C955" s="8" t="n"/>
      <c r="D955" s="8" t="n"/>
      <c r="E955" s="8" t="n"/>
      <c r="F955" s="20" t="n"/>
      <c r="G955" s="20" t="n"/>
      <c r="H955" s="8" t="n"/>
      <c r="I955" s="20" t="n"/>
      <c r="J955" s="21">
        <f>IF(B955="","",F955+G955)</f>
        <v/>
      </c>
      <c r="K955" s="21">
        <f>IF(B955="","",J955*(Settings!$C$11+Settings!$C$12+Settings!$C$14)+IF(C955="",Settings!$C$13,IF(COUNTIF($C$5:C955,C955)=1,Settings!$C$13,0))+E955*Settings!$C$15+IF(H955="Yes",J955*Settings!$C$16,0))</f>
        <v/>
      </c>
      <c r="L955" s="21">
        <f>IF(B955="","",IF(Settings!$C$5="Yes",0,K955*Settings!$C$17))</f>
        <v/>
      </c>
      <c r="M955" s="21">
        <f>IF(B955="","",E955*IFERROR(VLOOKUP(D955,Products!$B$5:$F$204,5,FALSE),0))</f>
        <v/>
      </c>
      <c r="N955" s="21">
        <f>IF(B955="","",J955-K955-L955-M955-I955)</f>
        <v/>
      </c>
    </row>
    <row r="956">
      <c r="B956" s="11" t="n"/>
      <c r="C956" s="8" t="n"/>
      <c r="D956" s="8" t="n"/>
      <c r="E956" s="8" t="n"/>
      <c r="F956" s="20" t="n"/>
      <c r="G956" s="20" t="n"/>
      <c r="H956" s="8" t="n"/>
      <c r="I956" s="20" t="n"/>
      <c r="J956" s="21">
        <f>IF(B956="","",F956+G956)</f>
        <v/>
      </c>
      <c r="K956" s="21">
        <f>IF(B956="","",J956*(Settings!$C$11+Settings!$C$12+Settings!$C$14)+IF(C956="",Settings!$C$13,IF(COUNTIF($C$5:C956,C956)=1,Settings!$C$13,0))+E956*Settings!$C$15+IF(H956="Yes",J956*Settings!$C$16,0))</f>
        <v/>
      </c>
      <c r="L956" s="21">
        <f>IF(B956="","",IF(Settings!$C$5="Yes",0,K956*Settings!$C$17))</f>
        <v/>
      </c>
      <c r="M956" s="21">
        <f>IF(B956="","",E956*IFERROR(VLOOKUP(D956,Products!$B$5:$F$204,5,FALSE),0))</f>
        <v/>
      </c>
      <c r="N956" s="21">
        <f>IF(B956="","",J956-K956-L956-M956-I956)</f>
        <v/>
      </c>
    </row>
    <row r="957">
      <c r="B957" s="11" t="n"/>
      <c r="C957" s="8" t="n"/>
      <c r="D957" s="8" t="n"/>
      <c r="E957" s="8" t="n"/>
      <c r="F957" s="20" t="n"/>
      <c r="G957" s="20" t="n"/>
      <c r="H957" s="8" t="n"/>
      <c r="I957" s="20" t="n"/>
      <c r="J957" s="21">
        <f>IF(B957="","",F957+G957)</f>
        <v/>
      </c>
      <c r="K957" s="21">
        <f>IF(B957="","",J957*(Settings!$C$11+Settings!$C$12+Settings!$C$14)+IF(C957="",Settings!$C$13,IF(COUNTIF($C$5:C957,C957)=1,Settings!$C$13,0))+E957*Settings!$C$15+IF(H957="Yes",J957*Settings!$C$16,0))</f>
        <v/>
      </c>
      <c r="L957" s="21">
        <f>IF(B957="","",IF(Settings!$C$5="Yes",0,K957*Settings!$C$17))</f>
        <v/>
      </c>
      <c r="M957" s="21">
        <f>IF(B957="","",E957*IFERROR(VLOOKUP(D957,Products!$B$5:$F$204,5,FALSE),0))</f>
        <v/>
      </c>
      <c r="N957" s="21">
        <f>IF(B957="","",J957-K957-L957-M957-I957)</f>
        <v/>
      </c>
    </row>
    <row r="958">
      <c r="B958" s="11" t="n"/>
      <c r="C958" s="8" t="n"/>
      <c r="D958" s="8" t="n"/>
      <c r="E958" s="8" t="n"/>
      <c r="F958" s="20" t="n"/>
      <c r="G958" s="20" t="n"/>
      <c r="H958" s="8" t="n"/>
      <c r="I958" s="20" t="n"/>
      <c r="J958" s="21">
        <f>IF(B958="","",F958+G958)</f>
        <v/>
      </c>
      <c r="K958" s="21">
        <f>IF(B958="","",J958*(Settings!$C$11+Settings!$C$12+Settings!$C$14)+IF(C958="",Settings!$C$13,IF(COUNTIF($C$5:C958,C958)=1,Settings!$C$13,0))+E958*Settings!$C$15+IF(H958="Yes",J958*Settings!$C$16,0))</f>
        <v/>
      </c>
      <c r="L958" s="21">
        <f>IF(B958="","",IF(Settings!$C$5="Yes",0,K958*Settings!$C$17))</f>
        <v/>
      </c>
      <c r="M958" s="21">
        <f>IF(B958="","",E958*IFERROR(VLOOKUP(D958,Products!$B$5:$F$204,5,FALSE),0))</f>
        <v/>
      </c>
      <c r="N958" s="21">
        <f>IF(B958="","",J958-K958-L958-M958-I958)</f>
        <v/>
      </c>
    </row>
    <row r="959">
      <c r="B959" s="11" t="n"/>
      <c r="C959" s="8" t="n"/>
      <c r="D959" s="8" t="n"/>
      <c r="E959" s="8" t="n"/>
      <c r="F959" s="20" t="n"/>
      <c r="G959" s="20" t="n"/>
      <c r="H959" s="8" t="n"/>
      <c r="I959" s="20" t="n"/>
      <c r="J959" s="21">
        <f>IF(B959="","",F959+G959)</f>
        <v/>
      </c>
      <c r="K959" s="21">
        <f>IF(B959="","",J959*(Settings!$C$11+Settings!$C$12+Settings!$C$14)+IF(C959="",Settings!$C$13,IF(COUNTIF($C$5:C959,C959)=1,Settings!$C$13,0))+E959*Settings!$C$15+IF(H959="Yes",J959*Settings!$C$16,0))</f>
        <v/>
      </c>
      <c r="L959" s="21">
        <f>IF(B959="","",IF(Settings!$C$5="Yes",0,K959*Settings!$C$17))</f>
        <v/>
      </c>
      <c r="M959" s="21">
        <f>IF(B959="","",E959*IFERROR(VLOOKUP(D959,Products!$B$5:$F$204,5,FALSE),0))</f>
        <v/>
      </c>
      <c r="N959" s="21">
        <f>IF(B959="","",J959-K959-L959-M959-I959)</f>
        <v/>
      </c>
    </row>
    <row r="960">
      <c r="B960" s="11" t="n"/>
      <c r="C960" s="8" t="n"/>
      <c r="D960" s="8" t="n"/>
      <c r="E960" s="8" t="n"/>
      <c r="F960" s="20" t="n"/>
      <c r="G960" s="20" t="n"/>
      <c r="H960" s="8" t="n"/>
      <c r="I960" s="20" t="n"/>
      <c r="J960" s="21">
        <f>IF(B960="","",F960+G960)</f>
        <v/>
      </c>
      <c r="K960" s="21">
        <f>IF(B960="","",J960*(Settings!$C$11+Settings!$C$12+Settings!$C$14)+IF(C960="",Settings!$C$13,IF(COUNTIF($C$5:C960,C960)=1,Settings!$C$13,0))+E960*Settings!$C$15+IF(H960="Yes",J960*Settings!$C$16,0))</f>
        <v/>
      </c>
      <c r="L960" s="21">
        <f>IF(B960="","",IF(Settings!$C$5="Yes",0,K960*Settings!$C$17))</f>
        <v/>
      </c>
      <c r="M960" s="21">
        <f>IF(B960="","",E960*IFERROR(VLOOKUP(D960,Products!$B$5:$F$204,5,FALSE),0))</f>
        <v/>
      </c>
      <c r="N960" s="21">
        <f>IF(B960="","",J960-K960-L960-M960-I960)</f>
        <v/>
      </c>
    </row>
    <row r="961">
      <c r="B961" s="11" t="n"/>
      <c r="C961" s="8" t="n"/>
      <c r="D961" s="8" t="n"/>
      <c r="E961" s="8" t="n"/>
      <c r="F961" s="20" t="n"/>
      <c r="G961" s="20" t="n"/>
      <c r="H961" s="8" t="n"/>
      <c r="I961" s="20" t="n"/>
      <c r="J961" s="21">
        <f>IF(B961="","",F961+G961)</f>
        <v/>
      </c>
      <c r="K961" s="21">
        <f>IF(B961="","",J961*(Settings!$C$11+Settings!$C$12+Settings!$C$14)+IF(C961="",Settings!$C$13,IF(COUNTIF($C$5:C961,C961)=1,Settings!$C$13,0))+E961*Settings!$C$15+IF(H961="Yes",J961*Settings!$C$16,0))</f>
        <v/>
      </c>
      <c r="L961" s="21">
        <f>IF(B961="","",IF(Settings!$C$5="Yes",0,K961*Settings!$C$17))</f>
        <v/>
      </c>
      <c r="M961" s="21">
        <f>IF(B961="","",E961*IFERROR(VLOOKUP(D961,Products!$B$5:$F$204,5,FALSE),0))</f>
        <v/>
      </c>
      <c r="N961" s="21">
        <f>IF(B961="","",J961-K961-L961-M961-I961)</f>
        <v/>
      </c>
    </row>
    <row r="962">
      <c r="B962" s="11" t="n"/>
      <c r="C962" s="8" t="n"/>
      <c r="D962" s="8" t="n"/>
      <c r="E962" s="8" t="n"/>
      <c r="F962" s="20" t="n"/>
      <c r="G962" s="20" t="n"/>
      <c r="H962" s="8" t="n"/>
      <c r="I962" s="20" t="n"/>
      <c r="J962" s="21">
        <f>IF(B962="","",F962+G962)</f>
        <v/>
      </c>
      <c r="K962" s="21">
        <f>IF(B962="","",J962*(Settings!$C$11+Settings!$C$12+Settings!$C$14)+IF(C962="",Settings!$C$13,IF(COUNTIF($C$5:C962,C962)=1,Settings!$C$13,0))+E962*Settings!$C$15+IF(H962="Yes",J962*Settings!$C$16,0))</f>
        <v/>
      </c>
      <c r="L962" s="21">
        <f>IF(B962="","",IF(Settings!$C$5="Yes",0,K962*Settings!$C$17))</f>
        <v/>
      </c>
      <c r="M962" s="21">
        <f>IF(B962="","",E962*IFERROR(VLOOKUP(D962,Products!$B$5:$F$204,5,FALSE),0))</f>
        <v/>
      </c>
      <c r="N962" s="21">
        <f>IF(B962="","",J962-K962-L962-M962-I962)</f>
        <v/>
      </c>
    </row>
    <row r="963">
      <c r="B963" s="11" t="n"/>
      <c r="C963" s="8" t="n"/>
      <c r="D963" s="8" t="n"/>
      <c r="E963" s="8" t="n"/>
      <c r="F963" s="20" t="n"/>
      <c r="G963" s="20" t="n"/>
      <c r="H963" s="8" t="n"/>
      <c r="I963" s="20" t="n"/>
      <c r="J963" s="21">
        <f>IF(B963="","",F963+G963)</f>
        <v/>
      </c>
      <c r="K963" s="21">
        <f>IF(B963="","",J963*(Settings!$C$11+Settings!$C$12+Settings!$C$14)+IF(C963="",Settings!$C$13,IF(COUNTIF($C$5:C963,C963)=1,Settings!$C$13,0))+E963*Settings!$C$15+IF(H963="Yes",J963*Settings!$C$16,0))</f>
        <v/>
      </c>
      <c r="L963" s="21">
        <f>IF(B963="","",IF(Settings!$C$5="Yes",0,K963*Settings!$C$17))</f>
        <v/>
      </c>
      <c r="M963" s="21">
        <f>IF(B963="","",E963*IFERROR(VLOOKUP(D963,Products!$B$5:$F$204,5,FALSE),0))</f>
        <v/>
      </c>
      <c r="N963" s="21">
        <f>IF(B963="","",J963-K963-L963-M963-I963)</f>
        <v/>
      </c>
    </row>
    <row r="964">
      <c r="B964" s="11" t="n"/>
      <c r="C964" s="8" t="n"/>
      <c r="D964" s="8" t="n"/>
      <c r="E964" s="8" t="n"/>
      <c r="F964" s="20" t="n"/>
      <c r="G964" s="20" t="n"/>
      <c r="H964" s="8" t="n"/>
      <c r="I964" s="20" t="n"/>
      <c r="J964" s="21">
        <f>IF(B964="","",F964+G964)</f>
        <v/>
      </c>
      <c r="K964" s="21">
        <f>IF(B964="","",J964*(Settings!$C$11+Settings!$C$12+Settings!$C$14)+IF(C964="",Settings!$C$13,IF(COUNTIF($C$5:C964,C964)=1,Settings!$C$13,0))+E964*Settings!$C$15+IF(H964="Yes",J964*Settings!$C$16,0))</f>
        <v/>
      </c>
      <c r="L964" s="21">
        <f>IF(B964="","",IF(Settings!$C$5="Yes",0,K964*Settings!$C$17))</f>
        <v/>
      </c>
      <c r="M964" s="21">
        <f>IF(B964="","",E964*IFERROR(VLOOKUP(D964,Products!$B$5:$F$204,5,FALSE),0))</f>
        <v/>
      </c>
      <c r="N964" s="21">
        <f>IF(B964="","",J964-K964-L964-M964-I964)</f>
        <v/>
      </c>
    </row>
    <row r="965">
      <c r="B965" s="11" t="n"/>
      <c r="C965" s="8" t="n"/>
      <c r="D965" s="8" t="n"/>
      <c r="E965" s="8" t="n"/>
      <c r="F965" s="20" t="n"/>
      <c r="G965" s="20" t="n"/>
      <c r="H965" s="8" t="n"/>
      <c r="I965" s="20" t="n"/>
      <c r="J965" s="21">
        <f>IF(B965="","",F965+G965)</f>
        <v/>
      </c>
      <c r="K965" s="21">
        <f>IF(B965="","",J965*(Settings!$C$11+Settings!$C$12+Settings!$C$14)+IF(C965="",Settings!$C$13,IF(COUNTIF($C$5:C965,C965)=1,Settings!$C$13,0))+E965*Settings!$C$15+IF(H965="Yes",J965*Settings!$C$16,0))</f>
        <v/>
      </c>
      <c r="L965" s="21">
        <f>IF(B965="","",IF(Settings!$C$5="Yes",0,K965*Settings!$C$17))</f>
        <v/>
      </c>
      <c r="M965" s="21">
        <f>IF(B965="","",E965*IFERROR(VLOOKUP(D965,Products!$B$5:$F$204,5,FALSE),0))</f>
        <v/>
      </c>
      <c r="N965" s="21">
        <f>IF(B965="","",J965-K965-L965-M965-I965)</f>
        <v/>
      </c>
    </row>
    <row r="966">
      <c r="B966" s="11" t="n"/>
      <c r="C966" s="8" t="n"/>
      <c r="D966" s="8" t="n"/>
      <c r="E966" s="8" t="n"/>
      <c r="F966" s="20" t="n"/>
      <c r="G966" s="20" t="n"/>
      <c r="H966" s="8" t="n"/>
      <c r="I966" s="20" t="n"/>
      <c r="J966" s="21">
        <f>IF(B966="","",F966+G966)</f>
        <v/>
      </c>
      <c r="K966" s="21">
        <f>IF(B966="","",J966*(Settings!$C$11+Settings!$C$12+Settings!$C$14)+IF(C966="",Settings!$C$13,IF(COUNTIF($C$5:C966,C966)=1,Settings!$C$13,0))+E966*Settings!$C$15+IF(H966="Yes",J966*Settings!$C$16,0))</f>
        <v/>
      </c>
      <c r="L966" s="21">
        <f>IF(B966="","",IF(Settings!$C$5="Yes",0,K966*Settings!$C$17))</f>
        <v/>
      </c>
      <c r="M966" s="21">
        <f>IF(B966="","",E966*IFERROR(VLOOKUP(D966,Products!$B$5:$F$204,5,FALSE),0))</f>
        <v/>
      </c>
      <c r="N966" s="21">
        <f>IF(B966="","",J966-K966-L966-M966-I966)</f>
        <v/>
      </c>
    </row>
    <row r="967">
      <c r="B967" s="11" t="n"/>
      <c r="C967" s="8" t="n"/>
      <c r="D967" s="8" t="n"/>
      <c r="E967" s="8" t="n"/>
      <c r="F967" s="20" t="n"/>
      <c r="G967" s="20" t="n"/>
      <c r="H967" s="8" t="n"/>
      <c r="I967" s="20" t="n"/>
      <c r="J967" s="21">
        <f>IF(B967="","",F967+G967)</f>
        <v/>
      </c>
      <c r="K967" s="21">
        <f>IF(B967="","",J967*(Settings!$C$11+Settings!$C$12+Settings!$C$14)+IF(C967="",Settings!$C$13,IF(COUNTIF($C$5:C967,C967)=1,Settings!$C$13,0))+E967*Settings!$C$15+IF(H967="Yes",J967*Settings!$C$16,0))</f>
        <v/>
      </c>
      <c r="L967" s="21">
        <f>IF(B967="","",IF(Settings!$C$5="Yes",0,K967*Settings!$C$17))</f>
        <v/>
      </c>
      <c r="M967" s="21">
        <f>IF(B967="","",E967*IFERROR(VLOOKUP(D967,Products!$B$5:$F$204,5,FALSE),0))</f>
        <v/>
      </c>
      <c r="N967" s="21">
        <f>IF(B967="","",J967-K967-L967-M967-I967)</f>
        <v/>
      </c>
    </row>
    <row r="968">
      <c r="B968" s="11" t="n"/>
      <c r="C968" s="8" t="n"/>
      <c r="D968" s="8" t="n"/>
      <c r="E968" s="8" t="n"/>
      <c r="F968" s="20" t="n"/>
      <c r="G968" s="20" t="n"/>
      <c r="H968" s="8" t="n"/>
      <c r="I968" s="20" t="n"/>
      <c r="J968" s="21">
        <f>IF(B968="","",F968+G968)</f>
        <v/>
      </c>
      <c r="K968" s="21">
        <f>IF(B968="","",J968*(Settings!$C$11+Settings!$C$12+Settings!$C$14)+IF(C968="",Settings!$C$13,IF(COUNTIF($C$5:C968,C968)=1,Settings!$C$13,0))+E968*Settings!$C$15+IF(H968="Yes",J968*Settings!$C$16,0))</f>
        <v/>
      </c>
      <c r="L968" s="21">
        <f>IF(B968="","",IF(Settings!$C$5="Yes",0,K968*Settings!$C$17))</f>
        <v/>
      </c>
      <c r="M968" s="21">
        <f>IF(B968="","",E968*IFERROR(VLOOKUP(D968,Products!$B$5:$F$204,5,FALSE),0))</f>
        <v/>
      </c>
      <c r="N968" s="21">
        <f>IF(B968="","",J968-K968-L968-M968-I968)</f>
        <v/>
      </c>
    </row>
    <row r="969">
      <c r="B969" s="11" t="n"/>
      <c r="C969" s="8" t="n"/>
      <c r="D969" s="8" t="n"/>
      <c r="E969" s="8" t="n"/>
      <c r="F969" s="20" t="n"/>
      <c r="G969" s="20" t="n"/>
      <c r="H969" s="8" t="n"/>
      <c r="I969" s="20" t="n"/>
      <c r="J969" s="21">
        <f>IF(B969="","",F969+G969)</f>
        <v/>
      </c>
      <c r="K969" s="21">
        <f>IF(B969="","",J969*(Settings!$C$11+Settings!$C$12+Settings!$C$14)+IF(C969="",Settings!$C$13,IF(COUNTIF($C$5:C969,C969)=1,Settings!$C$13,0))+E969*Settings!$C$15+IF(H969="Yes",J969*Settings!$C$16,0))</f>
        <v/>
      </c>
      <c r="L969" s="21">
        <f>IF(B969="","",IF(Settings!$C$5="Yes",0,K969*Settings!$C$17))</f>
        <v/>
      </c>
      <c r="M969" s="21">
        <f>IF(B969="","",E969*IFERROR(VLOOKUP(D969,Products!$B$5:$F$204,5,FALSE),0))</f>
        <v/>
      </c>
      <c r="N969" s="21">
        <f>IF(B969="","",J969-K969-L969-M969-I969)</f>
        <v/>
      </c>
    </row>
    <row r="970">
      <c r="B970" s="11" t="n"/>
      <c r="C970" s="8" t="n"/>
      <c r="D970" s="8" t="n"/>
      <c r="E970" s="8" t="n"/>
      <c r="F970" s="20" t="n"/>
      <c r="G970" s="20" t="n"/>
      <c r="H970" s="8" t="n"/>
      <c r="I970" s="20" t="n"/>
      <c r="J970" s="21">
        <f>IF(B970="","",F970+G970)</f>
        <v/>
      </c>
      <c r="K970" s="21">
        <f>IF(B970="","",J970*(Settings!$C$11+Settings!$C$12+Settings!$C$14)+IF(C970="",Settings!$C$13,IF(COUNTIF($C$5:C970,C970)=1,Settings!$C$13,0))+E970*Settings!$C$15+IF(H970="Yes",J970*Settings!$C$16,0))</f>
        <v/>
      </c>
      <c r="L970" s="21">
        <f>IF(B970="","",IF(Settings!$C$5="Yes",0,K970*Settings!$C$17))</f>
        <v/>
      </c>
      <c r="M970" s="21">
        <f>IF(B970="","",E970*IFERROR(VLOOKUP(D970,Products!$B$5:$F$204,5,FALSE),0))</f>
        <v/>
      </c>
      <c r="N970" s="21">
        <f>IF(B970="","",J970-K970-L970-M970-I970)</f>
        <v/>
      </c>
    </row>
    <row r="971">
      <c r="B971" s="11" t="n"/>
      <c r="C971" s="8" t="n"/>
      <c r="D971" s="8" t="n"/>
      <c r="E971" s="8" t="n"/>
      <c r="F971" s="20" t="n"/>
      <c r="G971" s="20" t="n"/>
      <c r="H971" s="8" t="n"/>
      <c r="I971" s="20" t="n"/>
      <c r="J971" s="21">
        <f>IF(B971="","",F971+G971)</f>
        <v/>
      </c>
      <c r="K971" s="21">
        <f>IF(B971="","",J971*(Settings!$C$11+Settings!$C$12+Settings!$C$14)+IF(C971="",Settings!$C$13,IF(COUNTIF($C$5:C971,C971)=1,Settings!$C$13,0))+E971*Settings!$C$15+IF(H971="Yes",J971*Settings!$C$16,0))</f>
        <v/>
      </c>
      <c r="L971" s="21">
        <f>IF(B971="","",IF(Settings!$C$5="Yes",0,K971*Settings!$C$17))</f>
        <v/>
      </c>
      <c r="M971" s="21">
        <f>IF(B971="","",E971*IFERROR(VLOOKUP(D971,Products!$B$5:$F$204,5,FALSE),0))</f>
        <v/>
      </c>
      <c r="N971" s="21">
        <f>IF(B971="","",J971-K971-L971-M971-I971)</f>
        <v/>
      </c>
    </row>
    <row r="972">
      <c r="B972" s="11" t="n"/>
      <c r="C972" s="8" t="n"/>
      <c r="D972" s="8" t="n"/>
      <c r="E972" s="8" t="n"/>
      <c r="F972" s="20" t="n"/>
      <c r="G972" s="20" t="n"/>
      <c r="H972" s="8" t="n"/>
      <c r="I972" s="20" t="n"/>
      <c r="J972" s="21">
        <f>IF(B972="","",F972+G972)</f>
        <v/>
      </c>
      <c r="K972" s="21">
        <f>IF(B972="","",J972*(Settings!$C$11+Settings!$C$12+Settings!$C$14)+IF(C972="",Settings!$C$13,IF(COUNTIF($C$5:C972,C972)=1,Settings!$C$13,0))+E972*Settings!$C$15+IF(H972="Yes",J972*Settings!$C$16,0))</f>
        <v/>
      </c>
      <c r="L972" s="21">
        <f>IF(B972="","",IF(Settings!$C$5="Yes",0,K972*Settings!$C$17))</f>
        <v/>
      </c>
      <c r="M972" s="21">
        <f>IF(B972="","",E972*IFERROR(VLOOKUP(D972,Products!$B$5:$F$204,5,FALSE),0))</f>
        <v/>
      </c>
      <c r="N972" s="21">
        <f>IF(B972="","",J972-K972-L972-M972-I972)</f>
        <v/>
      </c>
    </row>
    <row r="973">
      <c r="B973" s="11" t="n"/>
      <c r="C973" s="8" t="n"/>
      <c r="D973" s="8" t="n"/>
      <c r="E973" s="8" t="n"/>
      <c r="F973" s="20" t="n"/>
      <c r="G973" s="20" t="n"/>
      <c r="H973" s="8" t="n"/>
      <c r="I973" s="20" t="n"/>
      <c r="J973" s="21">
        <f>IF(B973="","",F973+G973)</f>
        <v/>
      </c>
      <c r="K973" s="21">
        <f>IF(B973="","",J973*(Settings!$C$11+Settings!$C$12+Settings!$C$14)+IF(C973="",Settings!$C$13,IF(COUNTIF($C$5:C973,C973)=1,Settings!$C$13,0))+E973*Settings!$C$15+IF(H973="Yes",J973*Settings!$C$16,0))</f>
        <v/>
      </c>
      <c r="L973" s="21">
        <f>IF(B973="","",IF(Settings!$C$5="Yes",0,K973*Settings!$C$17))</f>
        <v/>
      </c>
      <c r="M973" s="21">
        <f>IF(B973="","",E973*IFERROR(VLOOKUP(D973,Products!$B$5:$F$204,5,FALSE),0))</f>
        <v/>
      </c>
      <c r="N973" s="21">
        <f>IF(B973="","",J973-K973-L973-M973-I973)</f>
        <v/>
      </c>
    </row>
    <row r="974">
      <c r="B974" s="11" t="n"/>
      <c r="C974" s="8" t="n"/>
      <c r="D974" s="8" t="n"/>
      <c r="E974" s="8" t="n"/>
      <c r="F974" s="20" t="n"/>
      <c r="G974" s="20" t="n"/>
      <c r="H974" s="8" t="n"/>
      <c r="I974" s="20" t="n"/>
      <c r="J974" s="21">
        <f>IF(B974="","",F974+G974)</f>
        <v/>
      </c>
      <c r="K974" s="21">
        <f>IF(B974="","",J974*(Settings!$C$11+Settings!$C$12+Settings!$C$14)+IF(C974="",Settings!$C$13,IF(COUNTIF($C$5:C974,C974)=1,Settings!$C$13,0))+E974*Settings!$C$15+IF(H974="Yes",J974*Settings!$C$16,0))</f>
        <v/>
      </c>
      <c r="L974" s="21">
        <f>IF(B974="","",IF(Settings!$C$5="Yes",0,K974*Settings!$C$17))</f>
        <v/>
      </c>
      <c r="M974" s="21">
        <f>IF(B974="","",E974*IFERROR(VLOOKUP(D974,Products!$B$5:$F$204,5,FALSE),0))</f>
        <v/>
      </c>
      <c r="N974" s="21">
        <f>IF(B974="","",J974-K974-L974-M974-I974)</f>
        <v/>
      </c>
    </row>
    <row r="975">
      <c r="B975" s="11" t="n"/>
      <c r="C975" s="8" t="n"/>
      <c r="D975" s="8" t="n"/>
      <c r="E975" s="8" t="n"/>
      <c r="F975" s="20" t="n"/>
      <c r="G975" s="20" t="n"/>
      <c r="H975" s="8" t="n"/>
      <c r="I975" s="20" t="n"/>
      <c r="J975" s="21">
        <f>IF(B975="","",F975+G975)</f>
        <v/>
      </c>
      <c r="K975" s="21">
        <f>IF(B975="","",J975*(Settings!$C$11+Settings!$C$12+Settings!$C$14)+IF(C975="",Settings!$C$13,IF(COUNTIF($C$5:C975,C975)=1,Settings!$C$13,0))+E975*Settings!$C$15+IF(H975="Yes",J975*Settings!$C$16,0))</f>
        <v/>
      </c>
      <c r="L975" s="21">
        <f>IF(B975="","",IF(Settings!$C$5="Yes",0,K975*Settings!$C$17))</f>
        <v/>
      </c>
      <c r="M975" s="21">
        <f>IF(B975="","",E975*IFERROR(VLOOKUP(D975,Products!$B$5:$F$204,5,FALSE),0))</f>
        <v/>
      </c>
      <c r="N975" s="21">
        <f>IF(B975="","",J975-K975-L975-M975-I975)</f>
        <v/>
      </c>
    </row>
    <row r="976">
      <c r="B976" s="11" t="n"/>
      <c r="C976" s="8" t="n"/>
      <c r="D976" s="8" t="n"/>
      <c r="E976" s="8" t="n"/>
      <c r="F976" s="20" t="n"/>
      <c r="G976" s="20" t="n"/>
      <c r="H976" s="8" t="n"/>
      <c r="I976" s="20" t="n"/>
      <c r="J976" s="21">
        <f>IF(B976="","",F976+G976)</f>
        <v/>
      </c>
      <c r="K976" s="21">
        <f>IF(B976="","",J976*(Settings!$C$11+Settings!$C$12+Settings!$C$14)+IF(C976="",Settings!$C$13,IF(COUNTIF($C$5:C976,C976)=1,Settings!$C$13,0))+E976*Settings!$C$15+IF(H976="Yes",J976*Settings!$C$16,0))</f>
        <v/>
      </c>
      <c r="L976" s="21">
        <f>IF(B976="","",IF(Settings!$C$5="Yes",0,K976*Settings!$C$17))</f>
        <v/>
      </c>
      <c r="M976" s="21">
        <f>IF(B976="","",E976*IFERROR(VLOOKUP(D976,Products!$B$5:$F$204,5,FALSE),0))</f>
        <v/>
      </c>
      <c r="N976" s="21">
        <f>IF(B976="","",J976-K976-L976-M976-I976)</f>
        <v/>
      </c>
    </row>
    <row r="977">
      <c r="B977" s="11" t="n"/>
      <c r="C977" s="8" t="n"/>
      <c r="D977" s="8" t="n"/>
      <c r="E977" s="8" t="n"/>
      <c r="F977" s="20" t="n"/>
      <c r="G977" s="20" t="n"/>
      <c r="H977" s="8" t="n"/>
      <c r="I977" s="20" t="n"/>
      <c r="J977" s="21">
        <f>IF(B977="","",F977+G977)</f>
        <v/>
      </c>
      <c r="K977" s="21">
        <f>IF(B977="","",J977*(Settings!$C$11+Settings!$C$12+Settings!$C$14)+IF(C977="",Settings!$C$13,IF(COUNTIF($C$5:C977,C977)=1,Settings!$C$13,0))+E977*Settings!$C$15+IF(H977="Yes",J977*Settings!$C$16,0))</f>
        <v/>
      </c>
      <c r="L977" s="21">
        <f>IF(B977="","",IF(Settings!$C$5="Yes",0,K977*Settings!$C$17))</f>
        <v/>
      </c>
      <c r="M977" s="21">
        <f>IF(B977="","",E977*IFERROR(VLOOKUP(D977,Products!$B$5:$F$204,5,FALSE),0))</f>
        <v/>
      </c>
      <c r="N977" s="21">
        <f>IF(B977="","",J977-K977-L977-M977-I977)</f>
        <v/>
      </c>
    </row>
    <row r="978">
      <c r="B978" s="11" t="n"/>
      <c r="C978" s="8" t="n"/>
      <c r="D978" s="8" t="n"/>
      <c r="E978" s="8" t="n"/>
      <c r="F978" s="20" t="n"/>
      <c r="G978" s="20" t="n"/>
      <c r="H978" s="8" t="n"/>
      <c r="I978" s="20" t="n"/>
      <c r="J978" s="21">
        <f>IF(B978="","",F978+G978)</f>
        <v/>
      </c>
      <c r="K978" s="21">
        <f>IF(B978="","",J978*(Settings!$C$11+Settings!$C$12+Settings!$C$14)+IF(C978="",Settings!$C$13,IF(COUNTIF($C$5:C978,C978)=1,Settings!$C$13,0))+E978*Settings!$C$15+IF(H978="Yes",J978*Settings!$C$16,0))</f>
        <v/>
      </c>
      <c r="L978" s="21">
        <f>IF(B978="","",IF(Settings!$C$5="Yes",0,K978*Settings!$C$17))</f>
        <v/>
      </c>
      <c r="M978" s="21">
        <f>IF(B978="","",E978*IFERROR(VLOOKUP(D978,Products!$B$5:$F$204,5,FALSE),0))</f>
        <v/>
      </c>
      <c r="N978" s="21">
        <f>IF(B978="","",J978-K978-L978-M978-I978)</f>
        <v/>
      </c>
    </row>
    <row r="979">
      <c r="B979" s="11" t="n"/>
      <c r="C979" s="8" t="n"/>
      <c r="D979" s="8" t="n"/>
      <c r="E979" s="8" t="n"/>
      <c r="F979" s="20" t="n"/>
      <c r="G979" s="20" t="n"/>
      <c r="H979" s="8" t="n"/>
      <c r="I979" s="20" t="n"/>
      <c r="J979" s="21">
        <f>IF(B979="","",F979+G979)</f>
        <v/>
      </c>
      <c r="K979" s="21">
        <f>IF(B979="","",J979*(Settings!$C$11+Settings!$C$12+Settings!$C$14)+IF(C979="",Settings!$C$13,IF(COUNTIF($C$5:C979,C979)=1,Settings!$C$13,0))+E979*Settings!$C$15+IF(H979="Yes",J979*Settings!$C$16,0))</f>
        <v/>
      </c>
      <c r="L979" s="21">
        <f>IF(B979="","",IF(Settings!$C$5="Yes",0,K979*Settings!$C$17))</f>
        <v/>
      </c>
      <c r="M979" s="21">
        <f>IF(B979="","",E979*IFERROR(VLOOKUP(D979,Products!$B$5:$F$204,5,FALSE),0))</f>
        <v/>
      </c>
      <c r="N979" s="21">
        <f>IF(B979="","",J979-K979-L979-M979-I979)</f>
        <v/>
      </c>
    </row>
    <row r="980">
      <c r="B980" s="11" t="n"/>
      <c r="C980" s="8" t="n"/>
      <c r="D980" s="8" t="n"/>
      <c r="E980" s="8" t="n"/>
      <c r="F980" s="20" t="n"/>
      <c r="G980" s="20" t="n"/>
      <c r="H980" s="8" t="n"/>
      <c r="I980" s="20" t="n"/>
      <c r="J980" s="21">
        <f>IF(B980="","",F980+G980)</f>
        <v/>
      </c>
      <c r="K980" s="21">
        <f>IF(B980="","",J980*(Settings!$C$11+Settings!$C$12+Settings!$C$14)+IF(C980="",Settings!$C$13,IF(COUNTIF($C$5:C980,C980)=1,Settings!$C$13,0))+E980*Settings!$C$15+IF(H980="Yes",J980*Settings!$C$16,0))</f>
        <v/>
      </c>
      <c r="L980" s="21">
        <f>IF(B980="","",IF(Settings!$C$5="Yes",0,K980*Settings!$C$17))</f>
        <v/>
      </c>
      <c r="M980" s="21">
        <f>IF(B980="","",E980*IFERROR(VLOOKUP(D980,Products!$B$5:$F$204,5,FALSE),0))</f>
        <v/>
      </c>
      <c r="N980" s="21">
        <f>IF(B980="","",J980-K980-L980-M980-I980)</f>
        <v/>
      </c>
    </row>
    <row r="981">
      <c r="B981" s="11" t="n"/>
      <c r="C981" s="8" t="n"/>
      <c r="D981" s="8" t="n"/>
      <c r="E981" s="8" t="n"/>
      <c r="F981" s="20" t="n"/>
      <c r="G981" s="20" t="n"/>
      <c r="H981" s="8" t="n"/>
      <c r="I981" s="20" t="n"/>
      <c r="J981" s="21">
        <f>IF(B981="","",F981+G981)</f>
        <v/>
      </c>
      <c r="K981" s="21">
        <f>IF(B981="","",J981*(Settings!$C$11+Settings!$C$12+Settings!$C$14)+IF(C981="",Settings!$C$13,IF(COUNTIF($C$5:C981,C981)=1,Settings!$C$13,0))+E981*Settings!$C$15+IF(H981="Yes",J981*Settings!$C$16,0))</f>
        <v/>
      </c>
      <c r="L981" s="21">
        <f>IF(B981="","",IF(Settings!$C$5="Yes",0,K981*Settings!$C$17))</f>
        <v/>
      </c>
      <c r="M981" s="21">
        <f>IF(B981="","",E981*IFERROR(VLOOKUP(D981,Products!$B$5:$F$204,5,FALSE),0))</f>
        <v/>
      </c>
      <c r="N981" s="21">
        <f>IF(B981="","",J981-K981-L981-M981-I981)</f>
        <v/>
      </c>
    </row>
    <row r="982">
      <c r="B982" s="11" t="n"/>
      <c r="C982" s="8" t="n"/>
      <c r="D982" s="8" t="n"/>
      <c r="E982" s="8" t="n"/>
      <c r="F982" s="20" t="n"/>
      <c r="G982" s="20" t="n"/>
      <c r="H982" s="8" t="n"/>
      <c r="I982" s="20" t="n"/>
      <c r="J982" s="21">
        <f>IF(B982="","",F982+G982)</f>
        <v/>
      </c>
      <c r="K982" s="21">
        <f>IF(B982="","",J982*(Settings!$C$11+Settings!$C$12+Settings!$C$14)+IF(C982="",Settings!$C$13,IF(COUNTIF($C$5:C982,C982)=1,Settings!$C$13,0))+E982*Settings!$C$15+IF(H982="Yes",J982*Settings!$C$16,0))</f>
        <v/>
      </c>
      <c r="L982" s="21">
        <f>IF(B982="","",IF(Settings!$C$5="Yes",0,K982*Settings!$C$17))</f>
        <v/>
      </c>
      <c r="M982" s="21">
        <f>IF(B982="","",E982*IFERROR(VLOOKUP(D982,Products!$B$5:$F$204,5,FALSE),0))</f>
        <v/>
      </c>
      <c r="N982" s="21">
        <f>IF(B982="","",J982-K982-L982-M982-I982)</f>
        <v/>
      </c>
    </row>
    <row r="983">
      <c r="B983" s="11" t="n"/>
      <c r="C983" s="8" t="n"/>
      <c r="D983" s="8" t="n"/>
      <c r="E983" s="8" t="n"/>
      <c r="F983" s="20" t="n"/>
      <c r="G983" s="20" t="n"/>
      <c r="H983" s="8" t="n"/>
      <c r="I983" s="20" t="n"/>
      <c r="J983" s="21">
        <f>IF(B983="","",F983+G983)</f>
        <v/>
      </c>
      <c r="K983" s="21">
        <f>IF(B983="","",J983*(Settings!$C$11+Settings!$C$12+Settings!$C$14)+IF(C983="",Settings!$C$13,IF(COUNTIF($C$5:C983,C983)=1,Settings!$C$13,0))+E983*Settings!$C$15+IF(H983="Yes",J983*Settings!$C$16,0))</f>
        <v/>
      </c>
      <c r="L983" s="21">
        <f>IF(B983="","",IF(Settings!$C$5="Yes",0,K983*Settings!$C$17))</f>
        <v/>
      </c>
      <c r="M983" s="21">
        <f>IF(B983="","",E983*IFERROR(VLOOKUP(D983,Products!$B$5:$F$204,5,FALSE),0))</f>
        <v/>
      </c>
      <c r="N983" s="21">
        <f>IF(B983="","",J983-K983-L983-M983-I983)</f>
        <v/>
      </c>
    </row>
    <row r="984">
      <c r="B984" s="11" t="n"/>
      <c r="C984" s="8" t="n"/>
      <c r="D984" s="8" t="n"/>
      <c r="E984" s="8" t="n"/>
      <c r="F984" s="20" t="n"/>
      <c r="G984" s="20" t="n"/>
      <c r="H984" s="8" t="n"/>
      <c r="I984" s="20" t="n"/>
      <c r="J984" s="21">
        <f>IF(B984="","",F984+G984)</f>
        <v/>
      </c>
      <c r="K984" s="21">
        <f>IF(B984="","",J984*(Settings!$C$11+Settings!$C$12+Settings!$C$14)+IF(C984="",Settings!$C$13,IF(COUNTIF($C$5:C984,C984)=1,Settings!$C$13,0))+E984*Settings!$C$15+IF(H984="Yes",J984*Settings!$C$16,0))</f>
        <v/>
      </c>
      <c r="L984" s="21">
        <f>IF(B984="","",IF(Settings!$C$5="Yes",0,K984*Settings!$C$17))</f>
        <v/>
      </c>
      <c r="M984" s="21">
        <f>IF(B984="","",E984*IFERROR(VLOOKUP(D984,Products!$B$5:$F$204,5,FALSE),0))</f>
        <v/>
      </c>
      <c r="N984" s="21">
        <f>IF(B984="","",J984-K984-L984-M984-I984)</f>
        <v/>
      </c>
    </row>
    <row r="985">
      <c r="B985" s="11" t="n"/>
      <c r="C985" s="8" t="n"/>
      <c r="D985" s="8" t="n"/>
      <c r="E985" s="8" t="n"/>
      <c r="F985" s="20" t="n"/>
      <c r="G985" s="20" t="n"/>
      <c r="H985" s="8" t="n"/>
      <c r="I985" s="20" t="n"/>
      <c r="J985" s="21">
        <f>IF(B985="","",F985+G985)</f>
        <v/>
      </c>
      <c r="K985" s="21">
        <f>IF(B985="","",J985*(Settings!$C$11+Settings!$C$12+Settings!$C$14)+IF(C985="",Settings!$C$13,IF(COUNTIF($C$5:C985,C985)=1,Settings!$C$13,0))+E985*Settings!$C$15+IF(H985="Yes",J985*Settings!$C$16,0))</f>
        <v/>
      </c>
      <c r="L985" s="21">
        <f>IF(B985="","",IF(Settings!$C$5="Yes",0,K985*Settings!$C$17))</f>
        <v/>
      </c>
      <c r="M985" s="21">
        <f>IF(B985="","",E985*IFERROR(VLOOKUP(D985,Products!$B$5:$F$204,5,FALSE),0))</f>
        <v/>
      </c>
      <c r="N985" s="21">
        <f>IF(B985="","",J985-K985-L985-M985-I985)</f>
        <v/>
      </c>
    </row>
    <row r="986">
      <c r="B986" s="11" t="n"/>
      <c r="C986" s="8" t="n"/>
      <c r="D986" s="8" t="n"/>
      <c r="E986" s="8" t="n"/>
      <c r="F986" s="20" t="n"/>
      <c r="G986" s="20" t="n"/>
      <c r="H986" s="8" t="n"/>
      <c r="I986" s="20" t="n"/>
      <c r="J986" s="21">
        <f>IF(B986="","",F986+G986)</f>
        <v/>
      </c>
      <c r="K986" s="21">
        <f>IF(B986="","",J986*(Settings!$C$11+Settings!$C$12+Settings!$C$14)+IF(C986="",Settings!$C$13,IF(COUNTIF($C$5:C986,C986)=1,Settings!$C$13,0))+E986*Settings!$C$15+IF(H986="Yes",J986*Settings!$C$16,0))</f>
        <v/>
      </c>
      <c r="L986" s="21">
        <f>IF(B986="","",IF(Settings!$C$5="Yes",0,K986*Settings!$C$17))</f>
        <v/>
      </c>
      <c r="M986" s="21">
        <f>IF(B986="","",E986*IFERROR(VLOOKUP(D986,Products!$B$5:$F$204,5,FALSE),0))</f>
        <v/>
      </c>
      <c r="N986" s="21">
        <f>IF(B986="","",J986-K986-L986-M986-I986)</f>
        <v/>
      </c>
    </row>
    <row r="987">
      <c r="B987" s="11" t="n"/>
      <c r="C987" s="8" t="n"/>
      <c r="D987" s="8" t="n"/>
      <c r="E987" s="8" t="n"/>
      <c r="F987" s="20" t="n"/>
      <c r="G987" s="20" t="n"/>
      <c r="H987" s="8" t="n"/>
      <c r="I987" s="20" t="n"/>
      <c r="J987" s="21">
        <f>IF(B987="","",F987+G987)</f>
        <v/>
      </c>
      <c r="K987" s="21">
        <f>IF(B987="","",J987*(Settings!$C$11+Settings!$C$12+Settings!$C$14)+IF(C987="",Settings!$C$13,IF(COUNTIF($C$5:C987,C987)=1,Settings!$C$13,0))+E987*Settings!$C$15+IF(H987="Yes",J987*Settings!$C$16,0))</f>
        <v/>
      </c>
      <c r="L987" s="21">
        <f>IF(B987="","",IF(Settings!$C$5="Yes",0,K987*Settings!$C$17))</f>
        <v/>
      </c>
      <c r="M987" s="21">
        <f>IF(B987="","",E987*IFERROR(VLOOKUP(D987,Products!$B$5:$F$204,5,FALSE),0))</f>
        <v/>
      </c>
      <c r="N987" s="21">
        <f>IF(B987="","",J987-K987-L987-M987-I987)</f>
        <v/>
      </c>
    </row>
    <row r="988">
      <c r="B988" s="11" t="n"/>
      <c r="C988" s="8" t="n"/>
      <c r="D988" s="8" t="n"/>
      <c r="E988" s="8" t="n"/>
      <c r="F988" s="20" t="n"/>
      <c r="G988" s="20" t="n"/>
      <c r="H988" s="8" t="n"/>
      <c r="I988" s="20" t="n"/>
      <c r="J988" s="21">
        <f>IF(B988="","",F988+G988)</f>
        <v/>
      </c>
      <c r="K988" s="21">
        <f>IF(B988="","",J988*(Settings!$C$11+Settings!$C$12+Settings!$C$14)+IF(C988="",Settings!$C$13,IF(COUNTIF($C$5:C988,C988)=1,Settings!$C$13,0))+E988*Settings!$C$15+IF(H988="Yes",J988*Settings!$C$16,0))</f>
        <v/>
      </c>
      <c r="L988" s="21">
        <f>IF(B988="","",IF(Settings!$C$5="Yes",0,K988*Settings!$C$17))</f>
        <v/>
      </c>
      <c r="M988" s="21">
        <f>IF(B988="","",E988*IFERROR(VLOOKUP(D988,Products!$B$5:$F$204,5,FALSE),0))</f>
        <v/>
      </c>
      <c r="N988" s="21">
        <f>IF(B988="","",J988-K988-L988-M988-I988)</f>
        <v/>
      </c>
    </row>
    <row r="989">
      <c r="B989" s="11" t="n"/>
      <c r="C989" s="8" t="n"/>
      <c r="D989" s="8" t="n"/>
      <c r="E989" s="8" t="n"/>
      <c r="F989" s="20" t="n"/>
      <c r="G989" s="20" t="n"/>
      <c r="H989" s="8" t="n"/>
      <c r="I989" s="20" t="n"/>
      <c r="J989" s="21">
        <f>IF(B989="","",F989+G989)</f>
        <v/>
      </c>
      <c r="K989" s="21">
        <f>IF(B989="","",J989*(Settings!$C$11+Settings!$C$12+Settings!$C$14)+IF(C989="",Settings!$C$13,IF(COUNTIF($C$5:C989,C989)=1,Settings!$C$13,0))+E989*Settings!$C$15+IF(H989="Yes",J989*Settings!$C$16,0))</f>
        <v/>
      </c>
      <c r="L989" s="21">
        <f>IF(B989="","",IF(Settings!$C$5="Yes",0,K989*Settings!$C$17))</f>
        <v/>
      </c>
      <c r="M989" s="21">
        <f>IF(B989="","",E989*IFERROR(VLOOKUP(D989,Products!$B$5:$F$204,5,FALSE),0))</f>
        <v/>
      </c>
      <c r="N989" s="21">
        <f>IF(B989="","",J989-K989-L989-M989-I989)</f>
        <v/>
      </c>
    </row>
    <row r="990">
      <c r="B990" s="11" t="n"/>
      <c r="C990" s="8" t="n"/>
      <c r="D990" s="8" t="n"/>
      <c r="E990" s="8" t="n"/>
      <c r="F990" s="20" t="n"/>
      <c r="G990" s="20" t="n"/>
      <c r="H990" s="8" t="n"/>
      <c r="I990" s="20" t="n"/>
      <c r="J990" s="21">
        <f>IF(B990="","",F990+G990)</f>
        <v/>
      </c>
      <c r="K990" s="21">
        <f>IF(B990="","",J990*(Settings!$C$11+Settings!$C$12+Settings!$C$14)+IF(C990="",Settings!$C$13,IF(COUNTIF($C$5:C990,C990)=1,Settings!$C$13,0))+E990*Settings!$C$15+IF(H990="Yes",J990*Settings!$C$16,0))</f>
        <v/>
      </c>
      <c r="L990" s="21">
        <f>IF(B990="","",IF(Settings!$C$5="Yes",0,K990*Settings!$C$17))</f>
        <v/>
      </c>
      <c r="M990" s="21">
        <f>IF(B990="","",E990*IFERROR(VLOOKUP(D990,Products!$B$5:$F$204,5,FALSE),0))</f>
        <v/>
      </c>
      <c r="N990" s="21">
        <f>IF(B990="","",J990-K990-L990-M990-I990)</f>
        <v/>
      </c>
    </row>
    <row r="991">
      <c r="B991" s="11" t="n"/>
      <c r="C991" s="8" t="n"/>
      <c r="D991" s="8" t="n"/>
      <c r="E991" s="8" t="n"/>
      <c r="F991" s="20" t="n"/>
      <c r="G991" s="20" t="n"/>
      <c r="H991" s="8" t="n"/>
      <c r="I991" s="20" t="n"/>
      <c r="J991" s="21">
        <f>IF(B991="","",F991+G991)</f>
        <v/>
      </c>
      <c r="K991" s="21">
        <f>IF(B991="","",J991*(Settings!$C$11+Settings!$C$12+Settings!$C$14)+IF(C991="",Settings!$C$13,IF(COUNTIF($C$5:C991,C991)=1,Settings!$C$13,0))+E991*Settings!$C$15+IF(H991="Yes",J991*Settings!$C$16,0))</f>
        <v/>
      </c>
      <c r="L991" s="21">
        <f>IF(B991="","",IF(Settings!$C$5="Yes",0,K991*Settings!$C$17))</f>
        <v/>
      </c>
      <c r="M991" s="21">
        <f>IF(B991="","",E991*IFERROR(VLOOKUP(D991,Products!$B$5:$F$204,5,FALSE),0))</f>
        <v/>
      </c>
      <c r="N991" s="21">
        <f>IF(B991="","",J991-K991-L991-M991-I991)</f>
        <v/>
      </c>
    </row>
    <row r="992">
      <c r="B992" s="11" t="n"/>
      <c r="C992" s="8" t="n"/>
      <c r="D992" s="8" t="n"/>
      <c r="E992" s="8" t="n"/>
      <c r="F992" s="20" t="n"/>
      <c r="G992" s="20" t="n"/>
      <c r="H992" s="8" t="n"/>
      <c r="I992" s="20" t="n"/>
      <c r="J992" s="21">
        <f>IF(B992="","",F992+G992)</f>
        <v/>
      </c>
      <c r="K992" s="21">
        <f>IF(B992="","",J992*(Settings!$C$11+Settings!$C$12+Settings!$C$14)+IF(C992="",Settings!$C$13,IF(COUNTIF($C$5:C992,C992)=1,Settings!$C$13,0))+E992*Settings!$C$15+IF(H992="Yes",J992*Settings!$C$16,0))</f>
        <v/>
      </c>
      <c r="L992" s="21">
        <f>IF(B992="","",IF(Settings!$C$5="Yes",0,K992*Settings!$C$17))</f>
        <v/>
      </c>
      <c r="M992" s="21">
        <f>IF(B992="","",E992*IFERROR(VLOOKUP(D992,Products!$B$5:$F$204,5,FALSE),0))</f>
        <v/>
      </c>
      <c r="N992" s="21">
        <f>IF(B992="","",J992-K992-L992-M992-I992)</f>
        <v/>
      </c>
    </row>
    <row r="993">
      <c r="B993" s="11" t="n"/>
      <c r="C993" s="8" t="n"/>
      <c r="D993" s="8" t="n"/>
      <c r="E993" s="8" t="n"/>
      <c r="F993" s="20" t="n"/>
      <c r="G993" s="20" t="n"/>
      <c r="H993" s="8" t="n"/>
      <c r="I993" s="20" t="n"/>
      <c r="J993" s="21">
        <f>IF(B993="","",F993+G993)</f>
        <v/>
      </c>
      <c r="K993" s="21">
        <f>IF(B993="","",J993*(Settings!$C$11+Settings!$C$12+Settings!$C$14)+IF(C993="",Settings!$C$13,IF(COUNTIF($C$5:C993,C993)=1,Settings!$C$13,0))+E993*Settings!$C$15+IF(H993="Yes",J993*Settings!$C$16,0))</f>
        <v/>
      </c>
      <c r="L993" s="21">
        <f>IF(B993="","",IF(Settings!$C$5="Yes",0,K993*Settings!$C$17))</f>
        <v/>
      </c>
      <c r="M993" s="21">
        <f>IF(B993="","",E993*IFERROR(VLOOKUP(D993,Products!$B$5:$F$204,5,FALSE),0))</f>
        <v/>
      </c>
      <c r="N993" s="21">
        <f>IF(B993="","",J993-K993-L993-M993-I993)</f>
        <v/>
      </c>
    </row>
    <row r="994">
      <c r="B994" s="11" t="n"/>
      <c r="C994" s="8" t="n"/>
      <c r="D994" s="8" t="n"/>
      <c r="E994" s="8" t="n"/>
      <c r="F994" s="20" t="n"/>
      <c r="G994" s="20" t="n"/>
      <c r="H994" s="8" t="n"/>
      <c r="I994" s="20" t="n"/>
      <c r="J994" s="21">
        <f>IF(B994="","",F994+G994)</f>
        <v/>
      </c>
      <c r="K994" s="21">
        <f>IF(B994="","",J994*(Settings!$C$11+Settings!$C$12+Settings!$C$14)+IF(C994="",Settings!$C$13,IF(COUNTIF($C$5:C994,C994)=1,Settings!$C$13,0))+E994*Settings!$C$15+IF(H994="Yes",J994*Settings!$C$16,0))</f>
        <v/>
      </c>
      <c r="L994" s="21">
        <f>IF(B994="","",IF(Settings!$C$5="Yes",0,K994*Settings!$C$17))</f>
        <v/>
      </c>
      <c r="M994" s="21">
        <f>IF(B994="","",E994*IFERROR(VLOOKUP(D994,Products!$B$5:$F$204,5,FALSE),0))</f>
        <v/>
      </c>
      <c r="N994" s="21">
        <f>IF(B994="","",J994-K994-L994-M994-I994)</f>
        <v/>
      </c>
    </row>
    <row r="995">
      <c r="B995" s="11" t="n"/>
      <c r="C995" s="8" t="n"/>
      <c r="D995" s="8" t="n"/>
      <c r="E995" s="8" t="n"/>
      <c r="F995" s="20" t="n"/>
      <c r="G995" s="20" t="n"/>
      <c r="H995" s="8" t="n"/>
      <c r="I995" s="20" t="n"/>
      <c r="J995" s="21">
        <f>IF(B995="","",F995+G995)</f>
        <v/>
      </c>
      <c r="K995" s="21">
        <f>IF(B995="","",J995*(Settings!$C$11+Settings!$C$12+Settings!$C$14)+IF(C995="",Settings!$C$13,IF(COUNTIF($C$5:C995,C995)=1,Settings!$C$13,0))+E995*Settings!$C$15+IF(H995="Yes",J995*Settings!$C$16,0))</f>
        <v/>
      </c>
      <c r="L995" s="21">
        <f>IF(B995="","",IF(Settings!$C$5="Yes",0,K995*Settings!$C$17))</f>
        <v/>
      </c>
      <c r="M995" s="21">
        <f>IF(B995="","",E995*IFERROR(VLOOKUP(D995,Products!$B$5:$F$204,5,FALSE),0))</f>
        <v/>
      </c>
      <c r="N995" s="21">
        <f>IF(B995="","",J995-K995-L995-M995-I995)</f>
        <v/>
      </c>
    </row>
    <row r="996">
      <c r="B996" s="11" t="n"/>
      <c r="C996" s="8" t="n"/>
      <c r="D996" s="8" t="n"/>
      <c r="E996" s="8" t="n"/>
      <c r="F996" s="20" t="n"/>
      <c r="G996" s="20" t="n"/>
      <c r="H996" s="8" t="n"/>
      <c r="I996" s="20" t="n"/>
      <c r="J996" s="21">
        <f>IF(B996="","",F996+G996)</f>
        <v/>
      </c>
      <c r="K996" s="21">
        <f>IF(B996="","",J996*(Settings!$C$11+Settings!$C$12+Settings!$C$14)+IF(C996="",Settings!$C$13,IF(COUNTIF($C$5:C996,C996)=1,Settings!$C$13,0))+E996*Settings!$C$15+IF(H996="Yes",J996*Settings!$C$16,0))</f>
        <v/>
      </c>
      <c r="L996" s="21">
        <f>IF(B996="","",IF(Settings!$C$5="Yes",0,K996*Settings!$C$17))</f>
        <v/>
      </c>
      <c r="M996" s="21">
        <f>IF(B996="","",E996*IFERROR(VLOOKUP(D996,Products!$B$5:$F$204,5,FALSE),0))</f>
        <v/>
      </c>
      <c r="N996" s="21">
        <f>IF(B996="","",J996-K996-L996-M996-I996)</f>
        <v/>
      </c>
    </row>
    <row r="997">
      <c r="B997" s="11" t="n"/>
      <c r="C997" s="8" t="n"/>
      <c r="D997" s="8" t="n"/>
      <c r="E997" s="8" t="n"/>
      <c r="F997" s="20" t="n"/>
      <c r="G997" s="20" t="n"/>
      <c r="H997" s="8" t="n"/>
      <c r="I997" s="20" t="n"/>
      <c r="J997" s="21">
        <f>IF(B997="","",F997+G997)</f>
        <v/>
      </c>
      <c r="K997" s="21">
        <f>IF(B997="","",J997*(Settings!$C$11+Settings!$C$12+Settings!$C$14)+IF(C997="",Settings!$C$13,IF(COUNTIF($C$5:C997,C997)=1,Settings!$C$13,0))+E997*Settings!$C$15+IF(H997="Yes",J997*Settings!$C$16,0))</f>
        <v/>
      </c>
      <c r="L997" s="21">
        <f>IF(B997="","",IF(Settings!$C$5="Yes",0,K997*Settings!$C$17))</f>
        <v/>
      </c>
      <c r="M997" s="21">
        <f>IF(B997="","",E997*IFERROR(VLOOKUP(D997,Products!$B$5:$F$204,5,FALSE),0))</f>
        <v/>
      </c>
      <c r="N997" s="21">
        <f>IF(B997="","",J997-K997-L997-M997-I997)</f>
        <v/>
      </c>
    </row>
    <row r="998">
      <c r="B998" s="11" t="n"/>
      <c r="C998" s="8" t="n"/>
      <c r="D998" s="8" t="n"/>
      <c r="E998" s="8" t="n"/>
      <c r="F998" s="20" t="n"/>
      <c r="G998" s="20" t="n"/>
      <c r="H998" s="8" t="n"/>
      <c r="I998" s="20" t="n"/>
      <c r="J998" s="21">
        <f>IF(B998="","",F998+G998)</f>
        <v/>
      </c>
      <c r="K998" s="21">
        <f>IF(B998="","",J998*(Settings!$C$11+Settings!$C$12+Settings!$C$14)+IF(C998="",Settings!$C$13,IF(COUNTIF($C$5:C998,C998)=1,Settings!$C$13,0))+E998*Settings!$C$15+IF(H998="Yes",J998*Settings!$C$16,0))</f>
        <v/>
      </c>
      <c r="L998" s="21">
        <f>IF(B998="","",IF(Settings!$C$5="Yes",0,K998*Settings!$C$17))</f>
        <v/>
      </c>
      <c r="M998" s="21">
        <f>IF(B998="","",E998*IFERROR(VLOOKUP(D998,Products!$B$5:$F$204,5,FALSE),0))</f>
        <v/>
      </c>
      <c r="N998" s="21">
        <f>IF(B998="","",J998-K998-L998-M998-I998)</f>
        <v/>
      </c>
    </row>
    <row r="999">
      <c r="B999" s="11" t="n"/>
      <c r="C999" s="8" t="n"/>
      <c r="D999" s="8" t="n"/>
      <c r="E999" s="8" t="n"/>
      <c r="F999" s="20" t="n"/>
      <c r="G999" s="20" t="n"/>
      <c r="H999" s="8" t="n"/>
      <c r="I999" s="20" t="n"/>
      <c r="J999" s="21">
        <f>IF(B999="","",F999+G999)</f>
        <v/>
      </c>
      <c r="K999" s="21">
        <f>IF(B999="","",J999*(Settings!$C$11+Settings!$C$12+Settings!$C$14)+IF(C999="",Settings!$C$13,IF(COUNTIF($C$5:C999,C999)=1,Settings!$C$13,0))+E999*Settings!$C$15+IF(H999="Yes",J999*Settings!$C$16,0))</f>
        <v/>
      </c>
      <c r="L999" s="21">
        <f>IF(B999="","",IF(Settings!$C$5="Yes",0,K999*Settings!$C$17))</f>
        <v/>
      </c>
      <c r="M999" s="21">
        <f>IF(B999="","",E999*IFERROR(VLOOKUP(D999,Products!$B$5:$F$204,5,FALSE),0))</f>
        <v/>
      </c>
      <c r="N999" s="21">
        <f>IF(B999="","",J999-K999-L999-M999-I999)</f>
        <v/>
      </c>
    </row>
    <row r="1000">
      <c r="B1000" s="11" t="n"/>
      <c r="C1000" s="8" t="n"/>
      <c r="D1000" s="8" t="n"/>
      <c r="E1000" s="8" t="n"/>
      <c r="F1000" s="20" t="n"/>
      <c r="G1000" s="20" t="n"/>
      <c r="H1000" s="8" t="n"/>
      <c r="I1000" s="20" t="n"/>
      <c r="J1000" s="21">
        <f>IF(B1000="","",F1000+G1000)</f>
        <v/>
      </c>
      <c r="K1000" s="21">
        <f>IF(B1000="","",J1000*(Settings!$C$11+Settings!$C$12+Settings!$C$14)+IF(C1000="",Settings!$C$13,IF(COUNTIF($C$5:C1000,C1000)=1,Settings!$C$13,0))+E1000*Settings!$C$15+IF(H1000="Yes",J1000*Settings!$C$16,0))</f>
        <v/>
      </c>
      <c r="L1000" s="21">
        <f>IF(B1000="","",IF(Settings!$C$5="Yes",0,K1000*Settings!$C$17))</f>
        <v/>
      </c>
      <c r="M1000" s="21">
        <f>IF(B1000="","",E1000*IFERROR(VLOOKUP(D1000,Products!$B$5:$F$204,5,FALSE),0))</f>
        <v/>
      </c>
      <c r="N1000" s="21">
        <f>IF(B1000="","",J1000-K1000-L1000-M1000-I1000)</f>
        <v/>
      </c>
    </row>
    <row r="1001">
      <c r="B1001" s="11" t="n"/>
      <c r="C1001" s="8" t="n"/>
      <c r="D1001" s="8" t="n"/>
      <c r="E1001" s="8" t="n"/>
      <c r="F1001" s="20" t="n"/>
      <c r="G1001" s="20" t="n"/>
      <c r="H1001" s="8" t="n"/>
      <c r="I1001" s="20" t="n"/>
      <c r="J1001" s="21">
        <f>IF(B1001="","",F1001+G1001)</f>
        <v/>
      </c>
      <c r="K1001" s="21">
        <f>IF(B1001="","",J1001*(Settings!$C$11+Settings!$C$12+Settings!$C$14)+IF(C1001="",Settings!$C$13,IF(COUNTIF($C$5:C1001,C1001)=1,Settings!$C$13,0))+E1001*Settings!$C$15+IF(H1001="Yes",J1001*Settings!$C$16,0))</f>
        <v/>
      </c>
      <c r="L1001" s="21">
        <f>IF(B1001="","",IF(Settings!$C$5="Yes",0,K1001*Settings!$C$17))</f>
        <v/>
      </c>
      <c r="M1001" s="21">
        <f>IF(B1001="","",E1001*IFERROR(VLOOKUP(D1001,Products!$B$5:$F$204,5,FALSE),0))</f>
        <v/>
      </c>
      <c r="N1001" s="21">
        <f>IF(B1001="","",J1001-K1001-L1001-M1001-I1001)</f>
        <v/>
      </c>
    </row>
    <row r="1002">
      <c r="B1002" s="11" t="n"/>
      <c r="C1002" s="8" t="n"/>
      <c r="D1002" s="8" t="n"/>
      <c r="E1002" s="8" t="n"/>
      <c r="F1002" s="20" t="n"/>
      <c r="G1002" s="20" t="n"/>
      <c r="H1002" s="8" t="n"/>
      <c r="I1002" s="20" t="n"/>
      <c r="J1002" s="21">
        <f>IF(B1002="","",F1002+G1002)</f>
        <v/>
      </c>
      <c r="K1002" s="21">
        <f>IF(B1002="","",J1002*(Settings!$C$11+Settings!$C$12+Settings!$C$14)+IF(C1002="",Settings!$C$13,IF(COUNTIF($C$5:C1002,C1002)=1,Settings!$C$13,0))+E1002*Settings!$C$15+IF(H1002="Yes",J1002*Settings!$C$16,0))</f>
        <v/>
      </c>
      <c r="L1002" s="21">
        <f>IF(B1002="","",IF(Settings!$C$5="Yes",0,K1002*Settings!$C$17))</f>
        <v/>
      </c>
      <c r="M1002" s="21">
        <f>IF(B1002="","",E1002*IFERROR(VLOOKUP(D1002,Products!$B$5:$F$204,5,FALSE),0))</f>
        <v/>
      </c>
      <c r="N1002" s="21">
        <f>IF(B1002="","",J1002-K1002-L1002-M1002-I1002)</f>
        <v/>
      </c>
    </row>
    <row r="1003">
      <c r="B1003" s="11" t="n"/>
      <c r="C1003" s="8" t="n"/>
      <c r="D1003" s="8" t="n"/>
      <c r="E1003" s="8" t="n"/>
      <c r="F1003" s="20" t="n"/>
      <c r="G1003" s="20" t="n"/>
      <c r="H1003" s="8" t="n"/>
      <c r="I1003" s="20" t="n"/>
      <c r="J1003" s="21">
        <f>IF(B1003="","",F1003+G1003)</f>
        <v/>
      </c>
      <c r="K1003" s="21">
        <f>IF(B1003="","",J1003*(Settings!$C$11+Settings!$C$12+Settings!$C$14)+IF(C1003="",Settings!$C$13,IF(COUNTIF($C$5:C1003,C1003)=1,Settings!$C$13,0))+E1003*Settings!$C$15+IF(H1003="Yes",J1003*Settings!$C$16,0))</f>
        <v/>
      </c>
      <c r="L1003" s="21">
        <f>IF(B1003="","",IF(Settings!$C$5="Yes",0,K1003*Settings!$C$17))</f>
        <v/>
      </c>
      <c r="M1003" s="21">
        <f>IF(B1003="","",E1003*IFERROR(VLOOKUP(D1003,Products!$B$5:$F$204,5,FALSE),0))</f>
        <v/>
      </c>
      <c r="N1003" s="21">
        <f>IF(B1003="","",J1003-K1003-L1003-M1003-I1003)</f>
        <v/>
      </c>
    </row>
    <row r="1004">
      <c r="B1004" s="11" t="n"/>
      <c r="C1004" s="8" t="n"/>
      <c r="D1004" s="8" t="n"/>
      <c r="E1004" s="8" t="n"/>
      <c r="F1004" s="20" t="n"/>
      <c r="G1004" s="20" t="n"/>
      <c r="H1004" s="8" t="n"/>
      <c r="I1004" s="20" t="n"/>
      <c r="J1004" s="21">
        <f>IF(B1004="","",F1004+G1004)</f>
        <v/>
      </c>
      <c r="K1004" s="21">
        <f>IF(B1004="","",J1004*(Settings!$C$11+Settings!$C$12+Settings!$C$14)+IF(C1004="",Settings!$C$13,IF(COUNTIF($C$5:C1004,C1004)=1,Settings!$C$13,0))+E1004*Settings!$C$15+IF(H1004="Yes",J1004*Settings!$C$16,0))</f>
        <v/>
      </c>
      <c r="L1004" s="21">
        <f>IF(B1004="","",IF(Settings!$C$5="Yes",0,K1004*Settings!$C$17))</f>
        <v/>
      </c>
      <c r="M1004" s="21">
        <f>IF(B1004="","",E1004*IFERROR(VLOOKUP(D1004,Products!$B$5:$F$204,5,FALSE),0))</f>
        <v/>
      </c>
      <c r="N1004" s="21">
        <f>IF(B1004="","",J1004-K1004-L1004-M1004-I1004)</f>
        <v/>
      </c>
    </row>
    <row r="1005">
      <c r="B1005" s="11" t="n"/>
      <c r="C1005" s="8" t="n"/>
      <c r="D1005" s="8" t="n"/>
      <c r="E1005" s="8" t="n"/>
      <c r="F1005" s="20" t="n"/>
      <c r="G1005" s="20" t="n"/>
      <c r="H1005" s="8" t="n"/>
      <c r="I1005" s="20" t="n"/>
      <c r="J1005" s="21">
        <f>IF(B1005="","",F1005+G1005)</f>
        <v/>
      </c>
      <c r="K1005" s="21">
        <f>IF(B1005="","",J1005*(Settings!$C$11+Settings!$C$12+Settings!$C$14)+IF(C1005="",Settings!$C$13,IF(COUNTIF($C$5:C1005,C1005)=1,Settings!$C$13,0))+E1005*Settings!$C$15+IF(H1005="Yes",J1005*Settings!$C$16,0))</f>
        <v/>
      </c>
      <c r="L1005" s="21">
        <f>IF(B1005="","",IF(Settings!$C$5="Yes",0,K1005*Settings!$C$17))</f>
        <v/>
      </c>
      <c r="M1005" s="21">
        <f>IF(B1005="","",E1005*IFERROR(VLOOKUP(D1005,Products!$B$5:$F$204,5,FALSE),0))</f>
        <v/>
      </c>
      <c r="N1005" s="21">
        <f>IF(B1005="","",J1005-K1005-L1005-M1005-I1005)</f>
        <v/>
      </c>
    </row>
    <row r="1006">
      <c r="B1006" s="11" t="n"/>
      <c r="C1006" s="8" t="n"/>
      <c r="D1006" s="8" t="n"/>
      <c r="E1006" s="8" t="n"/>
      <c r="F1006" s="20" t="n"/>
      <c r="G1006" s="20" t="n"/>
      <c r="H1006" s="8" t="n"/>
      <c r="I1006" s="20" t="n"/>
      <c r="J1006" s="21">
        <f>IF(B1006="","",F1006+G1006)</f>
        <v/>
      </c>
      <c r="K1006" s="21">
        <f>IF(B1006="","",J1006*(Settings!$C$11+Settings!$C$12+Settings!$C$14)+IF(C1006="",Settings!$C$13,IF(COUNTIF($C$5:C1006,C1006)=1,Settings!$C$13,0))+E1006*Settings!$C$15+IF(H1006="Yes",J1006*Settings!$C$16,0))</f>
        <v/>
      </c>
      <c r="L1006" s="21">
        <f>IF(B1006="","",IF(Settings!$C$5="Yes",0,K1006*Settings!$C$17))</f>
        <v/>
      </c>
      <c r="M1006" s="21">
        <f>IF(B1006="","",E1006*IFERROR(VLOOKUP(D1006,Products!$B$5:$F$204,5,FALSE),0))</f>
        <v/>
      </c>
      <c r="N1006" s="21">
        <f>IF(B1006="","",J1006-K1006-L1006-M1006-I1006)</f>
        <v/>
      </c>
    </row>
    <row r="1007">
      <c r="B1007" s="11" t="n"/>
      <c r="C1007" s="8" t="n"/>
      <c r="D1007" s="8" t="n"/>
      <c r="E1007" s="8" t="n"/>
      <c r="F1007" s="20" t="n"/>
      <c r="G1007" s="20" t="n"/>
      <c r="H1007" s="8" t="n"/>
      <c r="I1007" s="20" t="n"/>
      <c r="J1007" s="21">
        <f>IF(B1007="","",F1007+G1007)</f>
        <v/>
      </c>
      <c r="K1007" s="21">
        <f>IF(B1007="","",J1007*(Settings!$C$11+Settings!$C$12+Settings!$C$14)+IF(C1007="",Settings!$C$13,IF(COUNTIF($C$5:C1007,C1007)=1,Settings!$C$13,0))+E1007*Settings!$C$15+IF(H1007="Yes",J1007*Settings!$C$16,0))</f>
        <v/>
      </c>
      <c r="L1007" s="21">
        <f>IF(B1007="","",IF(Settings!$C$5="Yes",0,K1007*Settings!$C$17))</f>
        <v/>
      </c>
      <c r="M1007" s="21">
        <f>IF(B1007="","",E1007*IFERROR(VLOOKUP(D1007,Products!$B$5:$F$204,5,FALSE),0))</f>
        <v/>
      </c>
      <c r="N1007" s="21">
        <f>IF(B1007="","",J1007-K1007-L1007-M1007-I1007)</f>
        <v/>
      </c>
    </row>
    <row r="1008">
      <c r="B1008" s="11" t="n"/>
      <c r="C1008" s="8" t="n"/>
      <c r="D1008" s="8" t="n"/>
      <c r="E1008" s="8" t="n"/>
      <c r="F1008" s="20" t="n"/>
      <c r="G1008" s="20" t="n"/>
      <c r="H1008" s="8" t="n"/>
      <c r="I1008" s="20" t="n"/>
      <c r="J1008" s="21">
        <f>IF(B1008="","",F1008+G1008)</f>
        <v/>
      </c>
      <c r="K1008" s="21">
        <f>IF(B1008="","",J1008*(Settings!$C$11+Settings!$C$12+Settings!$C$14)+IF(C1008="",Settings!$C$13,IF(COUNTIF($C$5:C1008,C1008)=1,Settings!$C$13,0))+E1008*Settings!$C$15+IF(H1008="Yes",J1008*Settings!$C$16,0))</f>
        <v/>
      </c>
      <c r="L1008" s="21">
        <f>IF(B1008="","",IF(Settings!$C$5="Yes",0,K1008*Settings!$C$17))</f>
        <v/>
      </c>
      <c r="M1008" s="21">
        <f>IF(B1008="","",E1008*IFERROR(VLOOKUP(D1008,Products!$B$5:$F$204,5,FALSE),0))</f>
        <v/>
      </c>
      <c r="N1008" s="21">
        <f>IF(B1008="","",J1008-K1008-L1008-M1008-I1008)</f>
        <v/>
      </c>
    </row>
    <row r="1009">
      <c r="B1009" s="11" t="n"/>
      <c r="C1009" s="8" t="n"/>
      <c r="D1009" s="8" t="n"/>
      <c r="E1009" s="8" t="n"/>
      <c r="F1009" s="20" t="n"/>
      <c r="G1009" s="20" t="n"/>
      <c r="H1009" s="8" t="n"/>
      <c r="I1009" s="20" t="n"/>
      <c r="J1009" s="21">
        <f>IF(B1009="","",F1009+G1009)</f>
        <v/>
      </c>
      <c r="K1009" s="21">
        <f>IF(B1009="","",J1009*(Settings!$C$11+Settings!$C$12+Settings!$C$14)+IF(C1009="",Settings!$C$13,IF(COUNTIF($C$5:C1009,C1009)=1,Settings!$C$13,0))+E1009*Settings!$C$15+IF(H1009="Yes",J1009*Settings!$C$16,0))</f>
        <v/>
      </c>
      <c r="L1009" s="21">
        <f>IF(B1009="","",IF(Settings!$C$5="Yes",0,K1009*Settings!$C$17))</f>
        <v/>
      </c>
      <c r="M1009" s="21">
        <f>IF(B1009="","",E1009*IFERROR(VLOOKUP(D1009,Products!$B$5:$F$204,5,FALSE),0))</f>
        <v/>
      </c>
      <c r="N1009" s="21">
        <f>IF(B1009="","",J1009-K1009-L1009-M1009-I1009)</f>
        <v/>
      </c>
    </row>
    <row r="1010">
      <c r="B1010" s="11" t="n"/>
      <c r="C1010" s="8" t="n"/>
      <c r="D1010" s="8" t="n"/>
      <c r="E1010" s="8" t="n"/>
      <c r="F1010" s="20" t="n"/>
      <c r="G1010" s="20" t="n"/>
      <c r="H1010" s="8" t="n"/>
      <c r="I1010" s="20" t="n"/>
      <c r="J1010" s="21">
        <f>IF(B1010="","",F1010+G1010)</f>
        <v/>
      </c>
      <c r="K1010" s="21">
        <f>IF(B1010="","",J1010*(Settings!$C$11+Settings!$C$12+Settings!$C$14)+IF(C1010="",Settings!$C$13,IF(COUNTIF($C$5:C1010,C1010)=1,Settings!$C$13,0))+E1010*Settings!$C$15+IF(H1010="Yes",J1010*Settings!$C$16,0))</f>
        <v/>
      </c>
      <c r="L1010" s="21">
        <f>IF(B1010="","",IF(Settings!$C$5="Yes",0,K1010*Settings!$C$17))</f>
        <v/>
      </c>
      <c r="M1010" s="21">
        <f>IF(B1010="","",E1010*IFERROR(VLOOKUP(D1010,Products!$B$5:$F$204,5,FALSE),0))</f>
        <v/>
      </c>
      <c r="N1010" s="21">
        <f>IF(B1010="","",J1010-K1010-L1010-M1010-I1010)</f>
        <v/>
      </c>
    </row>
    <row r="1011">
      <c r="B1011" s="11" t="n"/>
      <c r="C1011" s="8" t="n"/>
      <c r="D1011" s="8" t="n"/>
      <c r="E1011" s="8" t="n"/>
      <c r="F1011" s="20" t="n"/>
      <c r="G1011" s="20" t="n"/>
      <c r="H1011" s="8" t="n"/>
      <c r="I1011" s="20" t="n"/>
      <c r="J1011" s="21">
        <f>IF(B1011="","",F1011+G1011)</f>
        <v/>
      </c>
      <c r="K1011" s="21">
        <f>IF(B1011="","",J1011*(Settings!$C$11+Settings!$C$12+Settings!$C$14)+IF(C1011="",Settings!$C$13,IF(COUNTIF($C$5:C1011,C1011)=1,Settings!$C$13,0))+E1011*Settings!$C$15+IF(H1011="Yes",J1011*Settings!$C$16,0))</f>
        <v/>
      </c>
      <c r="L1011" s="21">
        <f>IF(B1011="","",IF(Settings!$C$5="Yes",0,K1011*Settings!$C$17))</f>
        <v/>
      </c>
      <c r="M1011" s="21">
        <f>IF(B1011="","",E1011*IFERROR(VLOOKUP(D1011,Products!$B$5:$F$204,5,FALSE),0))</f>
        <v/>
      </c>
      <c r="N1011" s="21">
        <f>IF(B1011="","",J1011-K1011-L1011-M1011-I1011)</f>
        <v/>
      </c>
    </row>
    <row r="1012">
      <c r="B1012" s="11" t="n"/>
      <c r="C1012" s="8" t="n"/>
      <c r="D1012" s="8" t="n"/>
      <c r="E1012" s="8" t="n"/>
      <c r="F1012" s="20" t="n"/>
      <c r="G1012" s="20" t="n"/>
      <c r="H1012" s="8" t="n"/>
      <c r="I1012" s="20" t="n"/>
      <c r="J1012" s="21">
        <f>IF(B1012="","",F1012+G1012)</f>
        <v/>
      </c>
      <c r="K1012" s="21">
        <f>IF(B1012="","",J1012*(Settings!$C$11+Settings!$C$12+Settings!$C$14)+IF(C1012="",Settings!$C$13,IF(COUNTIF($C$5:C1012,C1012)=1,Settings!$C$13,0))+E1012*Settings!$C$15+IF(H1012="Yes",J1012*Settings!$C$16,0))</f>
        <v/>
      </c>
      <c r="L1012" s="21">
        <f>IF(B1012="","",IF(Settings!$C$5="Yes",0,K1012*Settings!$C$17))</f>
        <v/>
      </c>
      <c r="M1012" s="21">
        <f>IF(B1012="","",E1012*IFERROR(VLOOKUP(D1012,Products!$B$5:$F$204,5,FALSE),0))</f>
        <v/>
      </c>
      <c r="N1012" s="21">
        <f>IF(B1012="","",J1012-K1012-L1012-M1012-I1012)</f>
        <v/>
      </c>
    </row>
    <row r="1013">
      <c r="B1013" s="11" t="n"/>
      <c r="C1013" s="8" t="n"/>
      <c r="D1013" s="8" t="n"/>
      <c r="E1013" s="8" t="n"/>
      <c r="F1013" s="20" t="n"/>
      <c r="G1013" s="20" t="n"/>
      <c r="H1013" s="8" t="n"/>
      <c r="I1013" s="20" t="n"/>
      <c r="J1013" s="21">
        <f>IF(B1013="","",F1013+G1013)</f>
        <v/>
      </c>
      <c r="K1013" s="21">
        <f>IF(B1013="","",J1013*(Settings!$C$11+Settings!$C$12+Settings!$C$14)+IF(C1013="",Settings!$C$13,IF(COUNTIF($C$5:C1013,C1013)=1,Settings!$C$13,0))+E1013*Settings!$C$15+IF(H1013="Yes",J1013*Settings!$C$16,0))</f>
        <v/>
      </c>
      <c r="L1013" s="21">
        <f>IF(B1013="","",IF(Settings!$C$5="Yes",0,K1013*Settings!$C$17))</f>
        <v/>
      </c>
      <c r="M1013" s="21">
        <f>IF(B1013="","",E1013*IFERROR(VLOOKUP(D1013,Products!$B$5:$F$204,5,FALSE),0))</f>
        <v/>
      </c>
      <c r="N1013" s="21">
        <f>IF(B1013="","",J1013-K1013-L1013-M1013-I1013)</f>
        <v/>
      </c>
    </row>
    <row r="1014">
      <c r="B1014" s="11" t="n"/>
      <c r="C1014" s="8" t="n"/>
      <c r="D1014" s="8" t="n"/>
      <c r="E1014" s="8" t="n"/>
      <c r="F1014" s="20" t="n"/>
      <c r="G1014" s="20" t="n"/>
      <c r="H1014" s="8" t="n"/>
      <c r="I1014" s="20" t="n"/>
      <c r="J1014" s="21">
        <f>IF(B1014="","",F1014+G1014)</f>
        <v/>
      </c>
      <c r="K1014" s="21">
        <f>IF(B1014="","",J1014*(Settings!$C$11+Settings!$C$12+Settings!$C$14)+IF(C1014="",Settings!$C$13,IF(COUNTIF($C$5:C1014,C1014)=1,Settings!$C$13,0))+E1014*Settings!$C$15+IF(H1014="Yes",J1014*Settings!$C$16,0))</f>
        <v/>
      </c>
      <c r="L1014" s="21">
        <f>IF(B1014="","",IF(Settings!$C$5="Yes",0,K1014*Settings!$C$17))</f>
        <v/>
      </c>
      <c r="M1014" s="21">
        <f>IF(B1014="","",E1014*IFERROR(VLOOKUP(D1014,Products!$B$5:$F$204,5,FALSE),0))</f>
        <v/>
      </c>
      <c r="N1014" s="21">
        <f>IF(B1014="","",J1014-K1014-L1014-M1014-I1014)</f>
        <v/>
      </c>
    </row>
    <row r="1015">
      <c r="B1015" s="11" t="n"/>
      <c r="C1015" s="8" t="n"/>
      <c r="D1015" s="8" t="n"/>
      <c r="E1015" s="8" t="n"/>
      <c r="F1015" s="20" t="n"/>
      <c r="G1015" s="20" t="n"/>
      <c r="H1015" s="8" t="n"/>
      <c r="I1015" s="20" t="n"/>
      <c r="J1015" s="21">
        <f>IF(B1015="","",F1015+G1015)</f>
        <v/>
      </c>
      <c r="K1015" s="21">
        <f>IF(B1015="","",J1015*(Settings!$C$11+Settings!$C$12+Settings!$C$14)+IF(C1015="",Settings!$C$13,IF(COUNTIF($C$5:C1015,C1015)=1,Settings!$C$13,0))+E1015*Settings!$C$15+IF(H1015="Yes",J1015*Settings!$C$16,0))</f>
        <v/>
      </c>
      <c r="L1015" s="21">
        <f>IF(B1015="","",IF(Settings!$C$5="Yes",0,K1015*Settings!$C$17))</f>
        <v/>
      </c>
      <c r="M1015" s="21">
        <f>IF(B1015="","",E1015*IFERROR(VLOOKUP(D1015,Products!$B$5:$F$204,5,FALSE),0))</f>
        <v/>
      </c>
      <c r="N1015" s="21">
        <f>IF(B1015="","",J1015-K1015-L1015-M1015-I1015)</f>
        <v/>
      </c>
    </row>
    <row r="1016">
      <c r="B1016" s="11" t="n"/>
      <c r="C1016" s="8" t="n"/>
      <c r="D1016" s="8" t="n"/>
      <c r="E1016" s="8" t="n"/>
      <c r="F1016" s="20" t="n"/>
      <c r="G1016" s="20" t="n"/>
      <c r="H1016" s="8" t="n"/>
      <c r="I1016" s="20" t="n"/>
      <c r="J1016" s="21">
        <f>IF(B1016="","",F1016+G1016)</f>
        <v/>
      </c>
      <c r="K1016" s="21">
        <f>IF(B1016="","",J1016*(Settings!$C$11+Settings!$C$12+Settings!$C$14)+IF(C1016="",Settings!$C$13,IF(COUNTIF($C$5:C1016,C1016)=1,Settings!$C$13,0))+E1016*Settings!$C$15+IF(H1016="Yes",J1016*Settings!$C$16,0))</f>
        <v/>
      </c>
      <c r="L1016" s="21">
        <f>IF(B1016="","",IF(Settings!$C$5="Yes",0,K1016*Settings!$C$17))</f>
        <v/>
      </c>
      <c r="M1016" s="21">
        <f>IF(B1016="","",E1016*IFERROR(VLOOKUP(D1016,Products!$B$5:$F$204,5,FALSE),0))</f>
        <v/>
      </c>
      <c r="N1016" s="21">
        <f>IF(B1016="","",J1016-K1016-L1016-M1016-I1016)</f>
        <v/>
      </c>
    </row>
    <row r="1017">
      <c r="B1017" s="11" t="n"/>
      <c r="C1017" s="8" t="n"/>
      <c r="D1017" s="8" t="n"/>
      <c r="E1017" s="8" t="n"/>
      <c r="F1017" s="20" t="n"/>
      <c r="G1017" s="20" t="n"/>
      <c r="H1017" s="8" t="n"/>
      <c r="I1017" s="20" t="n"/>
      <c r="J1017" s="21">
        <f>IF(B1017="","",F1017+G1017)</f>
        <v/>
      </c>
      <c r="K1017" s="21">
        <f>IF(B1017="","",J1017*(Settings!$C$11+Settings!$C$12+Settings!$C$14)+IF(C1017="",Settings!$C$13,IF(COUNTIF($C$5:C1017,C1017)=1,Settings!$C$13,0))+E1017*Settings!$C$15+IF(H1017="Yes",J1017*Settings!$C$16,0))</f>
        <v/>
      </c>
      <c r="L1017" s="21">
        <f>IF(B1017="","",IF(Settings!$C$5="Yes",0,K1017*Settings!$C$17))</f>
        <v/>
      </c>
      <c r="M1017" s="21">
        <f>IF(B1017="","",E1017*IFERROR(VLOOKUP(D1017,Products!$B$5:$F$204,5,FALSE),0))</f>
        <v/>
      </c>
      <c r="N1017" s="21">
        <f>IF(B1017="","",J1017-K1017-L1017-M1017-I1017)</f>
        <v/>
      </c>
    </row>
    <row r="1018">
      <c r="B1018" s="11" t="n"/>
      <c r="C1018" s="8" t="n"/>
      <c r="D1018" s="8" t="n"/>
      <c r="E1018" s="8" t="n"/>
      <c r="F1018" s="20" t="n"/>
      <c r="G1018" s="20" t="n"/>
      <c r="H1018" s="8" t="n"/>
      <c r="I1018" s="20" t="n"/>
      <c r="J1018" s="21">
        <f>IF(B1018="","",F1018+G1018)</f>
        <v/>
      </c>
      <c r="K1018" s="21">
        <f>IF(B1018="","",J1018*(Settings!$C$11+Settings!$C$12+Settings!$C$14)+IF(C1018="",Settings!$C$13,IF(COUNTIF($C$5:C1018,C1018)=1,Settings!$C$13,0))+E1018*Settings!$C$15+IF(H1018="Yes",J1018*Settings!$C$16,0))</f>
        <v/>
      </c>
      <c r="L1018" s="21">
        <f>IF(B1018="","",IF(Settings!$C$5="Yes",0,K1018*Settings!$C$17))</f>
        <v/>
      </c>
      <c r="M1018" s="21">
        <f>IF(B1018="","",E1018*IFERROR(VLOOKUP(D1018,Products!$B$5:$F$204,5,FALSE),0))</f>
        <v/>
      </c>
      <c r="N1018" s="21">
        <f>IF(B1018="","",J1018-K1018-L1018-M1018-I1018)</f>
        <v/>
      </c>
    </row>
    <row r="1019">
      <c r="B1019" s="11" t="n"/>
      <c r="C1019" s="8" t="n"/>
      <c r="D1019" s="8" t="n"/>
      <c r="E1019" s="8" t="n"/>
      <c r="F1019" s="20" t="n"/>
      <c r="G1019" s="20" t="n"/>
      <c r="H1019" s="8" t="n"/>
      <c r="I1019" s="20" t="n"/>
      <c r="J1019" s="21">
        <f>IF(B1019="","",F1019+G1019)</f>
        <v/>
      </c>
      <c r="K1019" s="21">
        <f>IF(B1019="","",J1019*(Settings!$C$11+Settings!$C$12+Settings!$C$14)+IF(C1019="",Settings!$C$13,IF(COUNTIF($C$5:C1019,C1019)=1,Settings!$C$13,0))+E1019*Settings!$C$15+IF(H1019="Yes",J1019*Settings!$C$16,0))</f>
        <v/>
      </c>
      <c r="L1019" s="21">
        <f>IF(B1019="","",IF(Settings!$C$5="Yes",0,K1019*Settings!$C$17))</f>
        <v/>
      </c>
      <c r="M1019" s="21">
        <f>IF(B1019="","",E1019*IFERROR(VLOOKUP(D1019,Products!$B$5:$F$204,5,FALSE),0))</f>
        <v/>
      </c>
      <c r="N1019" s="21">
        <f>IF(B1019="","",J1019-K1019-L1019-M1019-I1019)</f>
        <v/>
      </c>
    </row>
    <row r="1020">
      <c r="B1020" s="11" t="n"/>
      <c r="C1020" s="8" t="n"/>
      <c r="D1020" s="8" t="n"/>
      <c r="E1020" s="8" t="n"/>
      <c r="F1020" s="20" t="n"/>
      <c r="G1020" s="20" t="n"/>
      <c r="H1020" s="8" t="n"/>
      <c r="I1020" s="20" t="n"/>
      <c r="J1020" s="21">
        <f>IF(B1020="","",F1020+G1020)</f>
        <v/>
      </c>
      <c r="K1020" s="21">
        <f>IF(B1020="","",J1020*(Settings!$C$11+Settings!$C$12+Settings!$C$14)+IF(C1020="",Settings!$C$13,IF(COUNTIF($C$5:C1020,C1020)=1,Settings!$C$13,0))+E1020*Settings!$C$15+IF(H1020="Yes",J1020*Settings!$C$16,0))</f>
        <v/>
      </c>
      <c r="L1020" s="21">
        <f>IF(B1020="","",IF(Settings!$C$5="Yes",0,K1020*Settings!$C$17))</f>
        <v/>
      </c>
      <c r="M1020" s="21">
        <f>IF(B1020="","",E1020*IFERROR(VLOOKUP(D1020,Products!$B$5:$F$204,5,FALSE),0))</f>
        <v/>
      </c>
      <c r="N1020" s="21">
        <f>IF(B1020="","",J1020-K1020-L1020-M1020-I1020)</f>
        <v/>
      </c>
    </row>
    <row r="1021">
      <c r="B1021" s="11" t="n"/>
      <c r="C1021" s="8" t="n"/>
      <c r="D1021" s="8" t="n"/>
      <c r="E1021" s="8" t="n"/>
      <c r="F1021" s="20" t="n"/>
      <c r="G1021" s="20" t="n"/>
      <c r="H1021" s="8" t="n"/>
      <c r="I1021" s="20" t="n"/>
      <c r="J1021" s="21">
        <f>IF(B1021="","",F1021+G1021)</f>
        <v/>
      </c>
      <c r="K1021" s="21">
        <f>IF(B1021="","",J1021*(Settings!$C$11+Settings!$C$12+Settings!$C$14)+IF(C1021="",Settings!$C$13,IF(COUNTIF($C$5:C1021,C1021)=1,Settings!$C$13,0))+E1021*Settings!$C$15+IF(H1021="Yes",J1021*Settings!$C$16,0))</f>
        <v/>
      </c>
      <c r="L1021" s="21">
        <f>IF(B1021="","",IF(Settings!$C$5="Yes",0,K1021*Settings!$C$17))</f>
        <v/>
      </c>
      <c r="M1021" s="21">
        <f>IF(B1021="","",E1021*IFERROR(VLOOKUP(D1021,Products!$B$5:$F$204,5,FALSE),0))</f>
        <v/>
      </c>
      <c r="N1021" s="21">
        <f>IF(B1021="","",J1021-K1021-L1021-M1021-I1021)</f>
        <v/>
      </c>
    </row>
    <row r="1022">
      <c r="B1022" s="11" t="n"/>
      <c r="C1022" s="8" t="n"/>
      <c r="D1022" s="8" t="n"/>
      <c r="E1022" s="8" t="n"/>
      <c r="F1022" s="20" t="n"/>
      <c r="G1022" s="20" t="n"/>
      <c r="H1022" s="8" t="n"/>
      <c r="I1022" s="20" t="n"/>
      <c r="J1022" s="21">
        <f>IF(B1022="","",F1022+G1022)</f>
        <v/>
      </c>
      <c r="K1022" s="21">
        <f>IF(B1022="","",J1022*(Settings!$C$11+Settings!$C$12+Settings!$C$14)+IF(C1022="",Settings!$C$13,IF(COUNTIF($C$5:C1022,C1022)=1,Settings!$C$13,0))+E1022*Settings!$C$15+IF(H1022="Yes",J1022*Settings!$C$16,0))</f>
        <v/>
      </c>
      <c r="L1022" s="21">
        <f>IF(B1022="","",IF(Settings!$C$5="Yes",0,K1022*Settings!$C$17))</f>
        <v/>
      </c>
      <c r="M1022" s="21">
        <f>IF(B1022="","",E1022*IFERROR(VLOOKUP(D1022,Products!$B$5:$F$204,5,FALSE),0))</f>
        <v/>
      </c>
      <c r="N1022" s="21">
        <f>IF(B1022="","",J1022-K1022-L1022-M1022-I1022)</f>
        <v/>
      </c>
    </row>
    <row r="1023">
      <c r="B1023" s="11" t="n"/>
      <c r="C1023" s="8" t="n"/>
      <c r="D1023" s="8" t="n"/>
      <c r="E1023" s="8" t="n"/>
      <c r="F1023" s="20" t="n"/>
      <c r="G1023" s="20" t="n"/>
      <c r="H1023" s="8" t="n"/>
      <c r="I1023" s="20" t="n"/>
      <c r="J1023" s="21">
        <f>IF(B1023="","",F1023+G1023)</f>
        <v/>
      </c>
      <c r="K1023" s="21">
        <f>IF(B1023="","",J1023*(Settings!$C$11+Settings!$C$12+Settings!$C$14)+IF(C1023="",Settings!$C$13,IF(COUNTIF($C$5:C1023,C1023)=1,Settings!$C$13,0))+E1023*Settings!$C$15+IF(H1023="Yes",J1023*Settings!$C$16,0))</f>
        <v/>
      </c>
      <c r="L1023" s="21">
        <f>IF(B1023="","",IF(Settings!$C$5="Yes",0,K1023*Settings!$C$17))</f>
        <v/>
      </c>
      <c r="M1023" s="21">
        <f>IF(B1023="","",E1023*IFERROR(VLOOKUP(D1023,Products!$B$5:$F$204,5,FALSE),0))</f>
        <v/>
      </c>
      <c r="N1023" s="21">
        <f>IF(B1023="","",J1023-K1023-L1023-M1023-I1023)</f>
        <v/>
      </c>
    </row>
    <row r="1024">
      <c r="B1024" s="11" t="n"/>
      <c r="C1024" s="8" t="n"/>
      <c r="D1024" s="8" t="n"/>
      <c r="E1024" s="8" t="n"/>
      <c r="F1024" s="20" t="n"/>
      <c r="G1024" s="20" t="n"/>
      <c r="H1024" s="8" t="n"/>
      <c r="I1024" s="20" t="n"/>
      <c r="J1024" s="21">
        <f>IF(B1024="","",F1024+G1024)</f>
        <v/>
      </c>
      <c r="K1024" s="21">
        <f>IF(B1024="","",J1024*(Settings!$C$11+Settings!$C$12+Settings!$C$14)+IF(C1024="",Settings!$C$13,IF(COUNTIF($C$5:C1024,C1024)=1,Settings!$C$13,0))+E1024*Settings!$C$15+IF(H1024="Yes",J1024*Settings!$C$16,0))</f>
        <v/>
      </c>
      <c r="L1024" s="21">
        <f>IF(B1024="","",IF(Settings!$C$5="Yes",0,K1024*Settings!$C$17))</f>
        <v/>
      </c>
      <c r="M1024" s="21">
        <f>IF(B1024="","",E1024*IFERROR(VLOOKUP(D1024,Products!$B$5:$F$204,5,FALSE),0))</f>
        <v/>
      </c>
      <c r="N1024" s="21">
        <f>IF(B1024="","",J1024-K1024-L1024-M1024-I1024)</f>
        <v/>
      </c>
    </row>
    <row r="1025">
      <c r="B1025" s="11" t="n"/>
      <c r="C1025" s="8" t="n"/>
      <c r="D1025" s="8" t="n"/>
      <c r="E1025" s="8" t="n"/>
      <c r="F1025" s="20" t="n"/>
      <c r="G1025" s="20" t="n"/>
      <c r="H1025" s="8" t="n"/>
      <c r="I1025" s="20" t="n"/>
      <c r="J1025" s="21">
        <f>IF(B1025="","",F1025+G1025)</f>
        <v/>
      </c>
      <c r="K1025" s="21">
        <f>IF(B1025="","",J1025*(Settings!$C$11+Settings!$C$12+Settings!$C$14)+IF(C1025="",Settings!$C$13,IF(COUNTIF($C$5:C1025,C1025)=1,Settings!$C$13,0))+E1025*Settings!$C$15+IF(H1025="Yes",J1025*Settings!$C$16,0))</f>
        <v/>
      </c>
      <c r="L1025" s="21">
        <f>IF(B1025="","",IF(Settings!$C$5="Yes",0,K1025*Settings!$C$17))</f>
        <v/>
      </c>
      <c r="M1025" s="21">
        <f>IF(B1025="","",E1025*IFERROR(VLOOKUP(D1025,Products!$B$5:$F$204,5,FALSE),0))</f>
        <v/>
      </c>
      <c r="N1025" s="21">
        <f>IF(B1025="","",J1025-K1025-L1025-M1025-I1025)</f>
        <v/>
      </c>
    </row>
    <row r="1026">
      <c r="B1026" s="11" t="n"/>
      <c r="C1026" s="8" t="n"/>
      <c r="D1026" s="8" t="n"/>
      <c r="E1026" s="8" t="n"/>
      <c r="F1026" s="20" t="n"/>
      <c r="G1026" s="20" t="n"/>
      <c r="H1026" s="8" t="n"/>
      <c r="I1026" s="20" t="n"/>
      <c r="J1026" s="21">
        <f>IF(B1026="","",F1026+G1026)</f>
        <v/>
      </c>
      <c r="K1026" s="21">
        <f>IF(B1026="","",J1026*(Settings!$C$11+Settings!$C$12+Settings!$C$14)+IF(C1026="",Settings!$C$13,IF(COUNTIF($C$5:C1026,C1026)=1,Settings!$C$13,0))+E1026*Settings!$C$15+IF(H1026="Yes",J1026*Settings!$C$16,0))</f>
        <v/>
      </c>
      <c r="L1026" s="21">
        <f>IF(B1026="","",IF(Settings!$C$5="Yes",0,K1026*Settings!$C$17))</f>
        <v/>
      </c>
      <c r="M1026" s="21">
        <f>IF(B1026="","",E1026*IFERROR(VLOOKUP(D1026,Products!$B$5:$F$204,5,FALSE),0))</f>
        <v/>
      </c>
      <c r="N1026" s="21">
        <f>IF(B1026="","",J1026-K1026-L1026-M1026-I1026)</f>
        <v/>
      </c>
    </row>
    <row r="1027">
      <c r="B1027" s="11" t="n"/>
      <c r="C1027" s="8" t="n"/>
      <c r="D1027" s="8" t="n"/>
      <c r="E1027" s="8" t="n"/>
      <c r="F1027" s="20" t="n"/>
      <c r="G1027" s="20" t="n"/>
      <c r="H1027" s="8" t="n"/>
      <c r="I1027" s="20" t="n"/>
      <c r="J1027" s="21">
        <f>IF(B1027="","",F1027+G1027)</f>
        <v/>
      </c>
      <c r="K1027" s="21">
        <f>IF(B1027="","",J1027*(Settings!$C$11+Settings!$C$12+Settings!$C$14)+IF(C1027="",Settings!$C$13,IF(COUNTIF($C$5:C1027,C1027)=1,Settings!$C$13,0))+E1027*Settings!$C$15+IF(H1027="Yes",J1027*Settings!$C$16,0))</f>
        <v/>
      </c>
      <c r="L1027" s="21">
        <f>IF(B1027="","",IF(Settings!$C$5="Yes",0,K1027*Settings!$C$17))</f>
        <v/>
      </c>
      <c r="M1027" s="21">
        <f>IF(B1027="","",E1027*IFERROR(VLOOKUP(D1027,Products!$B$5:$F$204,5,FALSE),0))</f>
        <v/>
      </c>
      <c r="N1027" s="21">
        <f>IF(B1027="","",J1027-K1027-L1027-M1027-I1027)</f>
        <v/>
      </c>
    </row>
    <row r="1028">
      <c r="B1028" s="11" t="n"/>
      <c r="C1028" s="8" t="n"/>
      <c r="D1028" s="8" t="n"/>
      <c r="E1028" s="8" t="n"/>
      <c r="F1028" s="20" t="n"/>
      <c r="G1028" s="20" t="n"/>
      <c r="H1028" s="8" t="n"/>
      <c r="I1028" s="20" t="n"/>
      <c r="J1028" s="21">
        <f>IF(B1028="","",F1028+G1028)</f>
        <v/>
      </c>
      <c r="K1028" s="21">
        <f>IF(B1028="","",J1028*(Settings!$C$11+Settings!$C$12+Settings!$C$14)+IF(C1028="",Settings!$C$13,IF(COUNTIF($C$5:C1028,C1028)=1,Settings!$C$13,0))+E1028*Settings!$C$15+IF(H1028="Yes",J1028*Settings!$C$16,0))</f>
        <v/>
      </c>
      <c r="L1028" s="21">
        <f>IF(B1028="","",IF(Settings!$C$5="Yes",0,K1028*Settings!$C$17))</f>
        <v/>
      </c>
      <c r="M1028" s="21">
        <f>IF(B1028="","",E1028*IFERROR(VLOOKUP(D1028,Products!$B$5:$F$204,5,FALSE),0))</f>
        <v/>
      </c>
      <c r="N1028" s="21">
        <f>IF(B1028="","",J1028-K1028-L1028-M1028-I1028)</f>
        <v/>
      </c>
    </row>
    <row r="1029">
      <c r="B1029" s="11" t="n"/>
      <c r="C1029" s="8" t="n"/>
      <c r="D1029" s="8" t="n"/>
      <c r="E1029" s="8" t="n"/>
      <c r="F1029" s="20" t="n"/>
      <c r="G1029" s="20" t="n"/>
      <c r="H1029" s="8" t="n"/>
      <c r="I1029" s="20" t="n"/>
      <c r="J1029" s="21">
        <f>IF(B1029="","",F1029+G1029)</f>
        <v/>
      </c>
      <c r="K1029" s="21">
        <f>IF(B1029="","",J1029*(Settings!$C$11+Settings!$C$12+Settings!$C$14)+IF(C1029="",Settings!$C$13,IF(COUNTIF($C$5:C1029,C1029)=1,Settings!$C$13,0))+E1029*Settings!$C$15+IF(H1029="Yes",J1029*Settings!$C$16,0))</f>
        <v/>
      </c>
      <c r="L1029" s="21">
        <f>IF(B1029="","",IF(Settings!$C$5="Yes",0,K1029*Settings!$C$17))</f>
        <v/>
      </c>
      <c r="M1029" s="21">
        <f>IF(B1029="","",E1029*IFERROR(VLOOKUP(D1029,Products!$B$5:$F$204,5,FALSE),0))</f>
        <v/>
      </c>
      <c r="N1029" s="21">
        <f>IF(B1029="","",J1029-K1029-L1029-M1029-I1029)</f>
        <v/>
      </c>
    </row>
    <row r="1030">
      <c r="B1030" s="11" t="n"/>
      <c r="C1030" s="8" t="n"/>
      <c r="D1030" s="8" t="n"/>
      <c r="E1030" s="8" t="n"/>
      <c r="F1030" s="20" t="n"/>
      <c r="G1030" s="20" t="n"/>
      <c r="H1030" s="8" t="n"/>
      <c r="I1030" s="20" t="n"/>
      <c r="J1030" s="21">
        <f>IF(B1030="","",F1030+G1030)</f>
        <v/>
      </c>
      <c r="K1030" s="21">
        <f>IF(B1030="","",J1030*(Settings!$C$11+Settings!$C$12+Settings!$C$14)+IF(C1030="",Settings!$C$13,IF(COUNTIF($C$5:C1030,C1030)=1,Settings!$C$13,0))+E1030*Settings!$C$15+IF(H1030="Yes",J1030*Settings!$C$16,0))</f>
        <v/>
      </c>
      <c r="L1030" s="21">
        <f>IF(B1030="","",IF(Settings!$C$5="Yes",0,K1030*Settings!$C$17))</f>
        <v/>
      </c>
      <c r="M1030" s="21">
        <f>IF(B1030="","",E1030*IFERROR(VLOOKUP(D1030,Products!$B$5:$F$204,5,FALSE),0))</f>
        <v/>
      </c>
      <c r="N1030" s="21">
        <f>IF(B1030="","",J1030-K1030-L1030-M1030-I1030)</f>
        <v/>
      </c>
    </row>
    <row r="1031">
      <c r="B1031" s="11" t="n"/>
      <c r="C1031" s="8" t="n"/>
      <c r="D1031" s="8" t="n"/>
      <c r="E1031" s="8" t="n"/>
      <c r="F1031" s="20" t="n"/>
      <c r="G1031" s="20" t="n"/>
      <c r="H1031" s="8" t="n"/>
      <c r="I1031" s="20" t="n"/>
      <c r="J1031" s="21">
        <f>IF(B1031="","",F1031+G1031)</f>
        <v/>
      </c>
      <c r="K1031" s="21">
        <f>IF(B1031="","",J1031*(Settings!$C$11+Settings!$C$12+Settings!$C$14)+IF(C1031="",Settings!$C$13,IF(COUNTIF($C$5:C1031,C1031)=1,Settings!$C$13,0))+E1031*Settings!$C$15+IF(H1031="Yes",J1031*Settings!$C$16,0))</f>
        <v/>
      </c>
      <c r="L1031" s="21">
        <f>IF(B1031="","",IF(Settings!$C$5="Yes",0,K1031*Settings!$C$17))</f>
        <v/>
      </c>
      <c r="M1031" s="21">
        <f>IF(B1031="","",E1031*IFERROR(VLOOKUP(D1031,Products!$B$5:$F$204,5,FALSE),0))</f>
        <v/>
      </c>
      <c r="N1031" s="21">
        <f>IF(B1031="","",J1031-K1031-L1031-M1031-I1031)</f>
        <v/>
      </c>
    </row>
    <row r="1032">
      <c r="B1032" s="11" t="n"/>
      <c r="C1032" s="8" t="n"/>
      <c r="D1032" s="8" t="n"/>
      <c r="E1032" s="8" t="n"/>
      <c r="F1032" s="20" t="n"/>
      <c r="G1032" s="20" t="n"/>
      <c r="H1032" s="8" t="n"/>
      <c r="I1032" s="20" t="n"/>
      <c r="J1032" s="21">
        <f>IF(B1032="","",F1032+G1032)</f>
        <v/>
      </c>
      <c r="K1032" s="21">
        <f>IF(B1032="","",J1032*(Settings!$C$11+Settings!$C$12+Settings!$C$14)+IF(C1032="",Settings!$C$13,IF(COUNTIF($C$5:C1032,C1032)=1,Settings!$C$13,0))+E1032*Settings!$C$15+IF(H1032="Yes",J1032*Settings!$C$16,0))</f>
        <v/>
      </c>
      <c r="L1032" s="21">
        <f>IF(B1032="","",IF(Settings!$C$5="Yes",0,K1032*Settings!$C$17))</f>
        <v/>
      </c>
      <c r="M1032" s="21">
        <f>IF(B1032="","",E1032*IFERROR(VLOOKUP(D1032,Products!$B$5:$F$204,5,FALSE),0))</f>
        <v/>
      </c>
      <c r="N1032" s="21">
        <f>IF(B1032="","",J1032-K1032-L1032-M1032-I1032)</f>
        <v/>
      </c>
    </row>
    <row r="1033">
      <c r="B1033" s="11" t="n"/>
      <c r="C1033" s="8" t="n"/>
      <c r="D1033" s="8" t="n"/>
      <c r="E1033" s="8" t="n"/>
      <c r="F1033" s="20" t="n"/>
      <c r="G1033" s="20" t="n"/>
      <c r="H1033" s="8" t="n"/>
      <c r="I1033" s="20" t="n"/>
      <c r="J1033" s="21">
        <f>IF(B1033="","",F1033+G1033)</f>
        <v/>
      </c>
      <c r="K1033" s="21">
        <f>IF(B1033="","",J1033*(Settings!$C$11+Settings!$C$12+Settings!$C$14)+IF(C1033="",Settings!$C$13,IF(COUNTIF($C$5:C1033,C1033)=1,Settings!$C$13,0))+E1033*Settings!$C$15+IF(H1033="Yes",J1033*Settings!$C$16,0))</f>
        <v/>
      </c>
      <c r="L1033" s="21">
        <f>IF(B1033="","",IF(Settings!$C$5="Yes",0,K1033*Settings!$C$17))</f>
        <v/>
      </c>
      <c r="M1033" s="21">
        <f>IF(B1033="","",E1033*IFERROR(VLOOKUP(D1033,Products!$B$5:$F$204,5,FALSE),0))</f>
        <v/>
      </c>
      <c r="N1033" s="21">
        <f>IF(B1033="","",J1033-K1033-L1033-M1033-I1033)</f>
        <v/>
      </c>
    </row>
    <row r="1034">
      <c r="B1034" s="11" t="n"/>
      <c r="C1034" s="8" t="n"/>
      <c r="D1034" s="8" t="n"/>
      <c r="E1034" s="8" t="n"/>
      <c r="F1034" s="20" t="n"/>
      <c r="G1034" s="20" t="n"/>
      <c r="H1034" s="8" t="n"/>
      <c r="I1034" s="20" t="n"/>
      <c r="J1034" s="21">
        <f>IF(B1034="","",F1034+G1034)</f>
        <v/>
      </c>
      <c r="K1034" s="21">
        <f>IF(B1034="","",J1034*(Settings!$C$11+Settings!$C$12+Settings!$C$14)+IF(C1034="",Settings!$C$13,IF(COUNTIF($C$5:C1034,C1034)=1,Settings!$C$13,0))+E1034*Settings!$C$15+IF(H1034="Yes",J1034*Settings!$C$16,0))</f>
        <v/>
      </c>
      <c r="L1034" s="21">
        <f>IF(B1034="","",IF(Settings!$C$5="Yes",0,K1034*Settings!$C$17))</f>
        <v/>
      </c>
      <c r="M1034" s="21">
        <f>IF(B1034="","",E1034*IFERROR(VLOOKUP(D1034,Products!$B$5:$F$204,5,FALSE),0))</f>
        <v/>
      </c>
      <c r="N1034" s="21">
        <f>IF(B1034="","",J1034-K1034-L1034-M1034-I1034)</f>
        <v/>
      </c>
    </row>
    <row r="1035">
      <c r="B1035" s="11" t="n"/>
      <c r="C1035" s="8" t="n"/>
      <c r="D1035" s="8" t="n"/>
      <c r="E1035" s="8" t="n"/>
      <c r="F1035" s="20" t="n"/>
      <c r="G1035" s="20" t="n"/>
      <c r="H1035" s="8" t="n"/>
      <c r="I1035" s="20" t="n"/>
      <c r="J1035" s="21">
        <f>IF(B1035="","",F1035+G1035)</f>
        <v/>
      </c>
      <c r="K1035" s="21">
        <f>IF(B1035="","",J1035*(Settings!$C$11+Settings!$C$12+Settings!$C$14)+IF(C1035="",Settings!$C$13,IF(COUNTIF($C$5:C1035,C1035)=1,Settings!$C$13,0))+E1035*Settings!$C$15+IF(H1035="Yes",J1035*Settings!$C$16,0))</f>
        <v/>
      </c>
      <c r="L1035" s="21">
        <f>IF(B1035="","",IF(Settings!$C$5="Yes",0,K1035*Settings!$C$17))</f>
        <v/>
      </c>
      <c r="M1035" s="21">
        <f>IF(B1035="","",E1035*IFERROR(VLOOKUP(D1035,Products!$B$5:$F$204,5,FALSE),0))</f>
        <v/>
      </c>
      <c r="N1035" s="21">
        <f>IF(B1035="","",J1035-K1035-L1035-M1035-I1035)</f>
        <v/>
      </c>
    </row>
    <row r="1036">
      <c r="B1036" s="11" t="n"/>
      <c r="C1036" s="8" t="n"/>
      <c r="D1036" s="8" t="n"/>
      <c r="E1036" s="8" t="n"/>
      <c r="F1036" s="20" t="n"/>
      <c r="G1036" s="20" t="n"/>
      <c r="H1036" s="8" t="n"/>
      <c r="I1036" s="20" t="n"/>
      <c r="J1036" s="21">
        <f>IF(B1036="","",F1036+G1036)</f>
        <v/>
      </c>
      <c r="K1036" s="21">
        <f>IF(B1036="","",J1036*(Settings!$C$11+Settings!$C$12+Settings!$C$14)+IF(C1036="",Settings!$C$13,IF(COUNTIF($C$5:C1036,C1036)=1,Settings!$C$13,0))+E1036*Settings!$C$15+IF(H1036="Yes",J1036*Settings!$C$16,0))</f>
        <v/>
      </c>
      <c r="L1036" s="21">
        <f>IF(B1036="","",IF(Settings!$C$5="Yes",0,K1036*Settings!$C$17))</f>
        <v/>
      </c>
      <c r="M1036" s="21">
        <f>IF(B1036="","",E1036*IFERROR(VLOOKUP(D1036,Products!$B$5:$F$204,5,FALSE),0))</f>
        <v/>
      </c>
      <c r="N1036" s="21">
        <f>IF(B1036="","",J1036-K1036-L1036-M1036-I1036)</f>
        <v/>
      </c>
    </row>
    <row r="1037">
      <c r="B1037" s="11" t="n"/>
      <c r="C1037" s="8" t="n"/>
      <c r="D1037" s="8" t="n"/>
      <c r="E1037" s="8" t="n"/>
      <c r="F1037" s="20" t="n"/>
      <c r="G1037" s="20" t="n"/>
      <c r="H1037" s="8" t="n"/>
      <c r="I1037" s="20" t="n"/>
      <c r="J1037" s="21">
        <f>IF(B1037="","",F1037+G1037)</f>
        <v/>
      </c>
      <c r="K1037" s="21">
        <f>IF(B1037="","",J1037*(Settings!$C$11+Settings!$C$12+Settings!$C$14)+IF(C1037="",Settings!$C$13,IF(COUNTIF($C$5:C1037,C1037)=1,Settings!$C$13,0))+E1037*Settings!$C$15+IF(H1037="Yes",J1037*Settings!$C$16,0))</f>
        <v/>
      </c>
      <c r="L1037" s="21">
        <f>IF(B1037="","",IF(Settings!$C$5="Yes",0,K1037*Settings!$C$17))</f>
        <v/>
      </c>
      <c r="M1037" s="21">
        <f>IF(B1037="","",E1037*IFERROR(VLOOKUP(D1037,Products!$B$5:$F$204,5,FALSE),0))</f>
        <v/>
      </c>
      <c r="N1037" s="21">
        <f>IF(B1037="","",J1037-K1037-L1037-M1037-I1037)</f>
        <v/>
      </c>
    </row>
    <row r="1038">
      <c r="B1038" s="11" t="n"/>
      <c r="C1038" s="8" t="n"/>
      <c r="D1038" s="8" t="n"/>
      <c r="E1038" s="8" t="n"/>
      <c r="F1038" s="20" t="n"/>
      <c r="G1038" s="20" t="n"/>
      <c r="H1038" s="8" t="n"/>
      <c r="I1038" s="20" t="n"/>
      <c r="J1038" s="21">
        <f>IF(B1038="","",F1038+G1038)</f>
        <v/>
      </c>
      <c r="K1038" s="21">
        <f>IF(B1038="","",J1038*(Settings!$C$11+Settings!$C$12+Settings!$C$14)+IF(C1038="",Settings!$C$13,IF(COUNTIF($C$5:C1038,C1038)=1,Settings!$C$13,0))+E1038*Settings!$C$15+IF(H1038="Yes",J1038*Settings!$C$16,0))</f>
        <v/>
      </c>
      <c r="L1038" s="21">
        <f>IF(B1038="","",IF(Settings!$C$5="Yes",0,K1038*Settings!$C$17))</f>
        <v/>
      </c>
      <c r="M1038" s="21">
        <f>IF(B1038="","",E1038*IFERROR(VLOOKUP(D1038,Products!$B$5:$F$204,5,FALSE),0))</f>
        <v/>
      </c>
      <c r="N1038" s="21">
        <f>IF(B1038="","",J1038-K1038-L1038-M1038-I1038)</f>
        <v/>
      </c>
    </row>
    <row r="1039">
      <c r="B1039" s="11" t="n"/>
      <c r="C1039" s="8" t="n"/>
      <c r="D1039" s="8" t="n"/>
      <c r="E1039" s="8" t="n"/>
      <c r="F1039" s="20" t="n"/>
      <c r="G1039" s="20" t="n"/>
      <c r="H1039" s="8" t="n"/>
      <c r="I1039" s="20" t="n"/>
      <c r="J1039" s="21">
        <f>IF(B1039="","",F1039+G1039)</f>
        <v/>
      </c>
      <c r="K1039" s="21">
        <f>IF(B1039="","",J1039*(Settings!$C$11+Settings!$C$12+Settings!$C$14)+IF(C1039="",Settings!$C$13,IF(COUNTIF($C$5:C1039,C1039)=1,Settings!$C$13,0))+E1039*Settings!$C$15+IF(H1039="Yes",J1039*Settings!$C$16,0))</f>
        <v/>
      </c>
      <c r="L1039" s="21">
        <f>IF(B1039="","",IF(Settings!$C$5="Yes",0,K1039*Settings!$C$17))</f>
        <v/>
      </c>
      <c r="M1039" s="21">
        <f>IF(B1039="","",E1039*IFERROR(VLOOKUP(D1039,Products!$B$5:$F$204,5,FALSE),0))</f>
        <v/>
      </c>
      <c r="N1039" s="21">
        <f>IF(B1039="","",J1039-K1039-L1039-M1039-I1039)</f>
        <v/>
      </c>
    </row>
    <row r="1040">
      <c r="B1040" s="11" t="n"/>
      <c r="C1040" s="8" t="n"/>
      <c r="D1040" s="8" t="n"/>
      <c r="E1040" s="8" t="n"/>
      <c r="F1040" s="20" t="n"/>
      <c r="G1040" s="20" t="n"/>
      <c r="H1040" s="8" t="n"/>
      <c r="I1040" s="20" t="n"/>
      <c r="J1040" s="21">
        <f>IF(B1040="","",F1040+G1040)</f>
        <v/>
      </c>
      <c r="K1040" s="21">
        <f>IF(B1040="","",J1040*(Settings!$C$11+Settings!$C$12+Settings!$C$14)+IF(C1040="",Settings!$C$13,IF(COUNTIF($C$5:C1040,C1040)=1,Settings!$C$13,0))+E1040*Settings!$C$15+IF(H1040="Yes",J1040*Settings!$C$16,0))</f>
        <v/>
      </c>
      <c r="L1040" s="21">
        <f>IF(B1040="","",IF(Settings!$C$5="Yes",0,K1040*Settings!$C$17))</f>
        <v/>
      </c>
      <c r="M1040" s="21">
        <f>IF(B1040="","",E1040*IFERROR(VLOOKUP(D1040,Products!$B$5:$F$204,5,FALSE),0))</f>
        <v/>
      </c>
      <c r="N1040" s="21">
        <f>IF(B1040="","",J1040-K1040-L1040-M1040-I1040)</f>
        <v/>
      </c>
    </row>
    <row r="1041">
      <c r="B1041" s="11" t="n"/>
      <c r="C1041" s="8" t="n"/>
      <c r="D1041" s="8" t="n"/>
      <c r="E1041" s="8" t="n"/>
      <c r="F1041" s="20" t="n"/>
      <c r="G1041" s="20" t="n"/>
      <c r="H1041" s="8" t="n"/>
      <c r="I1041" s="20" t="n"/>
      <c r="J1041" s="21">
        <f>IF(B1041="","",F1041+G1041)</f>
        <v/>
      </c>
      <c r="K1041" s="21">
        <f>IF(B1041="","",J1041*(Settings!$C$11+Settings!$C$12+Settings!$C$14)+IF(C1041="",Settings!$C$13,IF(COUNTIF($C$5:C1041,C1041)=1,Settings!$C$13,0))+E1041*Settings!$C$15+IF(H1041="Yes",J1041*Settings!$C$16,0))</f>
        <v/>
      </c>
      <c r="L1041" s="21">
        <f>IF(B1041="","",IF(Settings!$C$5="Yes",0,K1041*Settings!$C$17))</f>
        <v/>
      </c>
      <c r="M1041" s="21">
        <f>IF(B1041="","",E1041*IFERROR(VLOOKUP(D1041,Products!$B$5:$F$204,5,FALSE),0))</f>
        <v/>
      </c>
      <c r="N1041" s="21">
        <f>IF(B1041="","",J1041-K1041-L1041-M1041-I1041)</f>
        <v/>
      </c>
    </row>
    <row r="1042">
      <c r="B1042" s="11" t="n"/>
      <c r="C1042" s="8" t="n"/>
      <c r="D1042" s="8" t="n"/>
      <c r="E1042" s="8" t="n"/>
      <c r="F1042" s="20" t="n"/>
      <c r="G1042" s="20" t="n"/>
      <c r="H1042" s="8" t="n"/>
      <c r="I1042" s="20" t="n"/>
      <c r="J1042" s="21">
        <f>IF(B1042="","",F1042+G1042)</f>
        <v/>
      </c>
      <c r="K1042" s="21">
        <f>IF(B1042="","",J1042*(Settings!$C$11+Settings!$C$12+Settings!$C$14)+IF(C1042="",Settings!$C$13,IF(COUNTIF($C$5:C1042,C1042)=1,Settings!$C$13,0))+E1042*Settings!$C$15+IF(H1042="Yes",J1042*Settings!$C$16,0))</f>
        <v/>
      </c>
      <c r="L1042" s="21">
        <f>IF(B1042="","",IF(Settings!$C$5="Yes",0,K1042*Settings!$C$17))</f>
        <v/>
      </c>
      <c r="M1042" s="21">
        <f>IF(B1042="","",E1042*IFERROR(VLOOKUP(D1042,Products!$B$5:$F$204,5,FALSE),0))</f>
        <v/>
      </c>
      <c r="N1042" s="21">
        <f>IF(B1042="","",J1042-K1042-L1042-M1042-I1042)</f>
        <v/>
      </c>
    </row>
    <row r="1043">
      <c r="B1043" s="11" t="n"/>
      <c r="C1043" s="8" t="n"/>
      <c r="D1043" s="8" t="n"/>
      <c r="E1043" s="8" t="n"/>
      <c r="F1043" s="20" t="n"/>
      <c r="G1043" s="20" t="n"/>
      <c r="H1043" s="8" t="n"/>
      <c r="I1043" s="20" t="n"/>
      <c r="J1043" s="21">
        <f>IF(B1043="","",F1043+G1043)</f>
        <v/>
      </c>
      <c r="K1043" s="21">
        <f>IF(B1043="","",J1043*(Settings!$C$11+Settings!$C$12+Settings!$C$14)+IF(C1043="",Settings!$C$13,IF(COUNTIF($C$5:C1043,C1043)=1,Settings!$C$13,0))+E1043*Settings!$C$15+IF(H1043="Yes",J1043*Settings!$C$16,0))</f>
        <v/>
      </c>
      <c r="L1043" s="21">
        <f>IF(B1043="","",IF(Settings!$C$5="Yes",0,K1043*Settings!$C$17))</f>
        <v/>
      </c>
      <c r="M1043" s="21">
        <f>IF(B1043="","",E1043*IFERROR(VLOOKUP(D1043,Products!$B$5:$F$204,5,FALSE),0))</f>
        <v/>
      </c>
      <c r="N1043" s="21">
        <f>IF(B1043="","",J1043-K1043-L1043-M1043-I1043)</f>
        <v/>
      </c>
    </row>
    <row r="1044">
      <c r="B1044" s="11" t="n"/>
      <c r="C1044" s="8" t="n"/>
      <c r="D1044" s="8" t="n"/>
      <c r="E1044" s="8" t="n"/>
      <c r="F1044" s="20" t="n"/>
      <c r="G1044" s="20" t="n"/>
      <c r="H1044" s="8" t="n"/>
      <c r="I1044" s="20" t="n"/>
      <c r="J1044" s="21">
        <f>IF(B1044="","",F1044+G1044)</f>
        <v/>
      </c>
      <c r="K1044" s="21">
        <f>IF(B1044="","",J1044*(Settings!$C$11+Settings!$C$12+Settings!$C$14)+IF(C1044="",Settings!$C$13,IF(COUNTIF($C$5:C1044,C1044)=1,Settings!$C$13,0))+E1044*Settings!$C$15+IF(H1044="Yes",J1044*Settings!$C$16,0))</f>
        <v/>
      </c>
      <c r="L1044" s="21">
        <f>IF(B1044="","",IF(Settings!$C$5="Yes",0,K1044*Settings!$C$17))</f>
        <v/>
      </c>
      <c r="M1044" s="21">
        <f>IF(B1044="","",E1044*IFERROR(VLOOKUP(D1044,Products!$B$5:$F$204,5,FALSE),0))</f>
        <v/>
      </c>
      <c r="N1044" s="21">
        <f>IF(B1044="","",J1044-K1044-L1044-M1044-I1044)</f>
        <v/>
      </c>
    </row>
    <row r="1045">
      <c r="B1045" s="11" t="n"/>
      <c r="C1045" s="8" t="n"/>
      <c r="D1045" s="8" t="n"/>
      <c r="E1045" s="8" t="n"/>
      <c r="F1045" s="20" t="n"/>
      <c r="G1045" s="20" t="n"/>
      <c r="H1045" s="8" t="n"/>
      <c r="I1045" s="20" t="n"/>
      <c r="J1045" s="21">
        <f>IF(B1045="","",F1045+G1045)</f>
        <v/>
      </c>
      <c r="K1045" s="21">
        <f>IF(B1045="","",J1045*(Settings!$C$11+Settings!$C$12+Settings!$C$14)+IF(C1045="",Settings!$C$13,IF(COUNTIF($C$5:C1045,C1045)=1,Settings!$C$13,0))+E1045*Settings!$C$15+IF(H1045="Yes",J1045*Settings!$C$16,0))</f>
        <v/>
      </c>
      <c r="L1045" s="21">
        <f>IF(B1045="","",IF(Settings!$C$5="Yes",0,K1045*Settings!$C$17))</f>
        <v/>
      </c>
      <c r="M1045" s="21">
        <f>IF(B1045="","",E1045*IFERROR(VLOOKUP(D1045,Products!$B$5:$F$204,5,FALSE),0))</f>
        <v/>
      </c>
      <c r="N1045" s="21">
        <f>IF(B1045="","",J1045-K1045-L1045-M1045-I1045)</f>
        <v/>
      </c>
    </row>
    <row r="1046">
      <c r="B1046" s="11" t="n"/>
      <c r="C1046" s="8" t="n"/>
      <c r="D1046" s="8" t="n"/>
      <c r="E1046" s="8" t="n"/>
      <c r="F1046" s="20" t="n"/>
      <c r="G1046" s="20" t="n"/>
      <c r="H1046" s="8" t="n"/>
      <c r="I1046" s="20" t="n"/>
      <c r="J1046" s="21">
        <f>IF(B1046="","",F1046+G1046)</f>
        <v/>
      </c>
      <c r="K1046" s="21">
        <f>IF(B1046="","",J1046*(Settings!$C$11+Settings!$C$12+Settings!$C$14)+IF(C1046="",Settings!$C$13,IF(COUNTIF($C$5:C1046,C1046)=1,Settings!$C$13,0))+E1046*Settings!$C$15+IF(H1046="Yes",J1046*Settings!$C$16,0))</f>
        <v/>
      </c>
      <c r="L1046" s="21">
        <f>IF(B1046="","",IF(Settings!$C$5="Yes",0,K1046*Settings!$C$17))</f>
        <v/>
      </c>
      <c r="M1046" s="21">
        <f>IF(B1046="","",E1046*IFERROR(VLOOKUP(D1046,Products!$B$5:$F$204,5,FALSE),0))</f>
        <v/>
      </c>
      <c r="N1046" s="21">
        <f>IF(B1046="","",J1046-K1046-L1046-M1046-I1046)</f>
        <v/>
      </c>
    </row>
    <row r="1047">
      <c r="B1047" s="11" t="n"/>
      <c r="C1047" s="8" t="n"/>
      <c r="D1047" s="8" t="n"/>
      <c r="E1047" s="8" t="n"/>
      <c r="F1047" s="20" t="n"/>
      <c r="G1047" s="20" t="n"/>
      <c r="H1047" s="8" t="n"/>
      <c r="I1047" s="20" t="n"/>
      <c r="J1047" s="21">
        <f>IF(B1047="","",F1047+G1047)</f>
        <v/>
      </c>
      <c r="K1047" s="21">
        <f>IF(B1047="","",J1047*(Settings!$C$11+Settings!$C$12+Settings!$C$14)+IF(C1047="",Settings!$C$13,IF(COUNTIF($C$5:C1047,C1047)=1,Settings!$C$13,0))+E1047*Settings!$C$15+IF(H1047="Yes",J1047*Settings!$C$16,0))</f>
        <v/>
      </c>
      <c r="L1047" s="21">
        <f>IF(B1047="","",IF(Settings!$C$5="Yes",0,K1047*Settings!$C$17))</f>
        <v/>
      </c>
      <c r="M1047" s="21">
        <f>IF(B1047="","",E1047*IFERROR(VLOOKUP(D1047,Products!$B$5:$F$204,5,FALSE),0))</f>
        <v/>
      </c>
      <c r="N1047" s="21">
        <f>IF(B1047="","",J1047-K1047-L1047-M1047-I1047)</f>
        <v/>
      </c>
    </row>
    <row r="1048">
      <c r="B1048" s="11" t="n"/>
      <c r="C1048" s="8" t="n"/>
      <c r="D1048" s="8" t="n"/>
      <c r="E1048" s="8" t="n"/>
      <c r="F1048" s="20" t="n"/>
      <c r="G1048" s="20" t="n"/>
      <c r="H1048" s="8" t="n"/>
      <c r="I1048" s="20" t="n"/>
      <c r="J1048" s="21">
        <f>IF(B1048="","",F1048+G1048)</f>
        <v/>
      </c>
      <c r="K1048" s="21">
        <f>IF(B1048="","",J1048*(Settings!$C$11+Settings!$C$12+Settings!$C$14)+IF(C1048="",Settings!$C$13,IF(COUNTIF($C$5:C1048,C1048)=1,Settings!$C$13,0))+E1048*Settings!$C$15+IF(H1048="Yes",J1048*Settings!$C$16,0))</f>
        <v/>
      </c>
      <c r="L1048" s="21">
        <f>IF(B1048="","",IF(Settings!$C$5="Yes",0,K1048*Settings!$C$17))</f>
        <v/>
      </c>
      <c r="M1048" s="21">
        <f>IF(B1048="","",E1048*IFERROR(VLOOKUP(D1048,Products!$B$5:$F$204,5,FALSE),0))</f>
        <v/>
      </c>
      <c r="N1048" s="21">
        <f>IF(B1048="","",J1048-K1048-L1048-M1048-I1048)</f>
        <v/>
      </c>
    </row>
    <row r="1049">
      <c r="B1049" s="11" t="n"/>
      <c r="C1049" s="8" t="n"/>
      <c r="D1049" s="8" t="n"/>
      <c r="E1049" s="8" t="n"/>
      <c r="F1049" s="20" t="n"/>
      <c r="G1049" s="20" t="n"/>
      <c r="H1049" s="8" t="n"/>
      <c r="I1049" s="20" t="n"/>
      <c r="J1049" s="21">
        <f>IF(B1049="","",F1049+G1049)</f>
        <v/>
      </c>
      <c r="K1049" s="21">
        <f>IF(B1049="","",J1049*(Settings!$C$11+Settings!$C$12+Settings!$C$14)+IF(C1049="",Settings!$C$13,IF(COUNTIF($C$5:C1049,C1049)=1,Settings!$C$13,0))+E1049*Settings!$C$15+IF(H1049="Yes",J1049*Settings!$C$16,0))</f>
        <v/>
      </c>
      <c r="L1049" s="21">
        <f>IF(B1049="","",IF(Settings!$C$5="Yes",0,K1049*Settings!$C$17))</f>
        <v/>
      </c>
      <c r="M1049" s="21">
        <f>IF(B1049="","",E1049*IFERROR(VLOOKUP(D1049,Products!$B$5:$F$204,5,FALSE),0))</f>
        <v/>
      </c>
      <c r="N1049" s="21">
        <f>IF(B1049="","",J1049-K1049-L1049-M1049-I1049)</f>
        <v/>
      </c>
    </row>
    <row r="1050">
      <c r="B1050" s="11" t="n"/>
      <c r="C1050" s="8" t="n"/>
      <c r="D1050" s="8" t="n"/>
      <c r="E1050" s="8" t="n"/>
      <c r="F1050" s="20" t="n"/>
      <c r="G1050" s="20" t="n"/>
      <c r="H1050" s="8" t="n"/>
      <c r="I1050" s="20" t="n"/>
      <c r="J1050" s="21">
        <f>IF(B1050="","",F1050+G1050)</f>
        <v/>
      </c>
      <c r="K1050" s="21">
        <f>IF(B1050="","",J1050*(Settings!$C$11+Settings!$C$12+Settings!$C$14)+IF(C1050="",Settings!$C$13,IF(COUNTIF($C$5:C1050,C1050)=1,Settings!$C$13,0))+E1050*Settings!$C$15+IF(H1050="Yes",J1050*Settings!$C$16,0))</f>
        <v/>
      </c>
      <c r="L1050" s="21">
        <f>IF(B1050="","",IF(Settings!$C$5="Yes",0,K1050*Settings!$C$17))</f>
        <v/>
      </c>
      <c r="M1050" s="21">
        <f>IF(B1050="","",E1050*IFERROR(VLOOKUP(D1050,Products!$B$5:$F$204,5,FALSE),0))</f>
        <v/>
      </c>
      <c r="N1050" s="21">
        <f>IF(B1050="","",J1050-K1050-L1050-M1050-I1050)</f>
        <v/>
      </c>
    </row>
    <row r="1051">
      <c r="B1051" s="11" t="n"/>
      <c r="C1051" s="8" t="n"/>
      <c r="D1051" s="8" t="n"/>
      <c r="E1051" s="8" t="n"/>
      <c r="F1051" s="20" t="n"/>
      <c r="G1051" s="20" t="n"/>
      <c r="H1051" s="8" t="n"/>
      <c r="I1051" s="20" t="n"/>
      <c r="J1051" s="21">
        <f>IF(B1051="","",F1051+G1051)</f>
        <v/>
      </c>
      <c r="K1051" s="21">
        <f>IF(B1051="","",J1051*(Settings!$C$11+Settings!$C$12+Settings!$C$14)+IF(C1051="",Settings!$C$13,IF(COUNTIF($C$5:C1051,C1051)=1,Settings!$C$13,0))+E1051*Settings!$C$15+IF(H1051="Yes",J1051*Settings!$C$16,0))</f>
        <v/>
      </c>
      <c r="L1051" s="21">
        <f>IF(B1051="","",IF(Settings!$C$5="Yes",0,K1051*Settings!$C$17))</f>
        <v/>
      </c>
      <c r="M1051" s="21">
        <f>IF(B1051="","",E1051*IFERROR(VLOOKUP(D1051,Products!$B$5:$F$204,5,FALSE),0))</f>
        <v/>
      </c>
      <c r="N1051" s="21">
        <f>IF(B1051="","",J1051-K1051-L1051-M1051-I1051)</f>
        <v/>
      </c>
    </row>
    <row r="1052">
      <c r="B1052" s="11" t="n"/>
      <c r="C1052" s="8" t="n"/>
      <c r="D1052" s="8" t="n"/>
      <c r="E1052" s="8" t="n"/>
      <c r="F1052" s="20" t="n"/>
      <c r="G1052" s="20" t="n"/>
      <c r="H1052" s="8" t="n"/>
      <c r="I1052" s="20" t="n"/>
      <c r="J1052" s="21">
        <f>IF(B1052="","",F1052+G1052)</f>
        <v/>
      </c>
      <c r="K1052" s="21">
        <f>IF(B1052="","",J1052*(Settings!$C$11+Settings!$C$12+Settings!$C$14)+IF(C1052="",Settings!$C$13,IF(COUNTIF($C$5:C1052,C1052)=1,Settings!$C$13,0))+E1052*Settings!$C$15+IF(H1052="Yes",J1052*Settings!$C$16,0))</f>
        <v/>
      </c>
      <c r="L1052" s="21">
        <f>IF(B1052="","",IF(Settings!$C$5="Yes",0,K1052*Settings!$C$17))</f>
        <v/>
      </c>
      <c r="M1052" s="21">
        <f>IF(B1052="","",E1052*IFERROR(VLOOKUP(D1052,Products!$B$5:$F$204,5,FALSE),0))</f>
        <v/>
      </c>
      <c r="N1052" s="21">
        <f>IF(B1052="","",J1052-K1052-L1052-M1052-I1052)</f>
        <v/>
      </c>
    </row>
    <row r="1053">
      <c r="B1053" s="11" t="n"/>
      <c r="C1053" s="8" t="n"/>
      <c r="D1053" s="8" t="n"/>
      <c r="E1053" s="8" t="n"/>
      <c r="F1053" s="20" t="n"/>
      <c r="G1053" s="20" t="n"/>
      <c r="H1053" s="8" t="n"/>
      <c r="I1053" s="20" t="n"/>
      <c r="J1053" s="21">
        <f>IF(B1053="","",F1053+G1053)</f>
        <v/>
      </c>
      <c r="K1053" s="21">
        <f>IF(B1053="","",J1053*(Settings!$C$11+Settings!$C$12+Settings!$C$14)+IF(C1053="",Settings!$C$13,IF(COUNTIF($C$5:C1053,C1053)=1,Settings!$C$13,0))+E1053*Settings!$C$15+IF(H1053="Yes",J1053*Settings!$C$16,0))</f>
        <v/>
      </c>
      <c r="L1053" s="21">
        <f>IF(B1053="","",IF(Settings!$C$5="Yes",0,K1053*Settings!$C$17))</f>
        <v/>
      </c>
      <c r="M1053" s="21">
        <f>IF(B1053="","",E1053*IFERROR(VLOOKUP(D1053,Products!$B$5:$F$204,5,FALSE),0))</f>
        <v/>
      </c>
      <c r="N1053" s="21">
        <f>IF(B1053="","",J1053-K1053-L1053-M1053-I1053)</f>
        <v/>
      </c>
    </row>
    <row r="1054">
      <c r="B1054" s="11" t="n"/>
      <c r="C1054" s="8" t="n"/>
      <c r="D1054" s="8" t="n"/>
      <c r="E1054" s="8" t="n"/>
      <c r="F1054" s="20" t="n"/>
      <c r="G1054" s="20" t="n"/>
      <c r="H1054" s="8" t="n"/>
      <c r="I1054" s="20" t="n"/>
      <c r="J1054" s="21">
        <f>IF(B1054="","",F1054+G1054)</f>
        <v/>
      </c>
      <c r="K1054" s="21">
        <f>IF(B1054="","",J1054*(Settings!$C$11+Settings!$C$12+Settings!$C$14)+IF(C1054="",Settings!$C$13,IF(COUNTIF($C$5:C1054,C1054)=1,Settings!$C$13,0))+E1054*Settings!$C$15+IF(H1054="Yes",J1054*Settings!$C$16,0))</f>
        <v/>
      </c>
      <c r="L1054" s="21">
        <f>IF(B1054="","",IF(Settings!$C$5="Yes",0,K1054*Settings!$C$17))</f>
        <v/>
      </c>
      <c r="M1054" s="21">
        <f>IF(B1054="","",E1054*IFERROR(VLOOKUP(D1054,Products!$B$5:$F$204,5,FALSE),0))</f>
        <v/>
      </c>
      <c r="N1054" s="21">
        <f>IF(B1054="","",J1054-K1054-L1054-M1054-I1054)</f>
        <v/>
      </c>
    </row>
    <row r="1055">
      <c r="B1055" s="11" t="n"/>
      <c r="C1055" s="8" t="n"/>
      <c r="D1055" s="8" t="n"/>
      <c r="E1055" s="8" t="n"/>
      <c r="F1055" s="20" t="n"/>
      <c r="G1055" s="20" t="n"/>
      <c r="H1055" s="8" t="n"/>
      <c r="I1055" s="20" t="n"/>
      <c r="J1055" s="21">
        <f>IF(B1055="","",F1055+G1055)</f>
        <v/>
      </c>
      <c r="K1055" s="21">
        <f>IF(B1055="","",J1055*(Settings!$C$11+Settings!$C$12+Settings!$C$14)+IF(C1055="",Settings!$C$13,IF(COUNTIF($C$5:C1055,C1055)=1,Settings!$C$13,0))+E1055*Settings!$C$15+IF(H1055="Yes",J1055*Settings!$C$16,0))</f>
        <v/>
      </c>
      <c r="L1055" s="21">
        <f>IF(B1055="","",IF(Settings!$C$5="Yes",0,K1055*Settings!$C$17))</f>
        <v/>
      </c>
      <c r="M1055" s="21">
        <f>IF(B1055="","",E1055*IFERROR(VLOOKUP(D1055,Products!$B$5:$F$204,5,FALSE),0))</f>
        <v/>
      </c>
      <c r="N1055" s="21">
        <f>IF(B1055="","",J1055-K1055-L1055-M1055-I1055)</f>
        <v/>
      </c>
    </row>
    <row r="1056">
      <c r="B1056" s="11" t="n"/>
      <c r="C1056" s="8" t="n"/>
      <c r="D1056" s="8" t="n"/>
      <c r="E1056" s="8" t="n"/>
      <c r="F1056" s="20" t="n"/>
      <c r="G1056" s="20" t="n"/>
      <c r="H1056" s="8" t="n"/>
      <c r="I1056" s="20" t="n"/>
      <c r="J1056" s="21">
        <f>IF(B1056="","",F1056+G1056)</f>
        <v/>
      </c>
      <c r="K1056" s="21">
        <f>IF(B1056="","",J1056*(Settings!$C$11+Settings!$C$12+Settings!$C$14)+IF(C1056="",Settings!$C$13,IF(COUNTIF($C$5:C1056,C1056)=1,Settings!$C$13,0))+E1056*Settings!$C$15+IF(H1056="Yes",J1056*Settings!$C$16,0))</f>
        <v/>
      </c>
      <c r="L1056" s="21">
        <f>IF(B1056="","",IF(Settings!$C$5="Yes",0,K1056*Settings!$C$17))</f>
        <v/>
      </c>
      <c r="M1056" s="21">
        <f>IF(B1056="","",E1056*IFERROR(VLOOKUP(D1056,Products!$B$5:$F$204,5,FALSE),0))</f>
        <v/>
      </c>
      <c r="N1056" s="21">
        <f>IF(B1056="","",J1056-K1056-L1056-M1056-I1056)</f>
        <v/>
      </c>
    </row>
    <row r="1057">
      <c r="B1057" s="11" t="n"/>
      <c r="C1057" s="8" t="n"/>
      <c r="D1057" s="8" t="n"/>
      <c r="E1057" s="8" t="n"/>
      <c r="F1057" s="20" t="n"/>
      <c r="G1057" s="20" t="n"/>
      <c r="H1057" s="8" t="n"/>
      <c r="I1057" s="20" t="n"/>
      <c r="J1057" s="21">
        <f>IF(B1057="","",F1057+G1057)</f>
        <v/>
      </c>
      <c r="K1057" s="21">
        <f>IF(B1057="","",J1057*(Settings!$C$11+Settings!$C$12+Settings!$C$14)+IF(C1057="",Settings!$C$13,IF(COUNTIF($C$5:C1057,C1057)=1,Settings!$C$13,0))+E1057*Settings!$C$15+IF(H1057="Yes",J1057*Settings!$C$16,0))</f>
        <v/>
      </c>
      <c r="L1057" s="21">
        <f>IF(B1057="","",IF(Settings!$C$5="Yes",0,K1057*Settings!$C$17))</f>
        <v/>
      </c>
      <c r="M1057" s="21">
        <f>IF(B1057="","",E1057*IFERROR(VLOOKUP(D1057,Products!$B$5:$F$204,5,FALSE),0))</f>
        <v/>
      </c>
      <c r="N1057" s="21">
        <f>IF(B1057="","",J1057-K1057-L1057-M1057-I1057)</f>
        <v/>
      </c>
    </row>
    <row r="1058">
      <c r="B1058" s="11" t="n"/>
      <c r="C1058" s="8" t="n"/>
      <c r="D1058" s="8" t="n"/>
      <c r="E1058" s="8" t="n"/>
      <c r="F1058" s="20" t="n"/>
      <c r="G1058" s="20" t="n"/>
      <c r="H1058" s="8" t="n"/>
      <c r="I1058" s="20" t="n"/>
      <c r="J1058" s="21">
        <f>IF(B1058="","",F1058+G1058)</f>
        <v/>
      </c>
      <c r="K1058" s="21">
        <f>IF(B1058="","",J1058*(Settings!$C$11+Settings!$C$12+Settings!$C$14)+IF(C1058="",Settings!$C$13,IF(COUNTIF($C$5:C1058,C1058)=1,Settings!$C$13,0))+E1058*Settings!$C$15+IF(H1058="Yes",J1058*Settings!$C$16,0))</f>
        <v/>
      </c>
      <c r="L1058" s="21">
        <f>IF(B1058="","",IF(Settings!$C$5="Yes",0,K1058*Settings!$C$17))</f>
        <v/>
      </c>
      <c r="M1058" s="21">
        <f>IF(B1058="","",E1058*IFERROR(VLOOKUP(D1058,Products!$B$5:$F$204,5,FALSE),0))</f>
        <v/>
      </c>
      <c r="N1058" s="21">
        <f>IF(B1058="","",J1058-K1058-L1058-M1058-I1058)</f>
        <v/>
      </c>
    </row>
    <row r="1059">
      <c r="B1059" s="11" t="n"/>
      <c r="C1059" s="8" t="n"/>
      <c r="D1059" s="8" t="n"/>
      <c r="E1059" s="8" t="n"/>
      <c r="F1059" s="20" t="n"/>
      <c r="G1059" s="20" t="n"/>
      <c r="H1059" s="8" t="n"/>
      <c r="I1059" s="20" t="n"/>
      <c r="J1059" s="21">
        <f>IF(B1059="","",F1059+G1059)</f>
        <v/>
      </c>
      <c r="K1059" s="21">
        <f>IF(B1059="","",J1059*(Settings!$C$11+Settings!$C$12+Settings!$C$14)+IF(C1059="",Settings!$C$13,IF(COUNTIF($C$5:C1059,C1059)=1,Settings!$C$13,0))+E1059*Settings!$C$15+IF(H1059="Yes",J1059*Settings!$C$16,0))</f>
        <v/>
      </c>
      <c r="L1059" s="21">
        <f>IF(B1059="","",IF(Settings!$C$5="Yes",0,K1059*Settings!$C$17))</f>
        <v/>
      </c>
      <c r="M1059" s="21">
        <f>IF(B1059="","",E1059*IFERROR(VLOOKUP(D1059,Products!$B$5:$F$204,5,FALSE),0))</f>
        <v/>
      </c>
      <c r="N1059" s="21">
        <f>IF(B1059="","",J1059-K1059-L1059-M1059-I1059)</f>
        <v/>
      </c>
    </row>
    <row r="1060">
      <c r="B1060" s="11" t="n"/>
      <c r="C1060" s="8" t="n"/>
      <c r="D1060" s="8" t="n"/>
      <c r="E1060" s="8" t="n"/>
      <c r="F1060" s="20" t="n"/>
      <c r="G1060" s="20" t="n"/>
      <c r="H1060" s="8" t="n"/>
      <c r="I1060" s="20" t="n"/>
      <c r="J1060" s="21">
        <f>IF(B1060="","",F1060+G1060)</f>
        <v/>
      </c>
      <c r="K1060" s="21">
        <f>IF(B1060="","",J1060*(Settings!$C$11+Settings!$C$12+Settings!$C$14)+IF(C1060="",Settings!$C$13,IF(COUNTIF($C$5:C1060,C1060)=1,Settings!$C$13,0))+E1060*Settings!$C$15+IF(H1060="Yes",J1060*Settings!$C$16,0))</f>
        <v/>
      </c>
      <c r="L1060" s="21">
        <f>IF(B1060="","",IF(Settings!$C$5="Yes",0,K1060*Settings!$C$17))</f>
        <v/>
      </c>
      <c r="M1060" s="21">
        <f>IF(B1060="","",E1060*IFERROR(VLOOKUP(D1060,Products!$B$5:$F$204,5,FALSE),0))</f>
        <v/>
      </c>
      <c r="N1060" s="21">
        <f>IF(B1060="","",J1060-K1060-L1060-M1060-I1060)</f>
        <v/>
      </c>
    </row>
    <row r="1061">
      <c r="B1061" s="11" t="n"/>
      <c r="C1061" s="8" t="n"/>
      <c r="D1061" s="8" t="n"/>
      <c r="E1061" s="8" t="n"/>
      <c r="F1061" s="20" t="n"/>
      <c r="G1061" s="20" t="n"/>
      <c r="H1061" s="8" t="n"/>
      <c r="I1061" s="20" t="n"/>
      <c r="J1061" s="21">
        <f>IF(B1061="","",F1061+G1061)</f>
        <v/>
      </c>
      <c r="K1061" s="21">
        <f>IF(B1061="","",J1061*(Settings!$C$11+Settings!$C$12+Settings!$C$14)+IF(C1061="",Settings!$C$13,IF(COUNTIF($C$5:C1061,C1061)=1,Settings!$C$13,0))+E1061*Settings!$C$15+IF(H1061="Yes",J1061*Settings!$C$16,0))</f>
        <v/>
      </c>
      <c r="L1061" s="21">
        <f>IF(B1061="","",IF(Settings!$C$5="Yes",0,K1061*Settings!$C$17))</f>
        <v/>
      </c>
      <c r="M1061" s="21">
        <f>IF(B1061="","",E1061*IFERROR(VLOOKUP(D1061,Products!$B$5:$F$204,5,FALSE),0))</f>
        <v/>
      </c>
      <c r="N1061" s="21">
        <f>IF(B1061="","",J1061-K1061-L1061-M1061-I1061)</f>
        <v/>
      </c>
    </row>
    <row r="1062">
      <c r="B1062" s="11" t="n"/>
      <c r="C1062" s="8" t="n"/>
      <c r="D1062" s="8" t="n"/>
      <c r="E1062" s="8" t="n"/>
      <c r="F1062" s="20" t="n"/>
      <c r="G1062" s="20" t="n"/>
      <c r="H1062" s="8" t="n"/>
      <c r="I1062" s="20" t="n"/>
      <c r="J1062" s="21">
        <f>IF(B1062="","",F1062+G1062)</f>
        <v/>
      </c>
      <c r="K1062" s="21">
        <f>IF(B1062="","",J1062*(Settings!$C$11+Settings!$C$12+Settings!$C$14)+IF(C1062="",Settings!$C$13,IF(COUNTIF($C$5:C1062,C1062)=1,Settings!$C$13,0))+E1062*Settings!$C$15+IF(H1062="Yes",J1062*Settings!$C$16,0))</f>
        <v/>
      </c>
      <c r="L1062" s="21">
        <f>IF(B1062="","",IF(Settings!$C$5="Yes",0,K1062*Settings!$C$17))</f>
        <v/>
      </c>
      <c r="M1062" s="21">
        <f>IF(B1062="","",E1062*IFERROR(VLOOKUP(D1062,Products!$B$5:$F$204,5,FALSE),0))</f>
        <v/>
      </c>
      <c r="N1062" s="21">
        <f>IF(B1062="","",J1062-K1062-L1062-M1062-I1062)</f>
        <v/>
      </c>
    </row>
    <row r="1063">
      <c r="B1063" s="11" t="n"/>
      <c r="C1063" s="8" t="n"/>
      <c r="D1063" s="8" t="n"/>
      <c r="E1063" s="8" t="n"/>
      <c r="F1063" s="20" t="n"/>
      <c r="G1063" s="20" t="n"/>
      <c r="H1063" s="8" t="n"/>
      <c r="I1063" s="20" t="n"/>
      <c r="J1063" s="21">
        <f>IF(B1063="","",F1063+G1063)</f>
        <v/>
      </c>
      <c r="K1063" s="21">
        <f>IF(B1063="","",J1063*(Settings!$C$11+Settings!$C$12+Settings!$C$14)+IF(C1063="",Settings!$C$13,IF(COUNTIF($C$5:C1063,C1063)=1,Settings!$C$13,0))+E1063*Settings!$C$15+IF(H1063="Yes",J1063*Settings!$C$16,0))</f>
        <v/>
      </c>
      <c r="L1063" s="21">
        <f>IF(B1063="","",IF(Settings!$C$5="Yes",0,K1063*Settings!$C$17))</f>
        <v/>
      </c>
      <c r="M1063" s="21">
        <f>IF(B1063="","",E1063*IFERROR(VLOOKUP(D1063,Products!$B$5:$F$204,5,FALSE),0))</f>
        <v/>
      </c>
      <c r="N1063" s="21">
        <f>IF(B1063="","",J1063-K1063-L1063-M1063-I1063)</f>
        <v/>
      </c>
    </row>
    <row r="1064">
      <c r="B1064" s="11" t="n"/>
      <c r="C1064" s="8" t="n"/>
      <c r="D1064" s="8" t="n"/>
      <c r="E1064" s="8" t="n"/>
      <c r="F1064" s="20" t="n"/>
      <c r="G1064" s="20" t="n"/>
      <c r="H1064" s="8" t="n"/>
      <c r="I1064" s="20" t="n"/>
      <c r="J1064" s="21">
        <f>IF(B1064="","",F1064+G1064)</f>
        <v/>
      </c>
      <c r="K1064" s="21">
        <f>IF(B1064="","",J1064*(Settings!$C$11+Settings!$C$12+Settings!$C$14)+IF(C1064="",Settings!$C$13,IF(COUNTIF($C$5:C1064,C1064)=1,Settings!$C$13,0))+E1064*Settings!$C$15+IF(H1064="Yes",J1064*Settings!$C$16,0))</f>
        <v/>
      </c>
      <c r="L1064" s="21">
        <f>IF(B1064="","",IF(Settings!$C$5="Yes",0,K1064*Settings!$C$17))</f>
        <v/>
      </c>
      <c r="M1064" s="21">
        <f>IF(B1064="","",E1064*IFERROR(VLOOKUP(D1064,Products!$B$5:$F$204,5,FALSE),0))</f>
        <v/>
      </c>
      <c r="N1064" s="21">
        <f>IF(B1064="","",J1064-K1064-L1064-M1064-I1064)</f>
        <v/>
      </c>
    </row>
    <row r="1065">
      <c r="B1065" s="11" t="n"/>
      <c r="C1065" s="8" t="n"/>
      <c r="D1065" s="8" t="n"/>
      <c r="E1065" s="8" t="n"/>
      <c r="F1065" s="20" t="n"/>
      <c r="G1065" s="20" t="n"/>
      <c r="H1065" s="8" t="n"/>
      <c r="I1065" s="20" t="n"/>
      <c r="J1065" s="21">
        <f>IF(B1065="","",F1065+G1065)</f>
        <v/>
      </c>
      <c r="K1065" s="21">
        <f>IF(B1065="","",J1065*(Settings!$C$11+Settings!$C$12+Settings!$C$14)+IF(C1065="",Settings!$C$13,IF(COUNTIF($C$5:C1065,C1065)=1,Settings!$C$13,0))+E1065*Settings!$C$15+IF(H1065="Yes",J1065*Settings!$C$16,0))</f>
        <v/>
      </c>
      <c r="L1065" s="21">
        <f>IF(B1065="","",IF(Settings!$C$5="Yes",0,K1065*Settings!$C$17))</f>
        <v/>
      </c>
      <c r="M1065" s="21">
        <f>IF(B1065="","",E1065*IFERROR(VLOOKUP(D1065,Products!$B$5:$F$204,5,FALSE),0))</f>
        <v/>
      </c>
      <c r="N1065" s="21">
        <f>IF(B1065="","",J1065-K1065-L1065-M1065-I1065)</f>
        <v/>
      </c>
    </row>
    <row r="1066">
      <c r="B1066" s="11" t="n"/>
      <c r="C1066" s="8" t="n"/>
      <c r="D1066" s="8" t="n"/>
      <c r="E1066" s="8" t="n"/>
      <c r="F1066" s="20" t="n"/>
      <c r="G1066" s="20" t="n"/>
      <c r="H1066" s="8" t="n"/>
      <c r="I1066" s="20" t="n"/>
      <c r="J1066" s="21">
        <f>IF(B1066="","",F1066+G1066)</f>
        <v/>
      </c>
      <c r="K1066" s="21">
        <f>IF(B1066="","",J1066*(Settings!$C$11+Settings!$C$12+Settings!$C$14)+IF(C1066="",Settings!$C$13,IF(COUNTIF($C$5:C1066,C1066)=1,Settings!$C$13,0))+E1066*Settings!$C$15+IF(H1066="Yes",J1066*Settings!$C$16,0))</f>
        <v/>
      </c>
      <c r="L1066" s="21">
        <f>IF(B1066="","",IF(Settings!$C$5="Yes",0,K1066*Settings!$C$17))</f>
        <v/>
      </c>
      <c r="M1066" s="21">
        <f>IF(B1066="","",E1066*IFERROR(VLOOKUP(D1066,Products!$B$5:$F$204,5,FALSE),0))</f>
        <v/>
      </c>
      <c r="N1066" s="21">
        <f>IF(B1066="","",J1066-K1066-L1066-M1066-I1066)</f>
        <v/>
      </c>
    </row>
    <row r="1067">
      <c r="B1067" s="11" t="n"/>
      <c r="C1067" s="8" t="n"/>
      <c r="D1067" s="8" t="n"/>
      <c r="E1067" s="8" t="n"/>
      <c r="F1067" s="20" t="n"/>
      <c r="G1067" s="20" t="n"/>
      <c r="H1067" s="8" t="n"/>
      <c r="I1067" s="20" t="n"/>
      <c r="J1067" s="21">
        <f>IF(B1067="","",F1067+G1067)</f>
        <v/>
      </c>
      <c r="K1067" s="21">
        <f>IF(B1067="","",J1067*(Settings!$C$11+Settings!$C$12+Settings!$C$14)+IF(C1067="",Settings!$C$13,IF(COUNTIF($C$5:C1067,C1067)=1,Settings!$C$13,0))+E1067*Settings!$C$15+IF(H1067="Yes",J1067*Settings!$C$16,0))</f>
        <v/>
      </c>
      <c r="L1067" s="21">
        <f>IF(B1067="","",IF(Settings!$C$5="Yes",0,K1067*Settings!$C$17))</f>
        <v/>
      </c>
      <c r="M1067" s="21">
        <f>IF(B1067="","",E1067*IFERROR(VLOOKUP(D1067,Products!$B$5:$F$204,5,FALSE),0))</f>
        <v/>
      </c>
      <c r="N1067" s="21">
        <f>IF(B1067="","",J1067-K1067-L1067-M1067-I1067)</f>
        <v/>
      </c>
    </row>
    <row r="1068">
      <c r="B1068" s="11" t="n"/>
      <c r="C1068" s="8" t="n"/>
      <c r="D1068" s="8" t="n"/>
      <c r="E1068" s="8" t="n"/>
      <c r="F1068" s="20" t="n"/>
      <c r="G1068" s="20" t="n"/>
      <c r="H1068" s="8" t="n"/>
      <c r="I1068" s="20" t="n"/>
      <c r="J1068" s="21">
        <f>IF(B1068="","",F1068+G1068)</f>
        <v/>
      </c>
      <c r="K1068" s="21">
        <f>IF(B1068="","",J1068*(Settings!$C$11+Settings!$C$12+Settings!$C$14)+IF(C1068="",Settings!$C$13,IF(COUNTIF($C$5:C1068,C1068)=1,Settings!$C$13,0))+E1068*Settings!$C$15+IF(H1068="Yes",J1068*Settings!$C$16,0))</f>
        <v/>
      </c>
      <c r="L1068" s="21">
        <f>IF(B1068="","",IF(Settings!$C$5="Yes",0,K1068*Settings!$C$17))</f>
        <v/>
      </c>
      <c r="M1068" s="21">
        <f>IF(B1068="","",E1068*IFERROR(VLOOKUP(D1068,Products!$B$5:$F$204,5,FALSE),0))</f>
        <v/>
      </c>
      <c r="N1068" s="21">
        <f>IF(B1068="","",J1068-K1068-L1068-M1068-I1068)</f>
        <v/>
      </c>
    </row>
    <row r="1069">
      <c r="B1069" s="11" t="n"/>
      <c r="C1069" s="8" t="n"/>
      <c r="D1069" s="8" t="n"/>
      <c r="E1069" s="8" t="n"/>
      <c r="F1069" s="20" t="n"/>
      <c r="G1069" s="20" t="n"/>
      <c r="H1069" s="8" t="n"/>
      <c r="I1069" s="20" t="n"/>
      <c r="J1069" s="21">
        <f>IF(B1069="","",F1069+G1069)</f>
        <v/>
      </c>
      <c r="K1069" s="21">
        <f>IF(B1069="","",J1069*(Settings!$C$11+Settings!$C$12+Settings!$C$14)+IF(C1069="",Settings!$C$13,IF(COUNTIF($C$5:C1069,C1069)=1,Settings!$C$13,0))+E1069*Settings!$C$15+IF(H1069="Yes",J1069*Settings!$C$16,0))</f>
        <v/>
      </c>
      <c r="L1069" s="21">
        <f>IF(B1069="","",IF(Settings!$C$5="Yes",0,K1069*Settings!$C$17))</f>
        <v/>
      </c>
      <c r="M1069" s="21">
        <f>IF(B1069="","",E1069*IFERROR(VLOOKUP(D1069,Products!$B$5:$F$204,5,FALSE),0))</f>
        <v/>
      </c>
      <c r="N1069" s="21">
        <f>IF(B1069="","",J1069-K1069-L1069-M1069-I1069)</f>
        <v/>
      </c>
    </row>
    <row r="1070">
      <c r="B1070" s="11" t="n"/>
      <c r="C1070" s="8" t="n"/>
      <c r="D1070" s="8" t="n"/>
      <c r="E1070" s="8" t="n"/>
      <c r="F1070" s="20" t="n"/>
      <c r="G1070" s="20" t="n"/>
      <c r="H1070" s="8" t="n"/>
      <c r="I1070" s="20" t="n"/>
      <c r="J1070" s="21">
        <f>IF(B1070="","",F1070+G1070)</f>
        <v/>
      </c>
      <c r="K1070" s="21">
        <f>IF(B1070="","",J1070*(Settings!$C$11+Settings!$C$12+Settings!$C$14)+IF(C1070="",Settings!$C$13,IF(COUNTIF($C$5:C1070,C1070)=1,Settings!$C$13,0))+E1070*Settings!$C$15+IF(H1070="Yes",J1070*Settings!$C$16,0))</f>
        <v/>
      </c>
      <c r="L1070" s="21">
        <f>IF(B1070="","",IF(Settings!$C$5="Yes",0,K1070*Settings!$C$17))</f>
        <v/>
      </c>
      <c r="M1070" s="21">
        <f>IF(B1070="","",E1070*IFERROR(VLOOKUP(D1070,Products!$B$5:$F$204,5,FALSE),0))</f>
        <v/>
      </c>
      <c r="N1070" s="21">
        <f>IF(B1070="","",J1070-K1070-L1070-M1070-I1070)</f>
        <v/>
      </c>
    </row>
    <row r="1071">
      <c r="B1071" s="11" t="n"/>
      <c r="C1071" s="8" t="n"/>
      <c r="D1071" s="8" t="n"/>
      <c r="E1071" s="8" t="n"/>
      <c r="F1071" s="20" t="n"/>
      <c r="G1071" s="20" t="n"/>
      <c r="H1071" s="8" t="n"/>
      <c r="I1071" s="20" t="n"/>
      <c r="J1071" s="21">
        <f>IF(B1071="","",F1071+G1071)</f>
        <v/>
      </c>
      <c r="K1071" s="21">
        <f>IF(B1071="","",J1071*(Settings!$C$11+Settings!$C$12+Settings!$C$14)+IF(C1071="",Settings!$C$13,IF(COUNTIF($C$5:C1071,C1071)=1,Settings!$C$13,0))+E1071*Settings!$C$15+IF(H1071="Yes",J1071*Settings!$C$16,0))</f>
        <v/>
      </c>
      <c r="L1071" s="21">
        <f>IF(B1071="","",IF(Settings!$C$5="Yes",0,K1071*Settings!$C$17))</f>
        <v/>
      </c>
      <c r="M1071" s="21">
        <f>IF(B1071="","",E1071*IFERROR(VLOOKUP(D1071,Products!$B$5:$F$204,5,FALSE),0))</f>
        <v/>
      </c>
      <c r="N1071" s="21">
        <f>IF(B1071="","",J1071-K1071-L1071-M1071-I1071)</f>
        <v/>
      </c>
    </row>
    <row r="1072">
      <c r="B1072" s="11" t="n"/>
      <c r="C1072" s="8" t="n"/>
      <c r="D1072" s="8" t="n"/>
      <c r="E1072" s="8" t="n"/>
      <c r="F1072" s="20" t="n"/>
      <c r="G1072" s="20" t="n"/>
      <c r="H1072" s="8" t="n"/>
      <c r="I1072" s="20" t="n"/>
      <c r="J1072" s="21">
        <f>IF(B1072="","",F1072+G1072)</f>
        <v/>
      </c>
      <c r="K1072" s="21">
        <f>IF(B1072="","",J1072*(Settings!$C$11+Settings!$C$12+Settings!$C$14)+IF(C1072="",Settings!$C$13,IF(COUNTIF($C$5:C1072,C1072)=1,Settings!$C$13,0))+E1072*Settings!$C$15+IF(H1072="Yes",J1072*Settings!$C$16,0))</f>
        <v/>
      </c>
      <c r="L1072" s="21">
        <f>IF(B1072="","",IF(Settings!$C$5="Yes",0,K1072*Settings!$C$17))</f>
        <v/>
      </c>
      <c r="M1072" s="21">
        <f>IF(B1072="","",E1072*IFERROR(VLOOKUP(D1072,Products!$B$5:$F$204,5,FALSE),0))</f>
        <v/>
      </c>
      <c r="N1072" s="21">
        <f>IF(B1072="","",J1072-K1072-L1072-M1072-I1072)</f>
        <v/>
      </c>
    </row>
    <row r="1073">
      <c r="B1073" s="11" t="n"/>
      <c r="C1073" s="8" t="n"/>
      <c r="D1073" s="8" t="n"/>
      <c r="E1073" s="8" t="n"/>
      <c r="F1073" s="20" t="n"/>
      <c r="G1073" s="20" t="n"/>
      <c r="H1073" s="8" t="n"/>
      <c r="I1073" s="20" t="n"/>
      <c r="J1073" s="21">
        <f>IF(B1073="","",F1073+G1073)</f>
        <v/>
      </c>
      <c r="K1073" s="21">
        <f>IF(B1073="","",J1073*(Settings!$C$11+Settings!$C$12+Settings!$C$14)+IF(C1073="",Settings!$C$13,IF(COUNTIF($C$5:C1073,C1073)=1,Settings!$C$13,0))+E1073*Settings!$C$15+IF(H1073="Yes",J1073*Settings!$C$16,0))</f>
        <v/>
      </c>
      <c r="L1073" s="21">
        <f>IF(B1073="","",IF(Settings!$C$5="Yes",0,K1073*Settings!$C$17))</f>
        <v/>
      </c>
      <c r="M1073" s="21">
        <f>IF(B1073="","",E1073*IFERROR(VLOOKUP(D1073,Products!$B$5:$F$204,5,FALSE),0))</f>
        <v/>
      </c>
      <c r="N1073" s="21">
        <f>IF(B1073="","",J1073-K1073-L1073-M1073-I1073)</f>
        <v/>
      </c>
    </row>
    <row r="1074">
      <c r="B1074" s="11" t="n"/>
      <c r="C1074" s="8" t="n"/>
      <c r="D1074" s="8" t="n"/>
      <c r="E1074" s="8" t="n"/>
      <c r="F1074" s="20" t="n"/>
      <c r="G1074" s="20" t="n"/>
      <c r="H1074" s="8" t="n"/>
      <c r="I1074" s="20" t="n"/>
      <c r="J1074" s="21">
        <f>IF(B1074="","",F1074+G1074)</f>
        <v/>
      </c>
      <c r="K1074" s="21">
        <f>IF(B1074="","",J1074*(Settings!$C$11+Settings!$C$12+Settings!$C$14)+IF(C1074="",Settings!$C$13,IF(COUNTIF($C$5:C1074,C1074)=1,Settings!$C$13,0))+E1074*Settings!$C$15+IF(H1074="Yes",J1074*Settings!$C$16,0))</f>
        <v/>
      </c>
      <c r="L1074" s="21">
        <f>IF(B1074="","",IF(Settings!$C$5="Yes",0,K1074*Settings!$C$17))</f>
        <v/>
      </c>
      <c r="M1074" s="21">
        <f>IF(B1074="","",E1074*IFERROR(VLOOKUP(D1074,Products!$B$5:$F$204,5,FALSE),0))</f>
        <v/>
      </c>
      <c r="N1074" s="21">
        <f>IF(B1074="","",J1074-K1074-L1074-M1074-I1074)</f>
        <v/>
      </c>
    </row>
    <row r="1075">
      <c r="B1075" s="11" t="n"/>
      <c r="C1075" s="8" t="n"/>
      <c r="D1075" s="8" t="n"/>
      <c r="E1075" s="8" t="n"/>
      <c r="F1075" s="20" t="n"/>
      <c r="G1075" s="20" t="n"/>
      <c r="H1075" s="8" t="n"/>
      <c r="I1075" s="20" t="n"/>
      <c r="J1075" s="21">
        <f>IF(B1075="","",F1075+G1075)</f>
        <v/>
      </c>
      <c r="K1075" s="21">
        <f>IF(B1075="","",J1075*(Settings!$C$11+Settings!$C$12+Settings!$C$14)+IF(C1075="",Settings!$C$13,IF(COUNTIF($C$5:C1075,C1075)=1,Settings!$C$13,0))+E1075*Settings!$C$15+IF(H1075="Yes",J1075*Settings!$C$16,0))</f>
        <v/>
      </c>
      <c r="L1075" s="21">
        <f>IF(B1075="","",IF(Settings!$C$5="Yes",0,K1075*Settings!$C$17))</f>
        <v/>
      </c>
      <c r="M1075" s="21">
        <f>IF(B1075="","",E1075*IFERROR(VLOOKUP(D1075,Products!$B$5:$F$204,5,FALSE),0))</f>
        <v/>
      </c>
      <c r="N1075" s="21">
        <f>IF(B1075="","",J1075-K1075-L1075-M1075-I1075)</f>
        <v/>
      </c>
    </row>
    <row r="1076">
      <c r="B1076" s="11" t="n"/>
      <c r="C1076" s="8" t="n"/>
      <c r="D1076" s="8" t="n"/>
      <c r="E1076" s="8" t="n"/>
      <c r="F1076" s="20" t="n"/>
      <c r="G1076" s="20" t="n"/>
      <c r="H1076" s="8" t="n"/>
      <c r="I1076" s="20" t="n"/>
      <c r="J1076" s="21">
        <f>IF(B1076="","",F1076+G1076)</f>
        <v/>
      </c>
      <c r="K1076" s="21">
        <f>IF(B1076="","",J1076*(Settings!$C$11+Settings!$C$12+Settings!$C$14)+IF(C1076="",Settings!$C$13,IF(COUNTIF($C$5:C1076,C1076)=1,Settings!$C$13,0))+E1076*Settings!$C$15+IF(H1076="Yes",J1076*Settings!$C$16,0))</f>
        <v/>
      </c>
      <c r="L1076" s="21">
        <f>IF(B1076="","",IF(Settings!$C$5="Yes",0,K1076*Settings!$C$17))</f>
        <v/>
      </c>
      <c r="M1076" s="21">
        <f>IF(B1076="","",E1076*IFERROR(VLOOKUP(D1076,Products!$B$5:$F$204,5,FALSE),0))</f>
        <v/>
      </c>
      <c r="N1076" s="21">
        <f>IF(B1076="","",J1076-K1076-L1076-M1076-I1076)</f>
        <v/>
      </c>
    </row>
    <row r="1077">
      <c r="B1077" s="11" t="n"/>
      <c r="C1077" s="8" t="n"/>
      <c r="D1077" s="8" t="n"/>
      <c r="E1077" s="8" t="n"/>
      <c r="F1077" s="20" t="n"/>
      <c r="G1077" s="20" t="n"/>
      <c r="H1077" s="8" t="n"/>
      <c r="I1077" s="20" t="n"/>
      <c r="J1077" s="21">
        <f>IF(B1077="","",F1077+G1077)</f>
        <v/>
      </c>
      <c r="K1077" s="21">
        <f>IF(B1077="","",J1077*(Settings!$C$11+Settings!$C$12+Settings!$C$14)+IF(C1077="",Settings!$C$13,IF(COUNTIF($C$5:C1077,C1077)=1,Settings!$C$13,0))+E1077*Settings!$C$15+IF(H1077="Yes",J1077*Settings!$C$16,0))</f>
        <v/>
      </c>
      <c r="L1077" s="21">
        <f>IF(B1077="","",IF(Settings!$C$5="Yes",0,K1077*Settings!$C$17))</f>
        <v/>
      </c>
      <c r="M1077" s="21">
        <f>IF(B1077="","",E1077*IFERROR(VLOOKUP(D1077,Products!$B$5:$F$204,5,FALSE),0))</f>
        <v/>
      </c>
      <c r="N1077" s="21">
        <f>IF(B1077="","",J1077-K1077-L1077-M1077-I1077)</f>
        <v/>
      </c>
    </row>
    <row r="1078">
      <c r="B1078" s="11" t="n"/>
      <c r="C1078" s="8" t="n"/>
      <c r="D1078" s="8" t="n"/>
      <c r="E1078" s="8" t="n"/>
      <c r="F1078" s="20" t="n"/>
      <c r="G1078" s="20" t="n"/>
      <c r="H1078" s="8" t="n"/>
      <c r="I1078" s="20" t="n"/>
      <c r="J1078" s="21">
        <f>IF(B1078="","",F1078+G1078)</f>
        <v/>
      </c>
      <c r="K1078" s="21">
        <f>IF(B1078="","",J1078*(Settings!$C$11+Settings!$C$12+Settings!$C$14)+IF(C1078="",Settings!$C$13,IF(COUNTIF($C$5:C1078,C1078)=1,Settings!$C$13,0))+E1078*Settings!$C$15+IF(H1078="Yes",J1078*Settings!$C$16,0))</f>
        <v/>
      </c>
      <c r="L1078" s="21">
        <f>IF(B1078="","",IF(Settings!$C$5="Yes",0,K1078*Settings!$C$17))</f>
        <v/>
      </c>
      <c r="M1078" s="21">
        <f>IF(B1078="","",E1078*IFERROR(VLOOKUP(D1078,Products!$B$5:$F$204,5,FALSE),0))</f>
        <v/>
      </c>
      <c r="N1078" s="21">
        <f>IF(B1078="","",J1078-K1078-L1078-M1078-I1078)</f>
        <v/>
      </c>
    </row>
    <row r="1079">
      <c r="B1079" s="11" t="n"/>
      <c r="C1079" s="8" t="n"/>
      <c r="D1079" s="8" t="n"/>
      <c r="E1079" s="8" t="n"/>
      <c r="F1079" s="20" t="n"/>
      <c r="G1079" s="20" t="n"/>
      <c r="H1079" s="8" t="n"/>
      <c r="I1079" s="20" t="n"/>
      <c r="J1079" s="21">
        <f>IF(B1079="","",F1079+G1079)</f>
        <v/>
      </c>
      <c r="K1079" s="21">
        <f>IF(B1079="","",J1079*(Settings!$C$11+Settings!$C$12+Settings!$C$14)+IF(C1079="",Settings!$C$13,IF(COUNTIF($C$5:C1079,C1079)=1,Settings!$C$13,0))+E1079*Settings!$C$15+IF(H1079="Yes",J1079*Settings!$C$16,0))</f>
        <v/>
      </c>
      <c r="L1079" s="21">
        <f>IF(B1079="","",IF(Settings!$C$5="Yes",0,K1079*Settings!$C$17))</f>
        <v/>
      </c>
      <c r="M1079" s="21">
        <f>IF(B1079="","",E1079*IFERROR(VLOOKUP(D1079,Products!$B$5:$F$204,5,FALSE),0))</f>
        <v/>
      </c>
      <c r="N1079" s="21">
        <f>IF(B1079="","",J1079-K1079-L1079-M1079-I1079)</f>
        <v/>
      </c>
    </row>
    <row r="1080">
      <c r="B1080" s="11" t="n"/>
      <c r="C1080" s="8" t="n"/>
      <c r="D1080" s="8" t="n"/>
      <c r="E1080" s="8" t="n"/>
      <c r="F1080" s="20" t="n"/>
      <c r="G1080" s="20" t="n"/>
      <c r="H1080" s="8" t="n"/>
      <c r="I1080" s="20" t="n"/>
      <c r="J1080" s="21">
        <f>IF(B1080="","",F1080+G1080)</f>
        <v/>
      </c>
      <c r="K1080" s="21">
        <f>IF(B1080="","",J1080*(Settings!$C$11+Settings!$C$12+Settings!$C$14)+IF(C1080="",Settings!$C$13,IF(COUNTIF($C$5:C1080,C1080)=1,Settings!$C$13,0))+E1080*Settings!$C$15+IF(H1080="Yes",J1080*Settings!$C$16,0))</f>
        <v/>
      </c>
      <c r="L1080" s="21">
        <f>IF(B1080="","",IF(Settings!$C$5="Yes",0,K1080*Settings!$C$17))</f>
        <v/>
      </c>
      <c r="M1080" s="21">
        <f>IF(B1080="","",E1080*IFERROR(VLOOKUP(D1080,Products!$B$5:$F$204,5,FALSE),0))</f>
        <v/>
      </c>
      <c r="N1080" s="21">
        <f>IF(B1080="","",J1080-K1080-L1080-M1080-I1080)</f>
        <v/>
      </c>
    </row>
    <row r="1081">
      <c r="B1081" s="11" t="n"/>
      <c r="C1081" s="8" t="n"/>
      <c r="D1081" s="8" t="n"/>
      <c r="E1081" s="8" t="n"/>
      <c r="F1081" s="20" t="n"/>
      <c r="G1081" s="20" t="n"/>
      <c r="H1081" s="8" t="n"/>
      <c r="I1081" s="20" t="n"/>
      <c r="J1081" s="21">
        <f>IF(B1081="","",F1081+G1081)</f>
        <v/>
      </c>
      <c r="K1081" s="21">
        <f>IF(B1081="","",J1081*(Settings!$C$11+Settings!$C$12+Settings!$C$14)+IF(C1081="",Settings!$C$13,IF(COUNTIF($C$5:C1081,C1081)=1,Settings!$C$13,0))+E1081*Settings!$C$15+IF(H1081="Yes",J1081*Settings!$C$16,0))</f>
        <v/>
      </c>
      <c r="L1081" s="21">
        <f>IF(B1081="","",IF(Settings!$C$5="Yes",0,K1081*Settings!$C$17))</f>
        <v/>
      </c>
      <c r="M1081" s="21">
        <f>IF(B1081="","",E1081*IFERROR(VLOOKUP(D1081,Products!$B$5:$F$204,5,FALSE),0))</f>
        <v/>
      </c>
      <c r="N1081" s="21">
        <f>IF(B1081="","",J1081-K1081-L1081-M1081-I1081)</f>
        <v/>
      </c>
    </row>
    <row r="1082">
      <c r="B1082" s="11" t="n"/>
      <c r="C1082" s="8" t="n"/>
      <c r="D1082" s="8" t="n"/>
      <c r="E1082" s="8" t="n"/>
      <c r="F1082" s="20" t="n"/>
      <c r="G1082" s="20" t="n"/>
      <c r="H1082" s="8" t="n"/>
      <c r="I1082" s="20" t="n"/>
      <c r="J1082" s="21">
        <f>IF(B1082="","",F1082+G1082)</f>
        <v/>
      </c>
      <c r="K1082" s="21">
        <f>IF(B1082="","",J1082*(Settings!$C$11+Settings!$C$12+Settings!$C$14)+IF(C1082="",Settings!$C$13,IF(COUNTIF($C$5:C1082,C1082)=1,Settings!$C$13,0))+E1082*Settings!$C$15+IF(H1082="Yes",J1082*Settings!$C$16,0))</f>
        <v/>
      </c>
      <c r="L1082" s="21">
        <f>IF(B1082="","",IF(Settings!$C$5="Yes",0,K1082*Settings!$C$17))</f>
        <v/>
      </c>
      <c r="M1082" s="21">
        <f>IF(B1082="","",E1082*IFERROR(VLOOKUP(D1082,Products!$B$5:$F$204,5,FALSE),0))</f>
        <v/>
      </c>
      <c r="N1082" s="21">
        <f>IF(B1082="","",J1082-K1082-L1082-M1082-I1082)</f>
        <v/>
      </c>
    </row>
    <row r="1083">
      <c r="B1083" s="11" t="n"/>
      <c r="C1083" s="8" t="n"/>
      <c r="D1083" s="8" t="n"/>
      <c r="E1083" s="8" t="n"/>
      <c r="F1083" s="20" t="n"/>
      <c r="G1083" s="20" t="n"/>
      <c r="H1083" s="8" t="n"/>
      <c r="I1083" s="20" t="n"/>
      <c r="J1083" s="21">
        <f>IF(B1083="","",F1083+G1083)</f>
        <v/>
      </c>
      <c r="K1083" s="21">
        <f>IF(B1083="","",J1083*(Settings!$C$11+Settings!$C$12+Settings!$C$14)+IF(C1083="",Settings!$C$13,IF(COUNTIF($C$5:C1083,C1083)=1,Settings!$C$13,0))+E1083*Settings!$C$15+IF(H1083="Yes",J1083*Settings!$C$16,0))</f>
        <v/>
      </c>
      <c r="L1083" s="21">
        <f>IF(B1083="","",IF(Settings!$C$5="Yes",0,K1083*Settings!$C$17))</f>
        <v/>
      </c>
      <c r="M1083" s="21">
        <f>IF(B1083="","",E1083*IFERROR(VLOOKUP(D1083,Products!$B$5:$F$204,5,FALSE),0))</f>
        <v/>
      </c>
      <c r="N1083" s="21">
        <f>IF(B1083="","",J1083-K1083-L1083-M1083-I1083)</f>
        <v/>
      </c>
    </row>
    <row r="1084">
      <c r="B1084" s="11" t="n"/>
      <c r="C1084" s="8" t="n"/>
      <c r="D1084" s="8" t="n"/>
      <c r="E1084" s="8" t="n"/>
      <c r="F1084" s="20" t="n"/>
      <c r="G1084" s="20" t="n"/>
      <c r="H1084" s="8" t="n"/>
      <c r="I1084" s="20" t="n"/>
      <c r="J1084" s="21">
        <f>IF(B1084="","",F1084+G1084)</f>
        <v/>
      </c>
      <c r="K1084" s="21">
        <f>IF(B1084="","",J1084*(Settings!$C$11+Settings!$C$12+Settings!$C$14)+IF(C1084="",Settings!$C$13,IF(COUNTIF($C$5:C1084,C1084)=1,Settings!$C$13,0))+E1084*Settings!$C$15+IF(H1084="Yes",J1084*Settings!$C$16,0))</f>
        <v/>
      </c>
      <c r="L1084" s="21">
        <f>IF(B1084="","",IF(Settings!$C$5="Yes",0,K1084*Settings!$C$17))</f>
        <v/>
      </c>
      <c r="M1084" s="21">
        <f>IF(B1084="","",E1084*IFERROR(VLOOKUP(D1084,Products!$B$5:$F$204,5,FALSE),0))</f>
        <v/>
      </c>
      <c r="N1084" s="21">
        <f>IF(B1084="","",J1084-K1084-L1084-M1084-I1084)</f>
        <v/>
      </c>
    </row>
    <row r="1085">
      <c r="B1085" s="11" t="n"/>
      <c r="C1085" s="8" t="n"/>
      <c r="D1085" s="8" t="n"/>
      <c r="E1085" s="8" t="n"/>
      <c r="F1085" s="20" t="n"/>
      <c r="G1085" s="20" t="n"/>
      <c r="H1085" s="8" t="n"/>
      <c r="I1085" s="20" t="n"/>
      <c r="J1085" s="21">
        <f>IF(B1085="","",F1085+G1085)</f>
        <v/>
      </c>
      <c r="K1085" s="21">
        <f>IF(B1085="","",J1085*(Settings!$C$11+Settings!$C$12+Settings!$C$14)+IF(C1085="",Settings!$C$13,IF(COUNTIF($C$5:C1085,C1085)=1,Settings!$C$13,0))+E1085*Settings!$C$15+IF(H1085="Yes",J1085*Settings!$C$16,0))</f>
        <v/>
      </c>
      <c r="L1085" s="21">
        <f>IF(B1085="","",IF(Settings!$C$5="Yes",0,K1085*Settings!$C$17))</f>
        <v/>
      </c>
      <c r="M1085" s="21">
        <f>IF(B1085="","",E1085*IFERROR(VLOOKUP(D1085,Products!$B$5:$F$204,5,FALSE),0))</f>
        <v/>
      </c>
      <c r="N1085" s="21">
        <f>IF(B1085="","",J1085-K1085-L1085-M1085-I1085)</f>
        <v/>
      </c>
    </row>
    <row r="1086">
      <c r="B1086" s="11" t="n"/>
      <c r="C1086" s="8" t="n"/>
      <c r="D1086" s="8" t="n"/>
      <c r="E1086" s="8" t="n"/>
      <c r="F1086" s="20" t="n"/>
      <c r="G1086" s="20" t="n"/>
      <c r="H1086" s="8" t="n"/>
      <c r="I1086" s="20" t="n"/>
      <c r="J1086" s="21">
        <f>IF(B1086="","",F1086+G1086)</f>
        <v/>
      </c>
      <c r="K1086" s="21">
        <f>IF(B1086="","",J1086*(Settings!$C$11+Settings!$C$12+Settings!$C$14)+IF(C1086="",Settings!$C$13,IF(COUNTIF($C$5:C1086,C1086)=1,Settings!$C$13,0))+E1086*Settings!$C$15+IF(H1086="Yes",J1086*Settings!$C$16,0))</f>
        <v/>
      </c>
      <c r="L1086" s="21">
        <f>IF(B1086="","",IF(Settings!$C$5="Yes",0,K1086*Settings!$C$17))</f>
        <v/>
      </c>
      <c r="M1086" s="21">
        <f>IF(B1086="","",E1086*IFERROR(VLOOKUP(D1086,Products!$B$5:$F$204,5,FALSE),0))</f>
        <v/>
      </c>
      <c r="N1086" s="21">
        <f>IF(B1086="","",J1086-K1086-L1086-M1086-I1086)</f>
        <v/>
      </c>
    </row>
    <row r="1087">
      <c r="B1087" s="11" t="n"/>
      <c r="C1087" s="8" t="n"/>
      <c r="D1087" s="8" t="n"/>
      <c r="E1087" s="8" t="n"/>
      <c r="F1087" s="20" t="n"/>
      <c r="G1087" s="20" t="n"/>
      <c r="H1087" s="8" t="n"/>
      <c r="I1087" s="20" t="n"/>
      <c r="J1087" s="21">
        <f>IF(B1087="","",F1087+G1087)</f>
        <v/>
      </c>
      <c r="K1087" s="21">
        <f>IF(B1087="","",J1087*(Settings!$C$11+Settings!$C$12+Settings!$C$14)+IF(C1087="",Settings!$C$13,IF(COUNTIF($C$5:C1087,C1087)=1,Settings!$C$13,0))+E1087*Settings!$C$15+IF(H1087="Yes",J1087*Settings!$C$16,0))</f>
        <v/>
      </c>
      <c r="L1087" s="21">
        <f>IF(B1087="","",IF(Settings!$C$5="Yes",0,K1087*Settings!$C$17))</f>
        <v/>
      </c>
      <c r="M1087" s="21">
        <f>IF(B1087="","",E1087*IFERROR(VLOOKUP(D1087,Products!$B$5:$F$204,5,FALSE),0))</f>
        <v/>
      </c>
      <c r="N1087" s="21">
        <f>IF(B1087="","",J1087-K1087-L1087-M1087-I1087)</f>
        <v/>
      </c>
    </row>
    <row r="1088">
      <c r="B1088" s="11" t="n"/>
      <c r="C1088" s="8" t="n"/>
      <c r="D1088" s="8" t="n"/>
      <c r="E1088" s="8" t="n"/>
      <c r="F1088" s="20" t="n"/>
      <c r="G1088" s="20" t="n"/>
      <c r="H1088" s="8" t="n"/>
      <c r="I1088" s="20" t="n"/>
      <c r="J1088" s="21">
        <f>IF(B1088="","",F1088+G1088)</f>
        <v/>
      </c>
      <c r="K1088" s="21">
        <f>IF(B1088="","",J1088*(Settings!$C$11+Settings!$C$12+Settings!$C$14)+IF(C1088="",Settings!$C$13,IF(COUNTIF($C$5:C1088,C1088)=1,Settings!$C$13,0))+E1088*Settings!$C$15+IF(H1088="Yes",J1088*Settings!$C$16,0))</f>
        <v/>
      </c>
      <c r="L1088" s="21">
        <f>IF(B1088="","",IF(Settings!$C$5="Yes",0,K1088*Settings!$C$17))</f>
        <v/>
      </c>
      <c r="M1088" s="21">
        <f>IF(B1088="","",E1088*IFERROR(VLOOKUP(D1088,Products!$B$5:$F$204,5,FALSE),0))</f>
        <v/>
      </c>
      <c r="N1088" s="21">
        <f>IF(B1088="","",J1088-K1088-L1088-M1088-I1088)</f>
        <v/>
      </c>
    </row>
    <row r="1089">
      <c r="B1089" s="11" t="n"/>
      <c r="C1089" s="8" t="n"/>
      <c r="D1089" s="8" t="n"/>
      <c r="E1089" s="8" t="n"/>
      <c r="F1089" s="20" t="n"/>
      <c r="G1089" s="20" t="n"/>
      <c r="H1089" s="8" t="n"/>
      <c r="I1089" s="20" t="n"/>
      <c r="J1089" s="21">
        <f>IF(B1089="","",F1089+G1089)</f>
        <v/>
      </c>
      <c r="K1089" s="21">
        <f>IF(B1089="","",J1089*(Settings!$C$11+Settings!$C$12+Settings!$C$14)+IF(C1089="",Settings!$C$13,IF(COUNTIF($C$5:C1089,C1089)=1,Settings!$C$13,0))+E1089*Settings!$C$15+IF(H1089="Yes",J1089*Settings!$C$16,0))</f>
        <v/>
      </c>
      <c r="L1089" s="21">
        <f>IF(B1089="","",IF(Settings!$C$5="Yes",0,K1089*Settings!$C$17))</f>
        <v/>
      </c>
      <c r="M1089" s="21">
        <f>IF(B1089="","",E1089*IFERROR(VLOOKUP(D1089,Products!$B$5:$F$204,5,FALSE),0))</f>
        <v/>
      </c>
      <c r="N1089" s="21">
        <f>IF(B1089="","",J1089-K1089-L1089-M1089-I1089)</f>
        <v/>
      </c>
    </row>
    <row r="1090">
      <c r="B1090" s="11" t="n"/>
      <c r="C1090" s="8" t="n"/>
      <c r="D1090" s="8" t="n"/>
      <c r="E1090" s="8" t="n"/>
      <c r="F1090" s="20" t="n"/>
      <c r="G1090" s="20" t="n"/>
      <c r="H1090" s="8" t="n"/>
      <c r="I1090" s="20" t="n"/>
      <c r="J1090" s="21">
        <f>IF(B1090="","",F1090+G1090)</f>
        <v/>
      </c>
      <c r="K1090" s="21">
        <f>IF(B1090="","",J1090*(Settings!$C$11+Settings!$C$12+Settings!$C$14)+IF(C1090="",Settings!$C$13,IF(COUNTIF($C$5:C1090,C1090)=1,Settings!$C$13,0))+E1090*Settings!$C$15+IF(H1090="Yes",J1090*Settings!$C$16,0))</f>
        <v/>
      </c>
      <c r="L1090" s="21">
        <f>IF(B1090="","",IF(Settings!$C$5="Yes",0,K1090*Settings!$C$17))</f>
        <v/>
      </c>
      <c r="M1090" s="21">
        <f>IF(B1090="","",E1090*IFERROR(VLOOKUP(D1090,Products!$B$5:$F$204,5,FALSE),0))</f>
        <v/>
      </c>
      <c r="N1090" s="21">
        <f>IF(B1090="","",J1090-K1090-L1090-M1090-I1090)</f>
        <v/>
      </c>
    </row>
    <row r="1091">
      <c r="B1091" s="11" t="n"/>
      <c r="C1091" s="8" t="n"/>
      <c r="D1091" s="8" t="n"/>
      <c r="E1091" s="8" t="n"/>
      <c r="F1091" s="20" t="n"/>
      <c r="G1091" s="20" t="n"/>
      <c r="H1091" s="8" t="n"/>
      <c r="I1091" s="20" t="n"/>
      <c r="J1091" s="21">
        <f>IF(B1091="","",F1091+G1091)</f>
        <v/>
      </c>
      <c r="K1091" s="21">
        <f>IF(B1091="","",J1091*(Settings!$C$11+Settings!$C$12+Settings!$C$14)+IF(C1091="",Settings!$C$13,IF(COUNTIF($C$5:C1091,C1091)=1,Settings!$C$13,0))+E1091*Settings!$C$15+IF(H1091="Yes",J1091*Settings!$C$16,0))</f>
        <v/>
      </c>
      <c r="L1091" s="21">
        <f>IF(B1091="","",IF(Settings!$C$5="Yes",0,K1091*Settings!$C$17))</f>
        <v/>
      </c>
      <c r="M1091" s="21">
        <f>IF(B1091="","",E1091*IFERROR(VLOOKUP(D1091,Products!$B$5:$F$204,5,FALSE),0))</f>
        <v/>
      </c>
      <c r="N1091" s="21">
        <f>IF(B1091="","",J1091-K1091-L1091-M1091-I1091)</f>
        <v/>
      </c>
    </row>
    <row r="1092">
      <c r="B1092" s="11" t="n"/>
      <c r="C1092" s="8" t="n"/>
      <c r="D1092" s="8" t="n"/>
      <c r="E1092" s="8" t="n"/>
      <c r="F1092" s="20" t="n"/>
      <c r="G1092" s="20" t="n"/>
      <c r="H1092" s="8" t="n"/>
      <c r="I1092" s="20" t="n"/>
      <c r="J1092" s="21">
        <f>IF(B1092="","",F1092+G1092)</f>
        <v/>
      </c>
      <c r="K1092" s="21">
        <f>IF(B1092="","",J1092*(Settings!$C$11+Settings!$C$12+Settings!$C$14)+IF(C1092="",Settings!$C$13,IF(COUNTIF($C$5:C1092,C1092)=1,Settings!$C$13,0))+E1092*Settings!$C$15+IF(H1092="Yes",J1092*Settings!$C$16,0))</f>
        <v/>
      </c>
      <c r="L1092" s="21">
        <f>IF(B1092="","",IF(Settings!$C$5="Yes",0,K1092*Settings!$C$17))</f>
        <v/>
      </c>
      <c r="M1092" s="21">
        <f>IF(B1092="","",E1092*IFERROR(VLOOKUP(D1092,Products!$B$5:$F$204,5,FALSE),0))</f>
        <v/>
      </c>
      <c r="N1092" s="21">
        <f>IF(B1092="","",J1092-K1092-L1092-M1092-I1092)</f>
        <v/>
      </c>
    </row>
    <row r="1093">
      <c r="B1093" s="11" t="n"/>
      <c r="C1093" s="8" t="n"/>
      <c r="D1093" s="8" t="n"/>
      <c r="E1093" s="8" t="n"/>
      <c r="F1093" s="20" t="n"/>
      <c r="G1093" s="20" t="n"/>
      <c r="H1093" s="8" t="n"/>
      <c r="I1093" s="20" t="n"/>
      <c r="J1093" s="21">
        <f>IF(B1093="","",F1093+G1093)</f>
        <v/>
      </c>
      <c r="K1093" s="21">
        <f>IF(B1093="","",J1093*(Settings!$C$11+Settings!$C$12+Settings!$C$14)+IF(C1093="",Settings!$C$13,IF(COUNTIF($C$5:C1093,C1093)=1,Settings!$C$13,0))+E1093*Settings!$C$15+IF(H1093="Yes",J1093*Settings!$C$16,0))</f>
        <v/>
      </c>
      <c r="L1093" s="21">
        <f>IF(B1093="","",IF(Settings!$C$5="Yes",0,K1093*Settings!$C$17))</f>
        <v/>
      </c>
      <c r="M1093" s="21">
        <f>IF(B1093="","",E1093*IFERROR(VLOOKUP(D1093,Products!$B$5:$F$204,5,FALSE),0))</f>
        <v/>
      </c>
      <c r="N1093" s="21">
        <f>IF(B1093="","",J1093-K1093-L1093-M1093-I1093)</f>
        <v/>
      </c>
    </row>
    <row r="1094">
      <c r="B1094" s="11" t="n"/>
      <c r="C1094" s="8" t="n"/>
      <c r="D1094" s="8" t="n"/>
      <c r="E1094" s="8" t="n"/>
      <c r="F1094" s="20" t="n"/>
      <c r="G1094" s="20" t="n"/>
      <c r="H1094" s="8" t="n"/>
      <c r="I1094" s="20" t="n"/>
      <c r="J1094" s="21">
        <f>IF(B1094="","",F1094+G1094)</f>
        <v/>
      </c>
      <c r="K1094" s="21">
        <f>IF(B1094="","",J1094*(Settings!$C$11+Settings!$C$12+Settings!$C$14)+IF(C1094="",Settings!$C$13,IF(COUNTIF($C$5:C1094,C1094)=1,Settings!$C$13,0))+E1094*Settings!$C$15+IF(H1094="Yes",J1094*Settings!$C$16,0))</f>
        <v/>
      </c>
      <c r="L1094" s="21">
        <f>IF(B1094="","",IF(Settings!$C$5="Yes",0,K1094*Settings!$C$17))</f>
        <v/>
      </c>
      <c r="M1094" s="21">
        <f>IF(B1094="","",E1094*IFERROR(VLOOKUP(D1094,Products!$B$5:$F$204,5,FALSE),0))</f>
        <v/>
      </c>
      <c r="N1094" s="21">
        <f>IF(B1094="","",J1094-K1094-L1094-M1094-I1094)</f>
        <v/>
      </c>
    </row>
    <row r="1095">
      <c r="B1095" s="11" t="n"/>
      <c r="C1095" s="8" t="n"/>
      <c r="D1095" s="8" t="n"/>
      <c r="E1095" s="8" t="n"/>
      <c r="F1095" s="20" t="n"/>
      <c r="G1095" s="20" t="n"/>
      <c r="H1095" s="8" t="n"/>
      <c r="I1095" s="20" t="n"/>
      <c r="J1095" s="21">
        <f>IF(B1095="","",F1095+G1095)</f>
        <v/>
      </c>
      <c r="K1095" s="21">
        <f>IF(B1095="","",J1095*(Settings!$C$11+Settings!$C$12+Settings!$C$14)+IF(C1095="",Settings!$C$13,IF(COUNTIF($C$5:C1095,C1095)=1,Settings!$C$13,0))+E1095*Settings!$C$15+IF(H1095="Yes",J1095*Settings!$C$16,0))</f>
        <v/>
      </c>
      <c r="L1095" s="21">
        <f>IF(B1095="","",IF(Settings!$C$5="Yes",0,K1095*Settings!$C$17))</f>
        <v/>
      </c>
      <c r="M1095" s="21">
        <f>IF(B1095="","",E1095*IFERROR(VLOOKUP(D1095,Products!$B$5:$F$204,5,FALSE),0))</f>
        <v/>
      </c>
      <c r="N1095" s="21">
        <f>IF(B1095="","",J1095-K1095-L1095-M1095-I1095)</f>
        <v/>
      </c>
    </row>
    <row r="1096">
      <c r="B1096" s="11" t="n"/>
      <c r="C1096" s="8" t="n"/>
      <c r="D1096" s="8" t="n"/>
      <c r="E1096" s="8" t="n"/>
      <c r="F1096" s="20" t="n"/>
      <c r="G1096" s="20" t="n"/>
      <c r="H1096" s="8" t="n"/>
      <c r="I1096" s="20" t="n"/>
      <c r="J1096" s="21">
        <f>IF(B1096="","",F1096+G1096)</f>
        <v/>
      </c>
      <c r="K1096" s="21">
        <f>IF(B1096="","",J1096*(Settings!$C$11+Settings!$C$12+Settings!$C$14)+IF(C1096="",Settings!$C$13,IF(COUNTIF($C$5:C1096,C1096)=1,Settings!$C$13,0))+E1096*Settings!$C$15+IF(H1096="Yes",J1096*Settings!$C$16,0))</f>
        <v/>
      </c>
      <c r="L1096" s="21">
        <f>IF(B1096="","",IF(Settings!$C$5="Yes",0,K1096*Settings!$C$17))</f>
        <v/>
      </c>
      <c r="M1096" s="21">
        <f>IF(B1096="","",E1096*IFERROR(VLOOKUP(D1096,Products!$B$5:$F$204,5,FALSE),0))</f>
        <v/>
      </c>
      <c r="N1096" s="21">
        <f>IF(B1096="","",J1096-K1096-L1096-M1096-I1096)</f>
        <v/>
      </c>
    </row>
    <row r="1097">
      <c r="B1097" s="11" t="n"/>
      <c r="C1097" s="8" t="n"/>
      <c r="D1097" s="8" t="n"/>
      <c r="E1097" s="8" t="n"/>
      <c r="F1097" s="20" t="n"/>
      <c r="G1097" s="20" t="n"/>
      <c r="H1097" s="8" t="n"/>
      <c r="I1097" s="20" t="n"/>
      <c r="J1097" s="21">
        <f>IF(B1097="","",F1097+G1097)</f>
        <v/>
      </c>
      <c r="K1097" s="21">
        <f>IF(B1097="","",J1097*(Settings!$C$11+Settings!$C$12+Settings!$C$14)+IF(C1097="",Settings!$C$13,IF(COUNTIF($C$5:C1097,C1097)=1,Settings!$C$13,0))+E1097*Settings!$C$15+IF(H1097="Yes",J1097*Settings!$C$16,0))</f>
        <v/>
      </c>
      <c r="L1097" s="21">
        <f>IF(B1097="","",IF(Settings!$C$5="Yes",0,K1097*Settings!$C$17))</f>
        <v/>
      </c>
      <c r="M1097" s="21">
        <f>IF(B1097="","",E1097*IFERROR(VLOOKUP(D1097,Products!$B$5:$F$204,5,FALSE),0))</f>
        <v/>
      </c>
      <c r="N1097" s="21">
        <f>IF(B1097="","",J1097-K1097-L1097-M1097-I1097)</f>
        <v/>
      </c>
    </row>
    <row r="1098">
      <c r="B1098" s="11" t="n"/>
      <c r="C1098" s="8" t="n"/>
      <c r="D1098" s="8" t="n"/>
      <c r="E1098" s="8" t="n"/>
      <c r="F1098" s="20" t="n"/>
      <c r="G1098" s="20" t="n"/>
      <c r="H1098" s="8" t="n"/>
      <c r="I1098" s="20" t="n"/>
      <c r="J1098" s="21">
        <f>IF(B1098="","",F1098+G1098)</f>
        <v/>
      </c>
      <c r="K1098" s="21">
        <f>IF(B1098="","",J1098*(Settings!$C$11+Settings!$C$12+Settings!$C$14)+IF(C1098="",Settings!$C$13,IF(COUNTIF($C$5:C1098,C1098)=1,Settings!$C$13,0))+E1098*Settings!$C$15+IF(H1098="Yes",J1098*Settings!$C$16,0))</f>
        <v/>
      </c>
      <c r="L1098" s="21">
        <f>IF(B1098="","",IF(Settings!$C$5="Yes",0,K1098*Settings!$C$17))</f>
        <v/>
      </c>
      <c r="M1098" s="21">
        <f>IF(B1098="","",E1098*IFERROR(VLOOKUP(D1098,Products!$B$5:$F$204,5,FALSE),0))</f>
        <v/>
      </c>
      <c r="N1098" s="21">
        <f>IF(B1098="","",J1098-K1098-L1098-M1098-I1098)</f>
        <v/>
      </c>
    </row>
    <row r="1099">
      <c r="B1099" s="11" t="n"/>
      <c r="C1099" s="8" t="n"/>
      <c r="D1099" s="8" t="n"/>
      <c r="E1099" s="8" t="n"/>
      <c r="F1099" s="20" t="n"/>
      <c r="G1099" s="20" t="n"/>
      <c r="H1099" s="8" t="n"/>
      <c r="I1099" s="20" t="n"/>
      <c r="J1099" s="21">
        <f>IF(B1099="","",F1099+G1099)</f>
        <v/>
      </c>
      <c r="K1099" s="21">
        <f>IF(B1099="","",J1099*(Settings!$C$11+Settings!$C$12+Settings!$C$14)+IF(C1099="",Settings!$C$13,IF(COUNTIF($C$5:C1099,C1099)=1,Settings!$C$13,0))+E1099*Settings!$C$15+IF(H1099="Yes",J1099*Settings!$C$16,0))</f>
        <v/>
      </c>
      <c r="L1099" s="21">
        <f>IF(B1099="","",IF(Settings!$C$5="Yes",0,K1099*Settings!$C$17))</f>
        <v/>
      </c>
      <c r="M1099" s="21">
        <f>IF(B1099="","",E1099*IFERROR(VLOOKUP(D1099,Products!$B$5:$F$204,5,FALSE),0))</f>
        <v/>
      </c>
      <c r="N1099" s="21">
        <f>IF(B1099="","",J1099-K1099-L1099-M1099-I1099)</f>
        <v/>
      </c>
    </row>
    <row r="1100">
      <c r="B1100" s="11" t="n"/>
      <c r="C1100" s="8" t="n"/>
      <c r="D1100" s="8" t="n"/>
      <c r="E1100" s="8" t="n"/>
      <c r="F1100" s="20" t="n"/>
      <c r="G1100" s="20" t="n"/>
      <c r="H1100" s="8" t="n"/>
      <c r="I1100" s="20" t="n"/>
      <c r="J1100" s="21">
        <f>IF(B1100="","",F1100+G1100)</f>
        <v/>
      </c>
      <c r="K1100" s="21">
        <f>IF(B1100="","",J1100*(Settings!$C$11+Settings!$C$12+Settings!$C$14)+IF(C1100="",Settings!$C$13,IF(COUNTIF($C$5:C1100,C1100)=1,Settings!$C$13,0))+E1100*Settings!$C$15+IF(H1100="Yes",J1100*Settings!$C$16,0))</f>
        <v/>
      </c>
      <c r="L1100" s="21">
        <f>IF(B1100="","",IF(Settings!$C$5="Yes",0,K1100*Settings!$C$17))</f>
        <v/>
      </c>
      <c r="M1100" s="21">
        <f>IF(B1100="","",E1100*IFERROR(VLOOKUP(D1100,Products!$B$5:$F$204,5,FALSE),0))</f>
        <v/>
      </c>
      <c r="N1100" s="21">
        <f>IF(B1100="","",J1100-K1100-L1100-M1100-I1100)</f>
        <v/>
      </c>
    </row>
    <row r="1101">
      <c r="B1101" s="11" t="n"/>
      <c r="C1101" s="8" t="n"/>
      <c r="D1101" s="8" t="n"/>
      <c r="E1101" s="8" t="n"/>
      <c r="F1101" s="20" t="n"/>
      <c r="G1101" s="20" t="n"/>
      <c r="H1101" s="8" t="n"/>
      <c r="I1101" s="20" t="n"/>
      <c r="J1101" s="21">
        <f>IF(B1101="","",F1101+G1101)</f>
        <v/>
      </c>
      <c r="K1101" s="21">
        <f>IF(B1101="","",J1101*(Settings!$C$11+Settings!$C$12+Settings!$C$14)+IF(C1101="",Settings!$C$13,IF(COUNTIF($C$5:C1101,C1101)=1,Settings!$C$13,0))+E1101*Settings!$C$15+IF(H1101="Yes",J1101*Settings!$C$16,0))</f>
        <v/>
      </c>
      <c r="L1101" s="21">
        <f>IF(B1101="","",IF(Settings!$C$5="Yes",0,K1101*Settings!$C$17))</f>
        <v/>
      </c>
      <c r="M1101" s="21">
        <f>IF(B1101="","",E1101*IFERROR(VLOOKUP(D1101,Products!$B$5:$F$204,5,FALSE),0))</f>
        <v/>
      </c>
      <c r="N1101" s="21">
        <f>IF(B1101="","",J1101-K1101-L1101-M1101-I1101)</f>
        <v/>
      </c>
    </row>
    <row r="1102">
      <c r="B1102" s="11" t="n"/>
      <c r="C1102" s="8" t="n"/>
      <c r="D1102" s="8" t="n"/>
      <c r="E1102" s="8" t="n"/>
      <c r="F1102" s="20" t="n"/>
      <c r="G1102" s="20" t="n"/>
      <c r="H1102" s="8" t="n"/>
      <c r="I1102" s="20" t="n"/>
      <c r="J1102" s="21">
        <f>IF(B1102="","",F1102+G1102)</f>
        <v/>
      </c>
      <c r="K1102" s="21">
        <f>IF(B1102="","",J1102*(Settings!$C$11+Settings!$C$12+Settings!$C$14)+IF(C1102="",Settings!$C$13,IF(COUNTIF($C$5:C1102,C1102)=1,Settings!$C$13,0))+E1102*Settings!$C$15+IF(H1102="Yes",J1102*Settings!$C$16,0))</f>
        <v/>
      </c>
      <c r="L1102" s="21">
        <f>IF(B1102="","",IF(Settings!$C$5="Yes",0,K1102*Settings!$C$17))</f>
        <v/>
      </c>
      <c r="M1102" s="21">
        <f>IF(B1102="","",E1102*IFERROR(VLOOKUP(D1102,Products!$B$5:$F$204,5,FALSE),0))</f>
        <v/>
      </c>
      <c r="N1102" s="21">
        <f>IF(B1102="","",J1102-K1102-L1102-M1102-I1102)</f>
        <v/>
      </c>
    </row>
    <row r="1103">
      <c r="B1103" s="11" t="n"/>
      <c r="C1103" s="8" t="n"/>
      <c r="D1103" s="8" t="n"/>
      <c r="E1103" s="8" t="n"/>
      <c r="F1103" s="20" t="n"/>
      <c r="G1103" s="20" t="n"/>
      <c r="H1103" s="8" t="n"/>
      <c r="I1103" s="20" t="n"/>
      <c r="J1103" s="21">
        <f>IF(B1103="","",F1103+G1103)</f>
        <v/>
      </c>
      <c r="K1103" s="21">
        <f>IF(B1103="","",J1103*(Settings!$C$11+Settings!$C$12+Settings!$C$14)+IF(C1103="",Settings!$C$13,IF(COUNTIF($C$5:C1103,C1103)=1,Settings!$C$13,0))+E1103*Settings!$C$15+IF(H1103="Yes",J1103*Settings!$C$16,0))</f>
        <v/>
      </c>
      <c r="L1103" s="21">
        <f>IF(B1103="","",IF(Settings!$C$5="Yes",0,K1103*Settings!$C$17))</f>
        <v/>
      </c>
      <c r="M1103" s="21">
        <f>IF(B1103="","",E1103*IFERROR(VLOOKUP(D1103,Products!$B$5:$F$204,5,FALSE),0))</f>
        <v/>
      </c>
      <c r="N1103" s="21">
        <f>IF(B1103="","",J1103-K1103-L1103-M1103-I1103)</f>
        <v/>
      </c>
    </row>
    <row r="1104">
      <c r="B1104" s="11" t="n"/>
      <c r="C1104" s="8" t="n"/>
      <c r="D1104" s="8" t="n"/>
      <c r="E1104" s="8" t="n"/>
      <c r="F1104" s="20" t="n"/>
      <c r="G1104" s="20" t="n"/>
      <c r="H1104" s="8" t="n"/>
      <c r="I1104" s="20" t="n"/>
      <c r="J1104" s="21">
        <f>IF(B1104="","",F1104+G1104)</f>
        <v/>
      </c>
      <c r="K1104" s="21">
        <f>IF(B1104="","",J1104*(Settings!$C$11+Settings!$C$12+Settings!$C$14)+IF(C1104="",Settings!$C$13,IF(COUNTIF($C$5:C1104,C1104)=1,Settings!$C$13,0))+E1104*Settings!$C$15+IF(H1104="Yes",J1104*Settings!$C$16,0))</f>
        <v/>
      </c>
      <c r="L1104" s="21">
        <f>IF(B1104="","",IF(Settings!$C$5="Yes",0,K1104*Settings!$C$17))</f>
        <v/>
      </c>
      <c r="M1104" s="21">
        <f>IF(B1104="","",E1104*IFERROR(VLOOKUP(D1104,Products!$B$5:$F$204,5,FALSE),0))</f>
        <v/>
      </c>
      <c r="N1104" s="21">
        <f>IF(B1104="","",J1104-K1104-L1104-M1104-I1104)</f>
        <v/>
      </c>
    </row>
    <row r="1105">
      <c r="B1105" s="11" t="n"/>
      <c r="C1105" s="8" t="n"/>
      <c r="D1105" s="8" t="n"/>
      <c r="E1105" s="8" t="n"/>
      <c r="F1105" s="20" t="n"/>
      <c r="G1105" s="20" t="n"/>
      <c r="H1105" s="8" t="n"/>
      <c r="I1105" s="20" t="n"/>
      <c r="J1105" s="21">
        <f>IF(B1105="","",F1105+G1105)</f>
        <v/>
      </c>
      <c r="K1105" s="21">
        <f>IF(B1105="","",J1105*(Settings!$C$11+Settings!$C$12+Settings!$C$14)+IF(C1105="",Settings!$C$13,IF(COUNTIF($C$5:C1105,C1105)=1,Settings!$C$13,0))+E1105*Settings!$C$15+IF(H1105="Yes",J1105*Settings!$C$16,0))</f>
        <v/>
      </c>
      <c r="L1105" s="21">
        <f>IF(B1105="","",IF(Settings!$C$5="Yes",0,K1105*Settings!$C$17))</f>
        <v/>
      </c>
      <c r="M1105" s="21">
        <f>IF(B1105="","",E1105*IFERROR(VLOOKUP(D1105,Products!$B$5:$F$204,5,FALSE),0))</f>
        <v/>
      </c>
      <c r="N1105" s="21">
        <f>IF(B1105="","",J1105-K1105-L1105-M1105-I1105)</f>
        <v/>
      </c>
    </row>
    <row r="1106">
      <c r="B1106" s="11" t="n"/>
      <c r="C1106" s="8" t="n"/>
      <c r="D1106" s="8" t="n"/>
      <c r="E1106" s="8" t="n"/>
      <c r="F1106" s="20" t="n"/>
      <c r="G1106" s="20" t="n"/>
      <c r="H1106" s="8" t="n"/>
      <c r="I1106" s="20" t="n"/>
      <c r="J1106" s="21">
        <f>IF(B1106="","",F1106+G1106)</f>
        <v/>
      </c>
      <c r="K1106" s="21">
        <f>IF(B1106="","",J1106*(Settings!$C$11+Settings!$C$12+Settings!$C$14)+IF(C1106="",Settings!$C$13,IF(COUNTIF($C$5:C1106,C1106)=1,Settings!$C$13,0))+E1106*Settings!$C$15+IF(H1106="Yes",J1106*Settings!$C$16,0))</f>
        <v/>
      </c>
      <c r="L1106" s="21">
        <f>IF(B1106="","",IF(Settings!$C$5="Yes",0,K1106*Settings!$C$17))</f>
        <v/>
      </c>
      <c r="M1106" s="21">
        <f>IF(B1106="","",E1106*IFERROR(VLOOKUP(D1106,Products!$B$5:$F$204,5,FALSE),0))</f>
        <v/>
      </c>
      <c r="N1106" s="21">
        <f>IF(B1106="","",J1106-K1106-L1106-M1106-I1106)</f>
        <v/>
      </c>
    </row>
    <row r="1107">
      <c r="B1107" s="11" t="n"/>
      <c r="C1107" s="8" t="n"/>
      <c r="D1107" s="8" t="n"/>
      <c r="E1107" s="8" t="n"/>
      <c r="F1107" s="20" t="n"/>
      <c r="G1107" s="20" t="n"/>
      <c r="H1107" s="8" t="n"/>
      <c r="I1107" s="20" t="n"/>
      <c r="J1107" s="21">
        <f>IF(B1107="","",F1107+G1107)</f>
        <v/>
      </c>
      <c r="K1107" s="21">
        <f>IF(B1107="","",J1107*(Settings!$C$11+Settings!$C$12+Settings!$C$14)+IF(C1107="",Settings!$C$13,IF(COUNTIF($C$5:C1107,C1107)=1,Settings!$C$13,0))+E1107*Settings!$C$15+IF(H1107="Yes",J1107*Settings!$C$16,0))</f>
        <v/>
      </c>
      <c r="L1107" s="21">
        <f>IF(B1107="","",IF(Settings!$C$5="Yes",0,K1107*Settings!$C$17))</f>
        <v/>
      </c>
      <c r="M1107" s="21">
        <f>IF(B1107="","",E1107*IFERROR(VLOOKUP(D1107,Products!$B$5:$F$204,5,FALSE),0))</f>
        <v/>
      </c>
      <c r="N1107" s="21">
        <f>IF(B1107="","",J1107-K1107-L1107-M1107-I1107)</f>
        <v/>
      </c>
    </row>
    <row r="1108">
      <c r="B1108" s="11" t="n"/>
      <c r="C1108" s="8" t="n"/>
      <c r="D1108" s="8" t="n"/>
      <c r="E1108" s="8" t="n"/>
      <c r="F1108" s="20" t="n"/>
      <c r="G1108" s="20" t="n"/>
      <c r="H1108" s="8" t="n"/>
      <c r="I1108" s="20" t="n"/>
      <c r="J1108" s="21">
        <f>IF(B1108="","",F1108+G1108)</f>
        <v/>
      </c>
      <c r="K1108" s="21">
        <f>IF(B1108="","",J1108*(Settings!$C$11+Settings!$C$12+Settings!$C$14)+IF(C1108="",Settings!$C$13,IF(COUNTIF($C$5:C1108,C1108)=1,Settings!$C$13,0))+E1108*Settings!$C$15+IF(H1108="Yes",J1108*Settings!$C$16,0))</f>
        <v/>
      </c>
      <c r="L1108" s="21">
        <f>IF(B1108="","",IF(Settings!$C$5="Yes",0,K1108*Settings!$C$17))</f>
        <v/>
      </c>
      <c r="M1108" s="21">
        <f>IF(B1108="","",E1108*IFERROR(VLOOKUP(D1108,Products!$B$5:$F$204,5,FALSE),0))</f>
        <v/>
      </c>
      <c r="N1108" s="21">
        <f>IF(B1108="","",J1108-K1108-L1108-M1108-I1108)</f>
        <v/>
      </c>
    </row>
    <row r="1109">
      <c r="B1109" s="11" t="n"/>
      <c r="C1109" s="8" t="n"/>
      <c r="D1109" s="8" t="n"/>
      <c r="E1109" s="8" t="n"/>
      <c r="F1109" s="20" t="n"/>
      <c r="G1109" s="20" t="n"/>
      <c r="H1109" s="8" t="n"/>
      <c r="I1109" s="20" t="n"/>
      <c r="J1109" s="21">
        <f>IF(B1109="","",F1109+G1109)</f>
        <v/>
      </c>
      <c r="K1109" s="21">
        <f>IF(B1109="","",J1109*(Settings!$C$11+Settings!$C$12+Settings!$C$14)+IF(C1109="",Settings!$C$13,IF(COUNTIF($C$5:C1109,C1109)=1,Settings!$C$13,0))+E1109*Settings!$C$15+IF(H1109="Yes",J1109*Settings!$C$16,0))</f>
        <v/>
      </c>
      <c r="L1109" s="21">
        <f>IF(B1109="","",IF(Settings!$C$5="Yes",0,K1109*Settings!$C$17))</f>
        <v/>
      </c>
      <c r="M1109" s="21">
        <f>IF(B1109="","",E1109*IFERROR(VLOOKUP(D1109,Products!$B$5:$F$204,5,FALSE),0))</f>
        <v/>
      </c>
      <c r="N1109" s="21">
        <f>IF(B1109="","",J1109-K1109-L1109-M1109-I1109)</f>
        <v/>
      </c>
    </row>
    <row r="1110">
      <c r="B1110" s="11" t="n"/>
      <c r="C1110" s="8" t="n"/>
      <c r="D1110" s="8" t="n"/>
      <c r="E1110" s="8" t="n"/>
      <c r="F1110" s="20" t="n"/>
      <c r="G1110" s="20" t="n"/>
      <c r="H1110" s="8" t="n"/>
      <c r="I1110" s="20" t="n"/>
      <c r="J1110" s="21">
        <f>IF(B1110="","",F1110+G1110)</f>
        <v/>
      </c>
      <c r="K1110" s="21">
        <f>IF(B1110="","",J1110*(Settings!$C$11+Settings!$C$12+Settings!$C$14)+IF(C1110="",Settings!$C$13,IF(COUNTIF($C$5:C1110,C1110)=1,Settings!$C$13,0))+E1110*Settings!$C$15+IF(H1110="Yes",J1110*Settings!$C$16,0))</f>
        <v/>
      </c>
      <c r="L1110" s="21">
        <f>IF(B1110="","",IF(Settings!$C$5="Yes",0,K1110*Settings!$C$17))</f>
        <v/>
      </c>
      <c r="M1110" s="21">
        <f>IF(B1110="","",E1110*IFERROR(VLOOKUP(D1110,Products!$B$5:$F$204,5,FALSE),0))</f>
        <v/>
      </c>
      <c r="N1110" s="21">
        <f>IF(B1110="","",J1110-K1110-L1110-M1110-I1110)</f>
        <v/>
      </c>
    </row>
    <row r="1111">
      <c r="B1111" s="11" t="n"/>
      <c r="C1111" s="8" t="n"/>
      <c r="D1111" s="8" t="n"/>
      <c r="E1111" s="8" t="n"/>
      <c r="F1111" s="20" t="n"/>
      <c r="G1111" s="20" t="n"/>
      <c r="H1111" s="8" t="n"/>
      <c r="I1111" s="20" t="n"/>
      <c r="J1111" s="21">
        <f>IF(B1111="","",F1111+G1111)</f>
        <v/>
      </c>
      <c r="K1111" s="21">
        <f>IF(B1111="","",J1111*(Settings!$C$11+Settings!$C$12+Settings!$C$14)+IF(C1111="",Settings!$C$13,IF(COUNTIF($C$5:C1111,C1111)=1,Settings!$C$13,0))+E1111*Settings!$C$15+IF(H1111="Yes",J1111*Settings!$C$16,0))</f>
        <v/>
      </c>
      <c r="L1111" s="21">
        <f>IF(B1111="","",IF(Settings!$C$5="Yes",0,K1111*Settings!$C$17))</f>
        <v/>
      </c>
      <c r="M1111" s="21">
        <f>IF(B1111="","",E1111*IFERROR(VLOOKUP(D1111,Products!$B$5:$F$204,5,FALSE),0))</f>
        <v/>
      </c>
      <c r="N1111" s="21">
        <f>IF(B1111="","",J1111-K1111-L1111-M1111-I1111)</f>
        <v/>
      </c>
    </row>
    <row r="1112">
      <c r="B1112" s="11" t="n"/>
      <c r="C1112" s="8" t="n"/>
      <c r="D1112" s="8" t="n"/>
      <c r="E1112" s="8" t="n"/>
      <c r="F1112" s="20" t="n"/>
      <c r="G1112" s="20" t="n"/>
      <c r="H1112" s="8" t="n"/>
      <c r="I1112" s="20" t="n"/>
      <c r="J1112" s="21">
        <f>IF(B1112="","",F1112+G1112)</f>
        <v/>
      </c>
      <c r="K1112" s="21">
        <f>IF(B1112="","",J1112*(Settings!$C$11+Settings!$C$12+Settings!$C$14)+IF(C1112="",Settings!$C$13,IF(COUNTIF($C$5:C1112,C1112)=1,Settings!$C$13,0))+E1112*Settings!$C$15+IF(H1112="Yes",J1112*Settings!$C$16,0))</f>
        <v/>
      </c>
      <c r="L1112" s="21">
        <f>IF(B1112="","",IF(Settings!$C$5="Yes",0,K1112*Settings!$C$17))</f>
        <v/>
      </c>
      <c r="M1112" s="21">
        <f>IF(B1112="","",E1112*IFERROR(VLOOKUP(D1112,Products!$B$5:$F$204,5,FALSE),0))</f>
        <v/>
      </c>
      <c r="N1112" s="21">
        <f>IF(B1112="","",J1112-K1112-L1112-M1112-I1112)</f>
        <v/>
      </c>
    </row>
    <row r="1113">
      <c r="B1113" s="11" t="n"/>
      <c r="C1113" s="8" t="n"/>
      <c r="D1113" s="8" t="n"/>
      <c r="E1113" s="8" t="n"/>
      <c r="F1113" s="20" t="n"/>
      <c r="G1113" s="20" t="n"/>
      <c r="H1113" s="8" t="n"/>
      <c r="I1113" s="20" t="n"/>
      <c r="J1113" s="21">
        <f>IF(B1113="","",F1113+G1113)</f>
        <v/>
      </c>
      <c r="K1113" s="21">
        <f>IF(B1113="","",J1113*(Settings!$C$11+Settings!$C$12+Settings!$C$14)+IF(C1113="",Settings!$C$13,IF(COUNTIF($C$5:C1113,C1113)=1,Settings!$C$13,0))+E1113*Settings!$C$15+IF(H1113="Yes",J1113*Settings!$C$16,0))</f>
        <v/>
      </c>
      <c r="L1113" s="21">
        <f>IF(B1113="","",IF(Settings!$C$5="Yes",0,K1113*Settings!$C$17))</f>
        <v/>
      </c>
      <c r="M1113" s="21">
        <f>IF(B1113="","",E1113*IFERROR(VLOOKUP(D1113,Products!$B$5:$F$204,5,FALSE),0))</f>
        <v/>
      </c>
      <c r="N1113" s="21">
        <f>IF(B1113="","",J1113-K1113-L1113-M1113-I1113)</f>
        <v/>
      </c>
    </row>
    <row r="1114">
      <c r="B1114" s="11" t="n"/>
      <c r="C1114" s="8" t="n"/>
      <c r="D1114" s="8" t="n"/>
      <c r="E1114" s="8" t="n"/>
      <c r="F1114" s="20" t="n"/>
      <c r="G1114" s="20" t="n"/>
      <c r="H1114" s="8" t="n"/>
      <c r="I1114" s="20" t="n"/>
      <c r="J1114" s="21">
        <f>IF(B1114="","",F1114+G1114)</f>
        <v/>
      </c>
      <c r="K1114" s="21">
        <f>IF(B1114="","",J1114*(Settings!$C$11+Settings!$C$12+Settings!$C$14)+IF(C1114="",Settings!$C$13,IF(COUNTIF($C$5:C1114,C1114)=1,Settings!$C$13,0))+E1114*Settings!$C$15+IF(H1114="Yes",J1114*Settings!$C$16,0))</f>
        <v/>
      </c>
      <c r="L1114" s="21">
        <f>IF(B1114="","",IF(Settings!$C$5="Yes",0,K1114*Settings!$C$17))</f>
        <v/>
      </c>
      <c r="M1114" s="21">
        <f>IF(B1114="","",E1114*IFERROR(VLOOKUP(D1114,Products!$B$5:$F$204,5,FALSE),0))</f>
        <v/>
      </c>
      <c r="N1114" s="21">
        <f>IF(B1114="","",J1114-K1114-L1114-M1114-I1114)</f>
        <v/>
      </c>
    </row>
    <row r="1115">
      <c r="B1115" s="11" t="n"/>
      <c r="C1115" s="8" t="n"/>
      <c r="D1115" s="8" t="n"/>
      <c r="E1115" s="8" t="n"/>
      <c r="F1115" s="20" t="n"/>
      <c r="G1115" s="20" t="n"/>
      <c r="H1115" s="8" t="n"/>
      <c r="I1115" s="20" t="n"/>
      <c r="J1115" s="21">
        <f>IF(B1115="","",F1115+G1115)</f>
        <v/>
      </c>
      <c r="K1115" s="21">
        <f>IF(B1115="","",J1115*(Settings!$C$11+Settings!$C$12+Settings!$C$14)+IF(C1115="",Settings!$C$13,IF(COUNTIF($C$5:C1115,C1115)=1,Settings!$C$13,0))+E1115*Settings!$C$15+IF(H1115="Yes",J1115*Settings!$C$16,0))</f>
        <v/>
      </c>
      <c r="L1115" s="21">
        <f>IF(B1115="","",IF(Settings!$C$5="Yes",0,K1115*Settings!$C$17))</f>
        <v/>
      </c>
      <c r="M1115" s="21">
        <f>IF(B1115="","",E1115*IFERROR(VLOOKUP(D1115,Products!$B$5:$F$204,5,FALSE),0))</f>
        <v/>
      </c>
      <c r="N1115" s="21">
        <f>IF(B1115="","",J1115-K1115-L1115-M1115-I1115)</f>
        <v/>
      </c>
    </row>
    <row r="1116">
      <c r="B1116" s="11" t="n"/>
      <c r="C1116" s="8" t="n"/>
      <c r="D1116" s="8" t="n"/>
      <c r="E1116" s="8" t="n"/>
      <c r="F1116" s="20" t="n"/>
      <c r="G1116" s="20" t="n"/>
      <c r="H1116" s="8" t="n"/>
      <c r="I1116" s="20" t="n"/>
      <c r="J1116" s="21">
        <f>IF(B1116="","",F1116+G1116)</f>
        <v/>
      </c>
      <c r="K1116" s="21">
        <f>IF(B1116="","",J1116*(Settings!$C$11+Settings!$C$12+Settings!$C$14)+IF(C1116="",Settings!$C$13,IF(COUNTIF($C$5:C1116,C1116)=1,Settings!$C$13,0))+E1116*Settings!$C$15+IF(H1116="Yes",J1116*Settings!$C$16,0))</f>
        <v/>
      </c>
      <c r="L1116" s="21">
        <f>IF(B1116="","",IF(Settings!$C$5="Yes",0,K1116*Settings!$C$17))</f>
        <v/>
      </c>
      <c r="M1116" s="21">
        <f>IF(B1116="","",E1116*IFERROR(VLOOKUP(D1116,Products!$B$5:$F$204,5,FALSE),0))</f>
        <v/>
      </c>
      <c r="N1116" s="21">
        <f>IF(B1116="","",J1116-K1116-L1116-M1116-I1116)</f>
        <v/>
      </c>
    </row>
    <row r="1117">
      <c r="B1117" s="11" t="n"/>
      <c r="C1117" s="8" t="n"/>
      <c r="D1117" s="8" t="n"/>
      <c r="E1117" s="8" t="n"/>
      <c r="F1117" s="20" t="n"/>
      <c r="G1117" s="20" t="n"/>
      <c r="H1117" s="8" t="n"/>
      <c r="I1117" s="20" t="n"/>
      <c r="J1117" s="21">
        <f>IF(B1117="","",F1117+G1117)</f>
        <v/>
      </c>
      <c r="K1117" s="21">
        <f>IF(B1117="","",J1117*(Settings!$C$11+Settings!$C$12+Settings!$C$14)+IF(C1117="",Settings!$C$13,IF(COUNTIF($C$5:C1117,C1117)=1,Settings!$C$13,0))+E1117*Settings!$C$15+IF(H1117="Yes",J1117*Settings!$C$16,0))</f>
        <v/>
      </c>
      <c r="L1117" s="21">
        <f>IF(B1117="","",IF(Settings!$C$5="Yes",0,K1117*Settings!$C$17))</f>
        <v/>
      </c>
      <c r="M1117" s="21">
        <f>IF(B1117="","",E1117*IFERROR(VLOOKUP(D1117,Products!$B$5:$F$204,5,FALSE),0))</f>
        <v/>
      </c>
      <c r="N1117" s="21">
        <f>IF(B1117="","",J1117-K1117-L1117-M1117-I1117)</f>
        <v/>
      </c>
    </row>
    <row r="1118">
      <c r="B1118" s="11" t="n"/>
      <c r="C1118" s="8" t="n"/>
      <c r="D1118" s="8" t="n"/>
      <c r="E1118" s="8" t="n"/>
      <c r="F1118" s="20" t="n"/>
      <c r="G1118" s="20" t="n"/>
      <c r="H1118" s="8" t="n"/>
      <c r="I1118" s="20" t="n"/>
      <c r="J1118" s="21">
        <f>IF(B1118="","",F1118+G1118)</f>
        <v/>
      </c>
      <c r="K1118" s="21">
        <f>IF(B1118="","",J1118*(Settings!$C$11+Settings!$C$12+Settings!$C$14)+IF(C1118="",Settings!$C$13,IF(COUNTIF($C$5:C1118,C1118)=1,Settings!$C$13,0))+E1118*Settings!$C$15+IF(H1118="Yes",J1118*Settings!$C$16,0))</f>
        <v/>
      </c>
      <c r="L1118" s="21">
        <f>IF(B1118="","",IF(Settings!$C$5="Yes",0,K1118*Settings!$C$17))</f>
        <v/>
      </c>
      <c r="M1118" s="21">
        <f>IF(B1118="","",E1118*IFERROR(VLOOKUP(D1118,Products!$B$5:$F$204,5,FALSE),0))</f>
        <v/>
      </c>
      <c r="N1118" s="21">
        <f>IF(B1118="","",J1118-K1118-L1118-M1118-I1118)</f>
        <v/>
      </c>
    </row>
    <row r="1119">
      <c r="B1119" s="11" t="n"/>
      <c r="C1119" s="8" t="n"/>
      <c r="D1119" s="8" t="n"/>
      <c r="E1119" s="8" t="n"/>
      <c r="F1119" s="20" t="n"/>
      <c r="G1119" s="20" t="n"/>
      <c r="H1119" s="8" t="n"/>
      <c r="I1119" s="20" t="n"/>
      <c r="J1119" s="21">
        <f>IF(B1119="","",F1119+G1119)</f>
        <v/>
      </c>
      <c r="K1119" s="21">
        <f>IF(B1119="","",J1119*(Settings!$C$11+Settings!$C$12+Settings!$C$14)+IF(C1119="",Settings!$C$13,IF(COUNTIF($C$5:C1119,C1119)=1,Settings!$C$13,0))+E1119*Settings!$C$15+IF(H1119="Yes",J1119*Settings!$C$16,0))</f>
        <v/>
      </c>
      <c r="L1119" s="21">
        <f>IF(B1119="","",IF(Settings!$C$5="Yes",0,K1119*Settings!$C$17))</f>
        <v/>
      </c>
      <c r="M1119" s="21">
        <f>IF(B1119="","",E1119*IFERROR(VLOOKUP(D1119,Products!$B$5:$F$204,5,FALSE),0))</f>
        <v/>
      </c>
      <c r="N1119" s="21">
        <f>IF(B1119="","",J1119-K1119-L1119-M1119-I1119)</f>
        <v/>
      </c>
    </row>
    <row r="1120">
      <c r="B1120" s="11" t="n"/>
      <c r="C1120" s="8" t="n"/>
      <c r="D1120" s="8" t="n"/>
      <c r="E1120" s="8" t="n"/>
      <c r="F1120" s="20" t="n"/>
      <c r="G1120" s="20" t="n"/>
      <c r="H1120" s="8" t="n"/>
      <c r="I1120" s="20" t="n"/>
      <c r="J1120" s="21">
        <f>IF(B1120="","",F1120+G1120)</f>
        <v/>
      </c>
      <c r="K1120" s="21">
        <f>IF(B1120="","",J1120*(Settings!$C$11+Settings!$C$12+Settings!$C$14)+IF(C1120="",Settings!$C$13,IF(COUNTIF($C$5:C1120,C1120)=1,Settings!$C$13,0))+E1120*Settings!$C$15+IF(H1120="Yes",J1120*Settings!$C$16,0))</f>
        <v/>
      </c>
      <c r="L1120" s="21">
        <f>IF(B1120="","",IF(Settings!$C$5="Yes",0,K1120*Settings!$C$17))</f>
        <v/>
      </c>
      <c r="M1120" s="21">
        <f>IF(B1120="","",E1120*IFERROR(VLOOKUP(D1120,Products!$B$5:$F$204,5,FALSE),0))</f>
        <v/>
      </c>
      <c r="N1120" s="21">
        <f>IF(B1120="","",J1120-K1120-L1120-M1120-I1120)</f>
        <v/>
      </c>
    </row>
    <row r="1121">
      <c r="B1121" s="11" t="n"/>
      <c r="C1121" s="8" t="n"/>
      <c r="D1121" s="8" t="n"/>
      <c r="E1121" s="8" t="n"/>
      <c r="F1121" s="20" t="n"/>
      <c r="G1121" s="20" t="n"/>
      <c r="H1121" s="8" t="n"/>
      <c r="I1121" s="20" t="n"/>
      <c r="J1121" s="21">
        <f>IF(B1121="","",F1121+G1121)</f>
        <v/>
      </c>
      <c r="K1121" s="21">
        <f>IF(B1121="","",J1121*(Settings!$C$11+Settings!$C$12+Settings!$C$14)+IF(C1121="",Settings!$C$13,IF(COUNTIF($C$5:C1121,C1121)=1,Settings!$C$13,0))+E1121*Settings!$C$15+IF(H1121="Yes",J1121*Settings!$C$16,0))</f>
        <v/>
      </c>
      <c r="L1121" s="21">
        <f>IF(B1121="","",IF(Settings!$C$5="Yes",0,K1121*Settings!$C$17))</f>
        <v/>
      </c>
      <c r="M1121" s="21">
        <f>IF(B1121="","",E1121*IFERROR(VLOOKUP(D1121,Products!$B$5:$F$204,5,FALSE),0))</f>
        <v/>
      </c>
      <c r="N1121" s="21">
        <f>IF(B1121="","",J1121-K1121-L1121-M1121-I1121)</f>
        <v/>
      </c>
    </row>
    <row r="1122">
      <c r="B1122" s="11" t="n"/>
      <c r="C1122" s="8" t="n"/>
      <c r="D1122" s="8" t="n"/>
      <c r="E1122" s="8" t="n"/>
      <c r="F1122" s="20" t="n"/>
      <c r="G1122" s="20" t="n"/>
      <c r="H1122" s="8" t="n"/>
      <c r="I1122" s="20" t="n"/>
      <c r="J1122" s="21">
        <f>IF(B1122="","",F1122+G1122)</f>
        <v/>
      </c>
      <c r="K1122" s="21">
        <f>IF(B1122="","",J1122*(Settings!$C$11+Settings!$C$12+Settings!$C$14)+IF(C1122="",Settings!$C$13,IF(COUNTIF($C$5:C1122,C1122)=1,Settings!$C$13,0))+E1122*Settings!$C$15+IF(H1122="Yes",J1122*Settings!$C$16,0))</f>
        <v/>
      </c>
      <c r="L1122" s="21">
        <f>IF(B1122="","",IF(Settings!$C$5="Yes",0,K1122*Settings!$C$17))</f>
        <v/>
      </c>
      <c r="M1122" s="21">
        <f>IF(B1122="","",E1122*IFERROR(VLOOKUP(D1122,Products!$B$5:$F$204,5,FALSE),0))</f>
        <v/>
      </c>
      <c r="N1122" s="21">
        <f>IF(B1122="","",J1122-K1122-L1122-M1122-I1122)</f>
        <v/>
      </c>
    </row>
    <row r="1123">
      <c r="B1123" s="11" t="n"/>
      <c r="C1123" s="8" t="n"/>
      <c r="D1123" s="8" t="n"/>
      <c r="E1123" s="8" t="n"/>
      <c r="F1123" s="20" t="n"/>
      <c r="G1123" s="20" t="n"/>
      <c r="H1123" s="8" t="n"/>
      <c r="I1123" s="20" t="n"/>
      <c r="J1123" s="21">
        <f>IF(B1123="","",F1123+G1123)</f>
        <v/>
      </c>
      <c r="K1123" s="21">
        <f>IF(B1123="","",J1123*(Settings!$C$11+Settings!$C$12+Settings!$C$14)+IF(C1123="",Settings!$C$13,IF(COUNTIF($C$5:C1123,C1123)=1,Settings!$C$13,0))+E1123*Settings!$C$15+IF(H1123="Yes",J1123*Settings!$C$16,0))</f>
        <v/>
      </c>
      <c r="L1123" s="21">
        <f>IF(B1123="","",IF(Settings!$C$5="Yes",0,K1123*Settings!$C$17))</f>
        <v/>
      </c>
      <c r="M1123" s="21">
        <f>IF(B1123="","",E1123*IFERROR(VLOOKUP(D1123,Products!$B$5:$F$204,5,FALSE),0))</f>
        <v/>
      </c>
      <c r="N1123" s="21">
        <f>IF(B1123="","",J1123-K1123-L1123-M1123-I1123)</f>
        <v/>
      </c>
    </row>
    <row r="1124">
      <c r="B1124" s="11" t="n"/>
      <c r="C1124" s="8" t="n"/>
      <c r="D1124" s="8" t="n"/>
      <c r="E1124" s="8" t="n"/>
      <c r="F1124" s="20" t="n"/>
      <c r="G1124" s="20" t="n"/>
      <c r="H1124" s="8" t="n"/>
      <c r="I1124" s="20" t="n"/>
      <c r="J1124" s="21">
        <f>IF(B1124="","",F1124+G1124)</f>
        <v/>
      </c>
      <c r="K1124" s="21">
        <f>IF(B1124="","",J1124*(Settings!$C$11+Settings!$C$12+Settings!$C$14)+IF(C1124="",Settings!$C$13,IF(COUNTIF($C$5:C1124,C1124)=1,Settings!$C$13,0))+E1124*Settings!$C$15+IF(H1124="Yes",J1124*Settings!$C$16,0))</f>
        <v/>
      </c>
      <c r="L1124" s="21">
        <f>IF(B1124="","",IF(Settings!$C$5="Yes",0,K1124*Settings!$C$17))</f>
        <v/>
      </c>
      <c r="M1124" s="21">
        <f>IF(B1124="","",E1124*IFERROR(VLOOKUP(D1124,Products!$B$5:$F$204,5,FALSE),0))</f>
        <v/>
      </c>
      <c r="N1124" s="21">
        <f>IF(B1124="","",J1124-K1124-L1124-M1124-I1124)</f>
        <v/>
      </c>
    </row>
    <row r="1125">
      <c r="B1125" s="11" t="n"/>
      <c r="C1125" s="8" t="n"/>
      <c r="D1125" s="8" t="n"/>
      <c r="E1125" s="8" t="n"/>
      <c r="F1125" s="20" t="n"/>
      <c r="G1125" s="20" t="n"/>
      <c r="H1125" s="8" t="n"/>
      <c r="I1125" s="20" t="n"/>
      <c r="J1125" s="21">
        <f>IF(B1125="","",F1125+G1125)</f>
        <v/>
      </c>
      <c r="K1125" s="21">
        <f>IF(B1125="","",J1125*(Settings!$C$11+Settings!$C$12+Settings!$C$14)+IF(C1125="",Settings!$C$13,IF(COUNTIF($C$5:C1125,C1125)=1,Settings!$C$13,0))+E1125*Settings!$C$15+IF(H1125="Yes",J1125*Settings!$C$16,0))</f>
        <v/>
      </c>
      <c r="L1125" s="21">
        <f>IF(B1125="","",IF(Settings!$C$5="Yes",0,K1125*Settings!$C$17))</f>
        <v/>
      </c>
      <c r="M1125" s="21">
        <f>IF(B1125="","",E1125*IFERROR(VLOOKUP(D1125,Products!$B$5:$F$204,5,FALSE),0))</f>
        <v/>
      </c>
      <c r="N1125" s="21">
        <f>IF(B1125="","",J1125-K1125-L1125-M1125-I1125)</f>
        <v/>
      </c>
    </row>
    <row r="1126">
      <c r="B1126" s="11" t="n"/>
      <c r="C1126" s="8" t="n"/>
      <c r="D1126" s="8" t="n"/>
      <c r="E1126" s="8" t="n"/>
      <c r="F1126" s="20" t="n"/>
      <c r="G1126" s="20" t="n"/>
      <c r="H1126" s="8" t="n"/>
      <c r="I1126" s="20" t="n"/>
      <c r="J1126" s="21">
        <f>IF(B1126="","",F1126+G1126)</f>
        <v/>
      </c>
      <c r="K1126" s="21">
        <f>IF(B1126="","",J1126*(Settings!$C$11+Settings!$C$12+Settings!$C$14)+IF(C1126="",Settings!$C$13,IF(COUNTIF($C$5:C1126,C1126)=1,Settings!$C$13,0))+E1126*Settings!$C$15+IF(H1126="Yes",J1126*Settings!$C$16,0))</f>
        <v/>
      </c>
      <c r="L1126" s="21">
        <f>IF(B1126="","",IF(Settings!$C$5="Yes",0,K1126*Settings!$C$17))</f>
        <v/>
      </c>
      <c r="M1126" s="21">
        <f>IF(B1126="","",E1126*IFERROR(VLOOKUP(D1126,Products!$B$5:$F$204,5,FALSE),0))</f>
        <v/>
      </c>
      <c r="N1126" s="21">
        <f>IF(B1126="","",J1126-K1126-L1126-M1126-I1126)</f>
        <v/>
      </c>
    </row>
    <row r="1127">
      <c r="B1127" s="11" t="n"/>
      <c r="C1127" s="8" t="n"/>
      <c r="D1127" s="8" t="n"/>
      <c r="E1127" s="8" t="n"/>
      <c r="F1127" s="20" t="n"/>
      <c r="G1127" s="20" t="n"/>
      <c r="H1127" s="8" t="n"/>
      <c r="I1127" s="20" t="n"/>
      <c r="J1127" s="21">
        <f>IF(B1127="","",F1127+G1127)</f>
        <v/>
      </c>
      <c r="K1127" s="21">
        <f>IF(B1127="","",J1127*(Settings!$C$11+Settings!$C$12+Settings!$C$14)+IF(C1127="",Settings!$C$13,IF(COUNTIF($C$5:C1127,C1127)=1,Settings!$C$13,0))+E1127*Settings!$C$15+IF(H1127="Yes",J1127*Settings!$C$16,0))</f>
        <v/>
      </c>
      <c r="L1127" s="21">
        <f>IF(B1127="","",IF(Settings!$C$5="Yes",0,K1127*Settings!$C$17))</f>
        <v/>
      </c>
      <c r="M1127" s="21">
        <f>IF(B1127="","",E1127*IFERROR(VLOOKUP(D1127,Products!$B$5:$F$204,5,FALSE),0))</f>
        <v/>
      </c>
      <c r="N1127" s="21">
        <f>IF(B1127="","",J1127-K1127-L1127-M1127-I1127)</f>
        <v/>
      </c>
    </row>
    <row r="1128">
      <c r="B1128" s="11" t="n"/>
      <c r="C1128" s="8" t="n"/>
      <c r="D1128" s="8" t="n"/>
      <c r="E1128" s="8" t="n"/>
      <c r="F1128" s="20" t="n"/>
      <c r="G1128" s="20" t="n"/>
      <c r="H1128" s="8" t="n"/>
      <c r="I1128" s="20" t="n"/>
      <c r="J1128" s="21">
        <f>IF(B1128="","",F1128+G1128)</f>
        <v/>
      </c>
      <c r="K1128" s="21">
        <f>IF(B1128="","",J1128*(Settings!$C$11+Settings!$C$12+Settings!$C$14)+IF(C1128="",Settings!$C$13,IF(COUNTIF($C$5:C1128,C1128)=1,Settings!$C$13,0))+E1128*Settings!$C$15+IF(H1128="Yes",J1128*Settings!$C$16,0))</f>
        <v/>
      </c>
      <c r="L1128" s="21">
        <f>IF(B1128="","",IF(Settings!$C$5="Yes",0,K1128*Settings!$C$17))</f>
        <v/>
      </c>
      <c r="M1128" s="21">
        <f>IF(B1128="","",E1128*IFERROR(VLOOKUP(D1128,Products!$B$5:$F$204,5,FALSE),0))</f>
        <v/>
      </c>
      <c r="N1128" s="21">
        <f>IF(B1128="","",J1128-K1128-L1128-M1128-I1128)</f>
        <v/>
      </c>
    </row>
    <row r="1129">
      <c r="B1129" s="11" t="n"/>
      <c r="C1129" s="8" t="n"/>
      <c r="D1129" s="8" t="n"/>
      <c r="E1129" s="8" t="n"/>
      <c r="F1129" s="20" t="n"/>
      <c r="G1129" s="20" t="n"/>
      <c r="H1129" s="8" t="n"/>
      <c r="I1129" s="20" t="n"/>
      <c r="J1129" s="21">
        <f>IF(B1129="","",F1129+G1129)</f>
        <v/>
      </c>
      <c r="K1129" s="21">
        <f>IF(B1129="","",J1129*(Settings!$C$11+Settings!$C$12+Settings!$C$14)+IF(C1129="",Settings!$C$13,IF(COUNTIF($C$5:C1129,C1129)=1,Settings!$C$13,0))+E1129*Settings!$C$15+IF(H1129="Yes",J1129*Settings!$C$16,0))</f>
        <v/>
      </c>
      <c r="L1129" s="21">
        <f>IF(B1129="","",IF(Settings!$C$5="Yes",0,K1129*Settings!$C$17))</f>
        <v/>
      </c>
      <c r="M1129" s="21">
        <f>IF(B1129="","",E1129*IFERROR(VLOOKUP(D1129,Products!$B$5:$F$204,5,FALSE),0))</f>
        <v/>
      </c>
      <c r="N1129" s="21">
        <f>IF(B1129="","",J1129-K1129-L1129-M1129-I1129)</f>
        <v/>
      </c>
    </row>
    <row r="1130">
      <c r="B1130" s="11" t="n"/>
      <c r="C1130" s="8" t="n"/>
      <c r="D1130" s="8" t="n"/>
      <c r="E1130" s="8" t="n"/>
      <c r="F1130" s="20" t="n"/>
      <c r="G1130" s="20" t="n"/>
      <c r="H1130" s="8" t="n"/>
      <c r="I1130" s="20" t="n"/>
      <c r="J1130" s="21">
        <f>IF(B1130="","",F1130+G1130)</f>
        <v/>
      </c>
      <c r="K1130" s="21">
        <f>IF(B1130="","",J1130*(Settings!$C$11+Settings!$C$12+Settings!$C$14)+IF(C1130="",Settings!$C$13,IF(COUNTIF($C$5:C1130,C1130)=1,Settings!$C$13,0))+E1130*Settings!$C$15+IF(H1130="Yes",J1130*Settings!$C$16,0))</f>
        <v/>
      </c>
      <c r="L1130" s="21">
        <f>IF(B1130="","",IF(Settings!$C$5="Yes",0,K1130*Settings!$C$17))</f>
        <v/>
      </c>
      <c r="M1130" s="21">
        <f>IF(B1130="","",E1130*IFERROR(VLOOKUP(D1130,Products!$B$5:$F$204,5,FALSE),0))</f>
        <v/>
      </c>
      <c r="N1130" s="21">
        <f>IF(B1130="","",J1130-K1130-L1130-M1130-I1130)</f>
        <v/>
      </c>
    </row>
    <row r="1131">
      <c r="B1131" s="11" t="n"/>
      <c r="C1131" s="8" t="n"/>
      <c r="D1131" s="8" t="n"/>
      <c r="E1131" s="8" t="n"/>
      <c r="F1131" s="20" t="n"/>
      <c r="G1131" s="20" t="n"/>
      <c r="H1131" s="8" t="n"/>
      <c r="I1131" s="20" t="n"/>
      <c r="J1131" s="21">
        <f>IF(B1131="","",F1131+G1131)</f>
        <v/>
      </c>
      <c r="K1131" s="21">
        <f>IF(B1131="","",J1131*(Settings!$C$11+Settings!$C$12+Settings!$C$14)+IF(C1131="",Settings!$C$13,IF(COUNTIF($C$5:C1131,C1131)=1,Settings!$C$13,0))+E1131*Settings!$C$15+IF(H1131="Yes",J1131*Settings!$C$16,0))</f>
        <v/>
      </c>
      <c r="L1131" s="21">
        <f>IF(B1131="","",IF(Settings!$C$5="Yes",0,K1131*Settings!$C$17))</f>
        <v/>
      </c>
      <c r="M1131" s="21">
        <f>IF(B1131="","",E1131*IFERROR(VLOOKUP(D1131,Products!$B$5:$F$204,5,FALSE),0))</f>
        <v/>
      </c>
      <c r="N1131" s="21">
        <f>IF(B1131="","",J1131-K1131-L1131-M1131-I1131)</f>
        <v/>
      </c>
    </row>
    <row r="1132">
      <c r="B1132" s="11" t="n"/>
      <c r="C1132" s="8" t="n"/>
      <c r="D1132" s="8" t="n"/>
      <c r="E1132" s="8" t="n"/>
      <c r="F1132" s="20" t="n"/>
      <c r="G1132" s="20" t="n"/>
      <c r="H1132" s="8" t="n"/>
      <c r="I1132" s="20" t="n"/>
      <c r="J1132" s="21">
        <f>IF(B1132="","",F1132+G1132)</f>
        <v/>
      </c>
      <c r="K1132" s="21">
        <f>IF(B1132="","",J1132*(Settings!$C$11+Settings!$C$12+Settings!$C$14)+IF(C1132="",Settings!$C$13,IF(COUNTIF($C$5:C1132,C1132)=1,Settings!$C$13,0))+E1132*Settings!$C$15+IF(H1132="Yes",J1132*Settings!$C$16,0))</f>
        <v/>
      </c>
      <c r="L1132" s="21">
        <f>IF(B1132="","",IF(Settings!$C$5="Yes",0,K1132*Settings!$C$17))</f>
        <v/>
      </c>
      <c r="M1132" s="21">
        <f>IF(B1132="","",E1132*IFERROR(VLOOKUP(D1132,Products!$B$5:$F$204,5,FALSE),0))</f>
        <v/>
      </c>
      <c r="N1132" s="21">
        <f>IF(B1132="","",J1132-K1132-L1132-M1132-I1132)</f>
        <v/>
      </c>
    </row>
    <row r="1133">
      <c r="B1133" s="11" t="n"/>
      <c r="C1133" s="8" t="n"/>
      <c r="D1133" s="8" t="n"/>
      <c r="E1133" s="8" t="n"/>
      <c r="F1133" s="20" t="n"/>
      <c r="G1133" s="20" t="n"/>
      <c r="H1133" s="8" t="n"/>
      <c r="I1133" s="20" t="n"/>
      <c r="J1133" s="21">
        <f>IF(B1133="","",F1133+G1133)</f>
        <v/>
      </c>
      <c r="K1133" s="21">
        <f>IF(B1133="","",J1133*(Settings!$C$11+Settings!$C$12+Settings!$C$14)+IF(C1133="",Settings!$C$13,IF(COUNTIF($C$5:C1133,C1133)=1,Settings!$C$13,0))+E1133*Settings!$C$15+IF(H1133="Yes",J1133*Settings!$C$16,0))</f>
        <v/>
      </c>
      <c r="L1133" s="21">
        <f>IF(B1133="","",IF(Settings!$C$5="Yes",0,K1133*Settings!$C$17))</f>
        <v/>
      </c>
      <c r="M1133" s="21">
        <f>IF(B1133="","",E1133*IFERROR(VLOOKUP(D1133,Products!$B$5:$F$204,5,FALSE),0))</f>
        <v/>
      </c>
      <c r="N1133" s="21">
        <f>IF(B1133="","",J1133-K1133-L1133-M1133-I1133)</f>
        <v/>
      </c>
    </row>
    <row r="1134">
      <c r="B1134" s="11" t="n"/>
      <c r="C1134" s="8" t="n"/>
      <c r="D1134" s="8" t="n"/>
      <c r="E1134" s="8" t="n"/>
      <c r="F1134" s="20" t="n"/>
      <c r="G1134" s="20" t="n"/>
      <c r="H1134" s="8" t="n"/>
      <c r="I1134" s="20" t="n"/>
      <c r="J1134" s="21">
        <f>IF(B1134="","",F1134+G1134)</f>
        <v/>
      </c>
      <c r="K1134" s="21">
        <f>IF(B1134="","",J1134*(Settings!$C$11+Settings!$C$12+Settings!$C$14)+IF(C1134="",Settings!$C$13,IF(COUNTIF($C$5:C1134,C1134)=1,Settings!$C$13,0))+E1134*Settings!$C$15+IF(H1134="Yes",J1134*Settings!$C$16,0))</f>
        <v/>
      </c>
      <c r="L1134" s="21">
        <f>IF(B1134="","",IF(Settings!$C$5="Yes",0,K1134*Settings!$C$17))</f>
        <v/>
      </c>
      <c r="M1134" s="21">
        <f>IF(B1134="","",E1134*IFERROR(VLOOKUP(D1134,Products!$B$5:$F$204,5,FALSE),0))</f>
        <v/>
      </c>
      <c r="N1134" s="21">
        <f>IF(B1134="","",J1134-K1134-L1134-M1134-I1134)</f>
        <v/>
      </c>
    </row>
    <row r="1135">
      <c r="B1135" s="11" t="n"/>
      <c r="C1135" s="8" t="n"/>
      <c r="D1135" s="8" t="n"/>
      <c r="E1135" s="8" t="n"/>
      <c r="F1135" s="20" t="n"/>
      <c r="G1135" s="20" t="n"/>
      <c r="H1135" s="8" t="n"/>
      <c r="I1135" s="20" t="n"/>
      <c r="J1135" s="21">
        <f>IF(B1135="","",F1135+G1135)</f>
        <v/>
      </c>
      <c r="K1135" s="21">
        <f>IF(B1135="","",J1135*(Settings!$C$11+Settings!$C$12+Settings!$C$14)+IF(C1135="",Settings!$C$13,IF(COUNTIF($C$5:C1135,C1135)=1,Settings!$C$13,0))+E1135*Settings!$C$15+IF(H1135="Yes",J1135*Settings!$C$16,0))</f>
        <v/>
      </c>
      <c r="L1135" s="21">
        <f>IF(B1135="","",IF(Settings!$C$5="Yes",0,K1135*Settings!$C$17))</f>
        <v/>
      </c>
      <c r="M1135" s="21">
        <f>IF(B1135="","",E1135*IFERROR(VLOOKUP(D1135,Products!$B$5:$F$204,5,FALSE),0))</f>
        <v/>
      </c>
      <c r="N1135" s="21">
        <f>IF(B1135="","",J1135-K1135-L1135-M1135-I1135)</f>
        <v/>
      </c>
    </row>
    <row r="1136">
      <c r="B1136" s="11" t="n"/>
      <c r="C1136" s="8" t="n"/>
      <c r="D1136" s="8" t="n"/>
      <c r="E1136" s="8" t="n"/>
      <c r="F1136" s="20" t="n"/>
      <c r="G1136" s="20" t="n"/>
      <c r="H1136" s="8" t="n"/>
      <c r="I1136" s="20" t="n"/>
      <c r="J1136" s="21">
        <f>IF(B1136="","",F1136+G1136)</f>
        <v/>
      </c>
      <c r="K1136" s="21">
        <f>IF(B1136="","",J1136*(Settings!$C$11+Settings!$C$12+Settings!$C$14)+IF(C1136="",Settings!$C$13,IF(COUNTIF($C$5:C1136,C1136)=1,Settings!$C$13,0))+E1136*Settings!$C$15+IF(H1136="Yes",J1136*Settings!$C$16,0))</f>
        <v/>
      </c>
      <c r="L1136" s="21">
        <f>IF(B1136="","",IF(Settings!$C$5="Yes",0,K1136*Settings!$C$17))</f>
        <v/>
      </c>
      <c r="M1136" s="21">
        <f>IF(B1136="","",E1136*IFERROR(VLOOKUP(D1136,Products!$B$5:$F$204,5,FALSE),0))</f>
        <v/>
      </c>
      <c r="N1136" s="21">
        <f>IF(B1136="","",J1136-K1136-L1136-M1136-I1136)</f>
        <v/>
      </c>
    </row>
    <row r="1137">
      <c r="B1137" s="11" t="n"/>
      <c r="C1137" s="8" t="n"/>
      <c r="D1137" s="8" t="n"/>
      <c r="E1137" s="8" t="n"/>
      <c r="F1137" s="20" t="n"/>
      <c r="G1137" s="20" t="n"/>
      <c r="H1137" s="8" t="n"/>
      <c r="I1137" s="20" t="n"/>
      <c r="J1137" s="21">
        <f>IF(B1137="","",F1137+G1137)</f>
        <v/>
      </c>
      <c r="K1137" s="21">
        <f>IF(B1137="","",J1137*(Settings!$C$11+Settings!$C$12+Settings!$C$14)+IF(C1137="",Settings!$C$13,IF(COUNTIF($C$5:C1137,C1137)=1,Settings!$C$13,0))+E1137*Settings!$C$15+IF(H1137="Yes",J1137*Settings!$C$16,0))</f>
        <v/>
      </c>
      <c r="L1137" s="21">
        <f>IF(B1137="","",IF(Settings!$C$5="Yes",0,K1137*Settings!$C$17))</f>
        <v/>
      </c>
      <c r="M1137" s="21">
        <f>IF(B1137="","",E1137*IFERROR(VLOOKUP(D1137,Products!$B$5:$F$204,5,FALSE),0))</f>
        <v/>
      </c>
      <c r="N1137" s="21">
        <f>IF(B1137="","",J1137-K1137-L1137-M1137-I1137)</f>
        <v/>
      </c>
    </row>
    <row r="1138">
      <c r="B1138" s="11" t="n"/>
      <c r="C1138" s="8" t="n"/>
      <c r="D1138" s="8" t="n"/>
      <c r="E1138" s="8" t="n"/>
      <c r="F1138" s="20" t="n"/>
      <c r="G1138" s="20" t="n"/>
      <c r="H1138" s="8" t="n"/>
      <c r="I1138" s="20" t="n"/>
      <c r="J1138" s="21">
        <f>IF(B1138="","",F1138+G1138)</f>
        <v/>
      </c>
      <c r="K1138" s="21">
        <f>IF(B1138="","",J1138*(Settings!$C$11+Settings!$C$12+Settings!$C$14)+IF(C1138="",Settings!$C$13,IF(COUNTIF($C$5:C1138,C1138)=1,Settings!$C$13,0))+E1138*Settings!$C$15+IF(H1138="Yes",J1138*Settings!$C$16,0))</f>
        <v/>
      </c>
      <c r="L1138" s="21">
        <f>IF(B1138="","",IF(Settings!$C$5="Yes",0,K1138*Settings!$C$17))</f>
        <v/>
      </c>
      <c r="M1138" s="21">
        <f>IF(B1138="","",E1138*IFERROR(VLOOKUP(D1138,Products!$B$5:$F$204,5,FALSE),0))</f>
        <v/>
      </c>
      <c r="N1138" s="21">
        <f>IF(B1138="","",J1138-K1138-L1138-M1138-I1138)</f>
        <v/>
      </c>
    </row>
    <row r="1139">
      <c r="B1139" s="11" t="n"/>
      <c r="C1139" s="8" t="n"/>
      <c r="D1139" s="8" t="n"/>
      <c r="E1139" s="8" t="n"/>
      <c r="F1139" s="20" t="n"/>
      <c r="G1139" s="20" t="n"/>
      <c r="H1139" s="8" t="n"/>
      <c r="I1139" s="20" t="n"/>
      <c r="J1139" s="21">
        <f>IF(B1139="","",F1139+G1139)</f>
        <v/>
      </c>
      <c r="K1139" s="21">
        <f>IF(B1139="","",J1139*(Settings!$C$11+Settings!$C$12+Settings!$C$14)+IF(C1139="",Settings!$C$13,IF(COUNTIF($C$5:C1139,C1139)=1,Settings!$C$13,0))+E1139*Settings!$C$15+IF(H1139="Yes",J1139*Settings!$C$16,0))</f>
        <v/>
      </c>
      <c r="L1139" s="21">
        <f>IF(B1139="","",IF(Settings!$C$5="Yes",0,K1139*Settings!$C$17))</f>
        <v/>
      </c>
      <c r="M1139" s="21">
        <f>IF(B1139="","",E1139*IFERROR(VLOOKUP(D1139,Products!$B$5:$F$204,5,FALSE),0))</f>
        <v/>
      </c>
      <c r="N1139" s="21">
        <f>IF(B1139="","",J1139-K1139-L1139-M1139-I1139)</f>
        <v/>
      </c>
    </row>
    <row r="1140">
      <c r="B1140" s="11" t="n"/>
      <c r="C1140" s="8" t="n"/>
      <c r="D1140" s="8" t="n"/>
      <c r="E1140" s="8" t="n"/>
      <c r="F1140" s="20" t="n"/>
      <c r="G1140" s="20" t="n"/>
      <c r="H1140" s="8" t="n"/>
      <c r="I1140" s="20" t="n"/>
      <c r="J1140" s="21">
        <f>IF(B1140="","",F1140+G1140)</f>
        <v/>
      </c>
      <c r="K1140" s="21">
        <f>IF(B1140="","",J1140*(Settings!$C$11+Settings!$C$12+Settings!$C$14)+IF(C1140="",Settings!$C$13,IF(COUNTIF($C$5:C1140,C1140)=1,Settings!$C$13,0))+E1140*Settings!$C$15+IF(H1140="Yes",J1140*Settings!$C$16,0))</f>
        <v/>
      </c>
      <c r="L1140" s="21">
        <f>IF(B1140="","",IF(Settings!$C$5="Yes",0,K1140*Settings!$C$17))</f>
        <v/>
      </c>
      <c r="M1140" s="21">
        <f>IF(B1140="","",E1140*IFERROR(VLOOKUP(D1140,Products!$B$5:$F$204,5,FALSE),0))</f>
        <v/>
      </c>
      <c r="N1140" s="21">
        <f>IF(B1140="","",J1140-K1140-L1140-M1140-I1140)</f>
        <v/>
      </c>
    </row>
    <row r="1141">
      <c r="B1141" s="11" t="n"/>
      <c r="C1141" s="8" t="n"/>
      <c r="D1141" s="8" t="n"/>
      <c r="E1141" s="8" t="n"/>
      <c r="F1141" s="20" t="n"/>
      <c r="G1141" s="20" t="n"/>
      <c r="H1141" s="8" t="n"/>
      <c r="I1141" s="20" t="n"/>
      <c r="J1141" s="21">
        <f>IF(B1141="","",F1141+G1141)</f>
        <v/>
      </c>
      <c r="K1141" s="21">
        <f>IF(B1141="","",J1141*(Settings!$C$11+Settings!$C$12+Settings!$C$14)+IF(C1141="",Settings!$C$13,IF(COUNTIF($C$5:C1141,C1141)=1,Settings!$C$13,0))+E1141*Settings!$C$15+IF(H1141="Yes",J1141*Settings!$C$16,0))</f>
        <v/>
      </c>
      <c r="L1141" s="21">
        <f>IF(B1141="","",IF(Settings!$C$5="Yes",0,K1141*Settings!$C$17))</f>
        <v/>
      </c>
      <c r="M1141" s="21">
        <f>IF(B1141="","",E1141*IFERROR(VLOOKUP(D1141,Products!$B$5:$F$204,5,FALSE),0))</f>
        <v/>
      </c>
      <c r="N1141" s="21">
        <f>IF(B1141="","",J1141-K1141-L1141-M1141-I1141)</f>
        <v/>
      </c>
    </row>
    <row r="1142">
      <c r="B1142" s="11" t="n"/>
      <c r="C1142" s="8" t="n"/>
      <c r="D1142" s="8" t="n"/>
      <c r="E1142" s="8" t="n"/>
      <c r="F1142" s="20" t="n"/>
      <c r="G1142" s="20" t="n"/>
      <c r="H1142" s="8" t="n"/>
      <c r="I1142" s="20" t="n"/>
      <c r="J1142" s="21">
        <f>IF(B1142="","",F1142+G1142)</f>
        <v/>
      </c>
      <c r="K1142" s="21">
        <f>IF(B1142="","",J1142*(Settings!$C$11+Settings!$C$12+Settings!$C$14)+IF(C1142="",Settings!$C$13,IF(COUNTIF($C$5:C1142,C1142)=1,Settings!$C$13,0))+E1142*Settings!$C$15+IF(H1142="Yes",J1142*Settings!$C$16,0))</f>
        <v/>
      </c>
      <c r="L1142" s="21">
        <f>IF(B1142="","",IF(Settings!$C$5="Yes",0,K1142*Settings!$C$17))</f>
        <v/>
      </c>
      <c r="M1142" s="21">
        <f>IF(B1142="","",E1142*IFERROR(VLOOKUP(D1142,Products!$B$5:$F$204,5,FALSE),0))</f>
        <v/>
      </c>
      <c r="N1142" s="21">
        <f>IF(B1142="","",J1142-K1142-L1142-M1142-I1142)</f>
        <v/>
      </c>
    </row>
    <row r="1143">
      <c r="B1143" s="11" t="n"/>
      <c r="C1143" s="8" t="n"/>
      <c r="D1143" s="8" t="n"/>
      <c r="E1143" s="8" t="n"/>
      <c r="F1143" s="20" t="n"/>
      <c r="G1143" s="20" t="n"/>
      <c r="H1143" s="8" t="n"/>
      <c r="I1143" s="20" t="n"/>
      <c r="J1143" s="21">
        <f>IF(B1143="","",F1143+G1143)</f>
        <v/>
      </c>
      <c r="K1143" s="21">
        <f>IF(B1143="","",J1143*(Settings!$C$11+Settings!$C$12+Settings!$C$14)+IF(C1143="",Settings!$C$13,IF(COUNTIF($C$5:C1143,C1143)=1,Settings!$C$13,0))+E1143*Settings!$C$15+IF(H1143="Yes",J1143*Settings!$C$16,0))</f>
        <v/>
      </c>
      <c r="L1143" s="21">
        <f>IF(B1143="","",IF(Settings!$C$5="Yes",0,K1143*Settings!$C$17))</f>
        <v/>
      </c>
      <c r="M1143" s="21">
        <f>IF(B1143="","",E1143*IFERROR(VLOOKUP(D1143,Products!$B$5:$F$204,5,FALSE),0))</f>
        <v/>
      </c>
      <c r="N1143" s="21">
        <f>IF(B1143="","",J1143-K1143-L1143-M1143-I1143)</f>
        <v/>
      </c>
    </row>
    <row r="1144">
      <c r="B1144" s="11" t="n"/>
      <c r="C1144" s="8" t="n"/>
      <c r="D1144" s="8" t="n"/>
      <c r="E1144" s="8" t="n"/>
      <c r="F1144" s="20" t="n"/>
      <c r="G1144" s="20" t="n"/>
      <c r="H1144" s="8" t="n"/>
      <c r="I1144" s="20" t="n"/>
      <c r="J1144" s="21">
        <f>IF(B1144="","",F1144+G1144)</f>
        <v/>
      </c>
      <c r="K1144" s="21">
        <f>IF(B1144="","",J1144*(Settings!$C$11+Settings!$C$12+Settings!$C$14)+IF(C1144="",Settings!$C$13,IF(COUNTIF($C$5:C1144,C1144)=1,Settings!$C$13,0))+E1144*Settings!$C$15+IF(H1144="Yes",J1144*Settings!$C$16,0))</f>
        <v/>
      </c>
      <c r="L1144" s="21">
        <f>IF(B1144="","",IF(Settings!$C$5="Yes",0,K1144*Settings!$C$17))</f>
        <v/>
      </c>
      <c r="M1144" s="21">
        <f>IF(B1144="","",E1144*IFERROR(VLOOKUP(D1144,Products!$B$5:$F$204,5,FALSE),0))</f>
        <v/>
      </c>
      <c r="N1144" s="21">
        <f>IF(B1144="","",J1144-K1144-L1144-M1144-I1144)</f>
        <v/>
      </c>
    </row>
    <row r="1145">
      <c r="B1145" s="11" t="n"/>
      <c r="C1145" s="8" t="n"/>
      <c r="D1145" s="8" t="n"/>
      <c r="E1145" s="8" t="n"/>
      <c r="F1145" s="20" t="n"/>
      <c r="G1145" s="20" t="n"/>
      <c r="H1145" s="8" t="n"/>
      <c r="I1145" s="20" t="n"/>
      <c r="J1145" s="21">
        <f>IF(B1145="","",F1145+G1145)</f>
        <v/>
      </c>
      <c r="K1145" s="21">
        <f>IF(B1145="","",J1145*(Settings!$C$11+Settings!$C$12+Settings!$C$14)+IF(C1145="",Settings!$C$13,IF(COUNTIF($C$5:C1145,C1145)=1,Settings!$C$13,0))+E1145*Settings!$C$15+IF(H1145="Yes",J1145*Settings!$C$16,0))</f>
        <v/>
      </c>
      <c r="L1145" s="21">
        <f>IF(B1145="","",IF(Settings!$C$5="Yes",0,K1145*Settings!$C$17))</f>
        <v/>
      </c>
      <c r="M1145" s="21">
        <f>IF(B1145="","",E1145*IFERROR(VLOOKUP(D1145,Products!$B$5:$F$204,5,FALSE),0))</f>
        <v/>
      </c>
      <c r="N1145" s="21">
        <f>IF(B1145="","",J1145-K1145-L1145-M1145-I1145)</f>
        <v/>
      </c>
    </row>
    <row r="1146">
      <c r="B1146" s="11" t="n"/>
      <c r="C1146" s="8" t="n"/>
      <c r="D1146" s="8" t="n"/>
      <c r="E1146" s="8" t="n"/>
      <c r="F1146" s="20" t="n"/>
      <c r="G1146" s="20" t="n"/>
      <c r="H1146" s="8" t="n"/>
      <c r="I1146" s="20" t="n"/>
      <c r="J1146" s="21">
        <f>IF(B1146="","",F1146+G1146)</f>
        <v/>
      </c>
      <c r="K1146" s="21">
        <f>IF(B1146="","",J1146*(Settings!$C$11+Settings!$C$12+Settings!$C$14)+IF(C1146="",Settings!$C$13,IF(COUNTIF($C$5:C1146,C1146)=1,Settings!$C$13,0))+E1146*Settings!$C$15+IF(H1146="Yes",J1146*Settings!$C$16,0))</f>
        <v/>
      </c>
      <c r="L1146" s="21">
        <f>IF(B1146="","",IF(Settings!$C$5="Yes",0,K1146*Settings!$C$17))</f>
        <v/>
      </c>
      <c r="M1146" s="21">
        <f>IF(B1146="","",E1146*IFERROR(VLOOKUP(D1146,Products!$B$5:$F$204,5,FALSE),0))</f>
        <v/>
      </c>
      <c r="N1146" s="21">
        <f>IF(B1146="","",J1146-K1146-L1146-M1146-I1146)</f>
        <v/>
      </c>
    </row>
    <row r="1147">
      <c r="B1147" s="11" t="n"/>
      <c r="C1147" s="8" t="n"/>
      <c r="D1147" s="8" t="n"/>
      <c r="E1147" s="8" t="n"/>
      <c r="F1147" s="20" t="n"/>
      <c r="G1147" s="20" t="n"/>
      <c r="H1147" s="8" t="n"/>
      <c r="I1147" s="20" t="n"/>
      <c r="J1147" s="21">
        <f>IF(B1147="","",F1147+G1147)</f>
        <v/>
      </c>
      <c r="K1147" s="21">
        <f>IF(B1147="","",J1147*(Settings!$C$11+Settings!$C$12+Settings!$C$14)+IF(C1147="",Settings!$C$13,IF(COUNTIF($C$5:C1147,C1147)=1,Settings!$C$13,0))+E1147*Settings!$C$15+IF(H1147="Yes",J1147*Settings!$C$16,0))</f>
        <v/>
      </c>
      <c r="L1147" s="21">
        <f>IF(B1147="","",IF(Settings!$C$5="Yes",0,K1147*Settings!$C$17))</f>
        <v/>
      </c>
      <c r="M1147" s="21">
        <f>IF(B1147="","",E1147*IFERROR(VLOOKUP(D1147,Products!$B$5:$F$204,5,FALSE),0))</f>
        <v/>
      </c>
      <c r="N1147" s="21">
        <f>IF(B1147="","",J1147-K1147-L1147-M1147-I1147)</f>
        <v/>
      </c>
    </row>
    <row r="1148">
      <c r="B1148" s="11" t="n"/>
      <c r="C1148" s="8" t="n"/>
      <c r="D1148" s="8" t="n"/>
      <c r="E1148" s="8" t="n"/>
      <c r="F1148" s="20" t="n"/>
      <c r="G1148" s="20" t="n"/>
      <c r="H1148" s="8" t="n"/>
      <c r="I1148" s="20" t="n"/>
      <c r="J1148" s="21">
        <f>IF(B1148="","",F1148+G1148)</f>
        <v/>
      </c>
      <c r="K1148" s="21">
        <f>IF(B1148="","",J1148*(Settings!$C$11+Settings!$C$12+Settings!$C$14)+IF(C1148="",Settings!$C$13,IF(COUNTIF($C$5:C1148,C1148)=1,Settings!$C$13,0))+E1148*Settings!$C$15+IF(H1148="Yes",J1148*Settings!$C$16,0))</f>
        <v/>
      </c>
      <c r="L1148" s="21">
        <f>IF(B1148="","",IF(Settings!$C$5="Yes",0,K1148*Settings!$C$17))</f>
        <v/>
      </c>
      <c r="M1148" s="21">
        <f>IF(B1148="","",E1148*IFERROR(VLOOKUP(D1148,Products!$B$5:$F$204,5,FALSE),0))</f>
        <v/>
      </c>
      <c r="N1148" s="21">
        <f>IF(B1148="","",J1148-K1148-L1148-M1148-I1148)</f>
        <v/>
      </c>
    </row>
    <row r="1149">
      <c r="B1149" s="11" t="n"/>
      <c r="C1149" s="8" t="n"/>
      <c r="D1149" s="8" t="n"/>
      <c r="E1149" s="8" t="n"/>
      <c r="F1149" s="20" t="n"/>
      <c r="G1149" s="20" t="n"/>
      <c r="H1149" s="8" t="n"/>
      <c r="I1149" s="20" t="n"/>
      <c r="J1149" s="21">
        <f>IF(B1149="","",F1149+G1149)</f>
        <v/>
      </c>
      <c r="K1149" s="21">
        <f>IF(B1149="","",J1149*(Settings!$C$11+Settings!$C$12+Settings!$C$14)+IF(C1149="",Settings!$C$13,IF(COUNTIF($C$5:C1149,C1149)=1,Settings!$C$13,0))+E1149*Settings!$C$15+IF(H1149="Yes",J1149*Settings!$C$16,0))</f>
        <v/>
      </c>
      <c r="L1149" s="21">
        <f>IF(B1149="","",IF(Settings!$C$5="Yes",0,K1149*Settings!$C$17))</f>
        <v/>
      </c>
      <c r="M1149" s="21">
        <f>IF(B1149="","",E1149*IFERROR(VLOOKUP(D1149,Products!$B$5:$F$204,5,FALSE),0))</f>
        <v/>
      </c>
      <c r="N1149" s="21">
        <f>IF(B1149="","",J1149-K1149-L1149-M1149-I1149)</f>
        <v/>
      </c>
    </row>
    <row r="1150">
      <c r="B1150" s="11" t="n"/>
      <c r="C1150" s="8" t="n"/>
      <c r="D1150" s="8" t="n"/>
      <c r="E1150" s="8" t="n"/>
      <c r="F1150" s="20" t="n"/>
      <c r="G1150" s="20" t="n"/>
      <c r="H1150" s="8" t="n"/>
      <c r="I1150" s="20" t="n"/>
      <c r="J1150" s="21">
        <f>IF(B1150="","",F1150+G1150)</f>
        <v/>
      </c>
      <c r="K1150" s="21">
        <f>IF(B1150="","",J1150*(Settings!$C$11+Settings!$C$12+Settings!$C$14)+IF(C1150="",Settings!$C$13,IF(COUNTIF($C$5:C1150,C1150)=1,Settings!$C$13,0))+E1150*Settings!$C$15+IF(H1150="Yes",J1150*Settings!$C$16,0))</f>
        <v/>
      </c>
      <c r="L1150" s="21">
        <f>IF(B1150="","",IF(Settings!$C$5="Yes",0,K1150*Settings!$C$17))</f>
        <v/>
      </c>
      <c r="M1150" s="21">
        <f>IF(B1150="","",E1150*IFERROR(VLOOKUP(D1150,Products!$B$5:$F$204,5,FALSE),0))</f>
        <v/>
      </c>
      <c r="N1150" s="21">
        <f>IF(B1150="","",J1150-K1150-L1150-M1150-I1150)</f>
        <v/>
      </c>
    </row>
    <row r="1151">
      <c r="B1151" s="11" t="n"/>
      <c r="C1151" s="8" t="n"/>
      <c r="D1151" s="8" t="n"/>
      <c r="E1151" s="8" t="n"/>
      <c r="F1151" s="20" t="n"/>
      <c r="G1151" s="20" t="n"/>
      <c r="H1151" s="8" t="n"/>
      <c r="I1151" s="20" t="n"/>
      <c r="J1151" s="21">
        <f>IF(B1151="","",F1151+G1151)</f>
        <v/>
      </c>
      <c r="K1151" s="21">
        <f>IF(B1151="","",J1151*(Settings!$C$11+Settings!$C$12+Settings!$C$14)+IF(C1151="",Settings!$C$13,IF(COUNTIF($C$5:C1151,C1151)=1,Settings!$C$13,0))+E1151*Settings!$C$15+IF(H1151="Yes",J1151*Settings!$C$16,0))</f>
        <v/>
      </c>
      <c r="L1151" s="21">
        <f>IF(B1151="","",IF(Settings!$C$5="Yes",0,K1151*Settings!$C$17))</f>
        <v/>
      </c>
      <c r="M1151" s="21">
        <f>IF(B1151="","",E1151*IFERROR(VLOOKUP(D1151,Products!$B$5:$F$204,5,FALSE),0))</f>
        <v/>
      </c>
      <c r="N1151" s="21">
        <f>IF(B1151="","",J1151-K1151-L1151-M1151-I1151)</f>
        <v/>
      </c>
    </row>
    <row r="1152">
      <c r="B1152" s="11" t="n"/>
      <c r="C1152" s="8" t="n"/>
      <c r="D1152" s="8" t="n"/>
      <c r="E1152" s="8" t="n"/>
      <c r="F1152" s="20" t="n"/>
      <c r="G1152" s="20" t="n"/>
      <c r="H1152" s="8" t="n"/>
      <c r="I1152" s="20" t="n"/>
      <c r="J1152" s="21">
        <f>IF(B1152="","",F1152+G1152)</f>
        <v/>
      </c>
      <c r="K1152" s="21">
        <f>IF(B1152="","",J1152*(Settings!$C$11+Settings!$C$12+Settings!$C$14)+IF(C1152="",Settings!$C$13,IF(COUNTIF($C$5:C1152,C1152)=1,Settings!$C$13,0))+E1152*Settings!$C$15+IF(H1152="Yes",J1152*Settings!$C$16,0))</f>
        <v/>
      </c>
      <c r="L1152" s="21">
        <f>IF(B1152="","",IF(Settings!$C$5="Yes",0,K1152*Settings!$C$17))</f>
        <v/>
      </c>
      <c r="M1152" s="21">
        <f>IF(B1152="","",E1152*IFERROR(VLOOKUP(D1152,Products!$B$5:$F$204,5,FALSE),0))</f>
        <v/>
      </c>
      <c r="N1152" s="21">
        <f>IF(B1152="","",J1152-K1152-L1152-M1152-I1152)</f>
        <v/>
      </c>
    </row>
    <row r="1153">
      <c r="B1153" s="11" t="n"/>
      <c r="C1153" s="8" t="n"/>
      <c r="D1153" s="8" t="n"/>
      <c r="E1153" s="8" t="n"/>
      <c r="F1153" s="20" t="n"/>
      <c r="G1153" s="20" t="n"/>
      <c r="H1153" s="8" t="n"/>
      <c r="I1153" s="20" t="n"/>
      <c r="J1153" s="21">
        <f>IF(B1153="","",F1153+G1153)</f>
        <v/>
      </c>
      <c r="K1153" s="21">
        <f>IF(B1153="","",J1153*(Settings!$C$11+Settings!$C$12+Settings!$C$14)+IF(C1153="",Settings!$C$13,IF(COUNTIF($C$5:C1153,C1153)=1,Settings!$C$13,0))+E1153*Settings!$C$15+IF(H1153="Yes",J1153*Settings!$C$16,0))</f>
        <v/>
      </c>
      <c r="L1153" s="21">
        <f>IF(B1153="","",IF(Settings!$C$5="Yes",0,K1153*Settings!$C$17))</f>
        <v/>
      </c>
      <c r="M1153" s="21">
        <f>IF(B1153="","",E1153*IFERROR(VLOOKUP(D1153,Products!$B$5:$F$204,5,FALSE),0))</f>
        <v/>
      </c>
      <c r="N1153" s="21">
        <f>IF(B1153="","",J1153-K1153-L1153-M1153-I1153)</f>
        <v/>
      </c>
    </row>
    <row r="1154">
      <c r="B1154" s="11" t="n"/>
      <c r="C1154" s="8" t="n"/>
      <c r="D1154" s="8" t="n"/>
      <c r="E1154" s="8" t="n"/>
      <c r="F1154" s="20" t="n"/>
      <c r="G1154" s="20" t="n"/>
      <c r="H1154" s="8" t="n"/>
      <c r="I1154" s="20" t="n"/>
      <c r="J1154" s="21">
        <f>IF(B1154="","",F1154+G1154)</f>
        <v/>
      </c>
      <c r="K1154" s="21">
        <f>IF(B1154="","",J1154*(Settings!$C$11+Settings!$C$12+Settings!$C$14)+IF(C1154="",Settings!$C$13,IF(COUNTIF($C$5:C1154,C1154)=1,Settings!$C$13,0))+E1154*Settings!$C$15+IF(H1154="Yes",J1154*Settings!$C$16,0))</f>
        <v/>
      </c>
      <c r="L1154" s="21">
        <f>IF(B1154="","",IF(Settings!$C$5="Yes",0,K1154*Settings!$C$17))</f>
        <v/>
      </c>
      <c r="M1154" s="21">
        <f>IF(B1154="","",E1154*IFERROR(VLOOKUP(D1154,Products!$B$5:$F$204,5,FALSE),0))</f>
        <v/>
      </c>
      <c r="N1154" s="21">
        <f>IF(B1154="","",J1154-K1154-L1154-M1154-I1154)</f>
        <v/>
      </c>
    </row>
    <row r="1155">
      <c r="B1155" s="11" t="n"/>
      <c r="C1155" s="8" t="n"/>
      <c r="D1155" s="8" t="n"/>
      <c r="E1155" s="8" t="n"/>
      <c r="F1155" s="20" t="n"/>
      <c r="G1155" s="20" t="n"/>
      <c r="H1155" s="8" t="n"/>
      <c r="I1155" s="20" t="n"/>
      <c r="J1155" s="21">
        <f>IF(B1155="","",F1155+G1155)</f>
        <v/>
      </c>
      <c r="K1155" s="21">
        <f>IF(B1155="","",J1155*(Settings!$C$11+Settings!$C$12+Settings!$C$14)+IF(C1155="",Settings!$C$13,IF(COUNTIF($C$5:C1155,C1155)=1,Settings!$C$13,0))+E1155*Settings!$C$15+IF(H1155="Yes",J1155*Settings!$C$16,0))</f>
        <v/>
      </c>
      <c r="L1155" s="21">
        <f>IF(B1155="","",IF(Settings!$C$5="Yes",0,K1155*Settings!$C$17))</f>
        <v/>
      </c>
      <c r="M1155" s="21">
        <f>IF(B1155="","",E1155*IFERROR(VLOOKUP(D1155,Products!$B$5:$F$204,5,FALSE),0))</f>
        <v/>
      </c>
      <c r="N1155" s="21">
        <f>IF(B1155="","",J1155-K1155-L1155-M1155-I1155)</f>
        <v/>
      </c>
    </row>
    <row r="1156">
      <c r="B1156" s="11" t="n"/>
      <c r="C1156" s="8" t="n"/>
      <c r="D1156" s="8" t="n"/>
      <c r="E1156" s="8" t="n"/>
      <c r="F1156" s="20" t="n"/>
      <c r="G1156" s="20" t="n"/>
      <c r="H1156" s="8" t="n"/>
      <c r="I1156" s="20" t="n"/>
      <c r="J1156" s="21">
        <f>IF(B1156="","",F1156+G1156)</f>
        <v/>
      </c>
      <c r="K1156" s="21">
        <f>IF(B1156="","",J1156*(Settings!$C$11+Settings!$C$12+Settings!$C$14)+IF(C1156="",Settings!$C$13,IF(COUNTIF($C$5:C1156,C1156)=1,Settings!$C$13,0))+E1156*Settings!$C$15+IF(H1156="Yes",J1156*Settings!$C$16,0))</f>
        <v/>
      </c>
      <c r="L1156" s="21">
        <f>IF(B1156="","",IF(Settings!$C$5="Yes",0,K1156*Settings!$C$17))</f>
        <v/>
      </c>
      <c r="M1156" s="21">
        <f>IF(B1156="","",E1156*IFERROR(VLOOKUP(D1156,Products!$B$5:$F$204,5,FALSE),0))</f>
        <v/>
      </c>
      <c r="N1156" s="21">
        <f>IF(B1156="","",J1156-K1156-L1156-M1156-I1156)</f>
        <v/>
      </c>
    </row>
    <row r="1157">
      <c r="B1157" s="11" t="n"/>
      <c r="C1157" s="8" t="n"/>
      <c r="D1157" s="8" t="n"/>
      <c r="E1157" s="8" t="n"/>
      <c r="F1157" s="20" t="n"/>
      <c r="G1157" s="20" t="n"/>
      <c r="H1157" s="8" t="n"/>
      <c r="I1157" s="20" t="n"/>
      <c r="J1157" s="21">
        <f>IF(B1157="","",F1157+G1157)</f>
        <v/>
      </c>
      <c r="K1157" s="21">
        <f>IF(B1157="","",J1157*(Settings!$C$11+Settings!$C$12+Settings!$C$14)+IF(C1157="",Settings!$C$13,IF(COUNTIF($C$5:C1157,C1157)=1,Settings!$C$13,0))+E1157*Settings!$C$15+IF(H1157="Yes",J1157*Settings!$C$16,0))</f>
        <v/>
      </c>
      <c r="L1157" s="21">
        <f>IF(B1157="","",IF(Settings!$C$5="Yes",0,K1157*Settings!$C$17))</f>
        <v/>
      </c>
      <c r="M1157" s="21">
        <f>IF(B1157="","",E1157*IFERROR(VLOOKUP(D1157,Products!$B$5:$F$204,5,FALSE),0))</f>
        <v/>
      </c>
      <c r="N1157" s="21">
        <f>IF(B1157="","",J1157-K1157-L1157-M1157-I1157)</f>
        <v/>
      </c>
    </row>
    <row r="1158">
      <c r="B1158" s="11" t="n"/>
      <c r="C1158" s="8" t="n"/>
      <c r="D1158" s="8" t="n"/>
      <c r="E1158" s="8" t="n"/>
      <c r="F1158" s="20" t="n"/>
      <c r="G1158" s="20" t="n"/>
      <c r="H1158" s="8" t="n"/>
      <c r="I1158" s="20" t="n"/>
      <c r="J1158" s="21">
        <f>IF(B1158="","",F1158+G1158)</f>
        <v/>
      </c>
      <c r="K1158" s="21">
        <f>IF(B1158="","",J1158*(Settings!$C$11+Settings!$C$12+Settings!$C$14)+IF(C1158="",Settings!$C$13,IF(COUNTIF($C$5:C1158,C1158)=1,Settings!$C$13,0))+E1158*Settings!$C$15+IF(H1158="Yes",J1158*Settings!$C$16,0))</f>
        <v/>
      </c>
      <c r="L1158" s="21">
        <f>IF(B1158="","",IF(Settings!$C$5="Yes",0,K1158*Settings!$C$17))</f>
        <v/>
      </c>
      <c r="M1158" s="21">
        <f>IF(B1158="","",E1158*IFERROR(VLOOKUP(D1158,Products!$B$5:$F$204,5,FALSE),0))</f>
        <v/>
      </c>
      <c r="N1158" s="21">
        <f>IF(B1158="","",J1158-K1158-L1158-M1158-I1158)</f>
        <v/>
      </c>
    </row>
    <row r="1159">
      <c r="B1159" s="11" t="n"/>
      <c r="C1159" s="8" t="n"/>
      <c r="D1159" s="8" t="n"/>
      <c r="E1159" s="8" t="n"/>
      <c r="F1159" s="20" t="n"/>
      <c r="G1159" s="20" t="n"/>
      <c r="H1159" s="8" t="n"/>
      <c r="I1159" s="20" t="n"/>
      <c r="J1159" s="21">
        <f>IF(B1159="","",F1159+G1159)</f>
        <v/>
      </c>
      <c r="K1159" s="21">
        <f>IF(B1159="","",J1159*(Settings!$C$11+Settings!$C$12+Settings!$C$14)+IF(C1159="",Settings!$C$13,IF(COUNTIF($C$5:C1159,C1159)=1,Settings!$C$13,0))+E1159*Settings!$C$15+IF(H1159="Yes",J1159*Settings!$C$16,0))</f>
        <v/>
      </c>
      <c r="L1159" s="21">
        <f>IF(B1159="","",IF(Settings!$C$5="Yes",0,K1159*Settings!$C$17))</f>
        <v/>
      </c>
      <c r="M1159" s="21">
        <f>IF(B1159="","",E1159*IFERROR(VLOOKUP(D1159,Products!$B$5:$F$204,5,FALSE),0))</f>
        <v/>
      </c>
      <c r="N1159" s="21">
        <f>IF(B1159="","",J1159-K1159-L1159-M1159-I1159)</f>
        <v/>
      </c>
    </row>
    <row r="1160">
      <c r="B1160" s="11" t="n"/>
      <c r="C1160" s="8" t="n"/>
      <c r="D1160" s="8" t="n"/>
      <c r="E1160" s="8" t="n"/>
      <c r="F1160" s="20" t="n"/>
      <c r="G1160" s="20" t="n"/>
      <c r="H1160" s="8" t="n"/>
      <c r="I1160" s="20" t="n"/>
      <c r="J1160" s="21">
        <f>IF(B1160="","",F1160+G1160)</f>
        <v/>
      </c>
      <c r="K1160" s="21">
        <f>IF(B1160="","",J1160*(Settings!$C$11+Settings!$C$12+Settings!$C$14)+IF(C1160="",Settings!$C$13,IF(COUNTIF($C$5:C1160,C1160)=1,Settings!$C$13,0))+E1160*Settings!$C$15+IF(H1160="Yes",J1160*Settings!$C$16,0))</f>
        <v/>
      </c>
      <c r="L1160" s="21">
        <f>IF(B1160="","",IF(Settings!$C$5="Yes",0,K1160*Settings!$C$17))</f>
        <v/>
      </c>
      <c r="M1160" s="21">
        <f>IF(B1160="","",E1160*IFERROR(VLOOKUP(D1160,Products!$B$5:$F$204,5,FALSE),0))</f>
        <v/>
      </c>
      <c r="N1160" s="21">
        <f>IF(B1160="","",J1160-K1160-L1160-M1160-I1160)</f>
        <v/>
      </c>
    </row>
    <row r="1161">
      <c r="B1161" s="11" t="n"/>
      <c r="C1161" s="8" t="n"/>
      <c r="D1161" s="8" t="n"/>
      <c r="E1161" s="8" t="n"/>
      <c r="F1161" s="20" t="n"/>
      <c r="G1161" s="20" t="n"/>
      <c r="H1161" s="8" t="n"/>
      <c r="I1161" s="20" t="n"/>
      <c r="J1161" s="21">
        <f>IF(B1161="","",F1161+G1161)</f>
        <v/>
      </c>
      <c r="K1161" s="21">
        <f>IF(B1161="","",J1161*(Settings!$C$11+Settings!$C$12+Settings!$C$14)+IF(C1161="",Settings!$C$13,IF(COUNTIF($C$5:C1161,C1161)=1,Settings!$C$13,0))+E1161*Settings!$C$15+IF(H1161="Yes",J1161*Settings!$C$16,0))</f>
        <v/>
      </c>
      <c r="L1161" s="21">
        <f>IF(B1161="","",IF(Settings!$C$5="Yes",0,K1161*Settings!$C$17))</f>
        <v/>
      </c>
      <c r="M1161" s="21">
        <f>IF(B1161="","",E1161*IFERROR(VLOOKUP(D1161,Products!$B$5:$F$204,5,FALSE),0))</f>
        <v/>
      </c>
      <c r="N1161" s="21">
        <f>IF(B1161="","",J1161-K1161-L1161-M1161-I1161)</f>
        <v/>
      </c>
    </row>
    <row r="1162">
      <c r="B1162" s="11" t="n"/>
      <c r="C1162" s="8" t="n"/>
      <c r="D1162" s="8" t="n"/>
      <c r="E1162" s="8" t="n"/>
      <c r="F1162" s="20" t="n"/>
      <c r="G1162" s="20" t="n"/>
      <c r="H1162" s="8" t="n"/>
      <c r="I1162" s="20" t="n"/>
      <c r="J1162" s="21">
        <f>IF(B1162="","",F1162+G1162)</f>
        <v/>
      </c>
      <c r="K1162" s="21">
        <f>IF(B1162="","",J1162*(Settings!$C$11+Settings!$C$12+Settings!$C$14)+IF(C1162="",Settings!$C$13,IF(COUNTIF($C$5:C1162,C1162)=1,Settings!$C$13,0))+E1162*Settings!$C$15+IF(H1162="Yes",J1162*Settings!$C$16,0))</f>
        <v/>
      </c>
      <c r="L1162" s="21">
        <f>IF(B1162="","",IF(Settings!$C$5="Yes",0,K1162*Settings!$C$17))</f>
        <v/>
      </c>
      <c r="M1162" s="21">
        <f>IF(B1162="","",E1162*IFERROR(VLOOKUP(D1162,Products!$B$5:$F$204,5,FALSE),0))</f>
        <v/>
      </c>
      <c r="N1162" s="21">
        <f>IF(B1162="","",J1162-K1162-L1162-M1162-I1162)</f>
        <v/>
      </c>
    </row>
    <row r="1163">
      <c r="B1163" s="11" t="n"/>
      <c r="C1163" s="8" t="n"/>
      <c r="D1163" s="8" t="n"/>
      <c r="E1163" s="8" t="n"/>
      <c r="F1163" s="20" t="n"/>
      <c r="G1163" s="20" t="n"/>
      <c r="H1163" s="8" t="n"/>
      <c r="I1163" s="20" t="n"/>
      <c r="J1163" s="21">
        <f>IF(B1163="","",F1163+G1163)</f>
        <v/>
      </c>
      <c r="K1163" s="21">
        <f>IF(B1163="","",J1163*(Settings!$C$11+Settings!$C$12+Settings!$C$14)+IF(C1163="",Settings!$C$13,IF(COUNTIF($C$5:C1163,C1163)=1,Settings!$C$13,0))+E1163*Settings!$C$15+IF(H1163="Yes",J1163*Settings!$C$16,0))</f>
        <v/>
      </c>
      <c r="L1163" s="21">
        <f>IF(B1163="","",IF(Settings!$C$5="Yes",0,K1163*Settings!$C$17))</f>
        <v/>
      </c>
      <c r="M1163" s="21">
        <f>IF(B1163="","",E1163*IFERROR(VLOOKUP(D1163,Products!$B$5:$F$204,5,FALSE),0))</f>
        <v/>
      </c>
      <c r="N1163" s="21">
        <f>IF(B1163="","",J1163-K1163-L1163-M1163-I1163)</f>
        <v/>
      </c>
    </row>
    <row r="1164">
      <c r="B1164" s="11" t="n"/>
      <c r="C1164" s="8" t="n"/>
      <c r="D1164" s="8" t="n"/>
      <c r="E1164" s="8" t="n"/>
      <c r="F1164" s="20" t="n"/>
      <c r="G1164" s="20" t="n"/>
      <c r="H1164" s="8" t="n"/>
      <c r="I1164" s="20" t="n"/>
      <c r="J1164" s="21">
        <f>IF(B1164="","",F1164+G1164)</f>
        <v/>
      </c>
      <c r="K1164" s="21">
        <f>IF(B1164="","",J1164*(Settings!$C$11+Settings!$C$12+Settings!$C$14)+IF(C1164="",Settings!$C$13,IF(COUNTIF($C$5:C1164,C1164)=1,Settings!$C$13,0))+E1164*Settings!$C$15+IF(H1164="Yes",J1164*Settings!$C$16,0))</f>
        <v/>
      </c>
      <c r="L1164" s="21">
        <f>IF(B1164="","",IF(Settings!$C$5="Yes",0,K1164*Settings!$C$17))</f>
        <v/>
      </c>
      <c r="M1164" s="21">
        <f>IF(B1164="","",E1164*IFERROR(VLOOKUP(D1164,Products!$B$5:$F$204,5,FALSE),0))</f>
        <v/>
      </c>
      <c r="N1164" s="21">
        <f>IF(B1164="","",J1164-K1164-L1164-M1164-I1164)</f>
        <v/>
      </c>
    </row>
    <row r="1165">
      <c r="B1165" s="11" t="n"/>
      <c r="C1165" s="8" t="n"/>
      <c r="D1165" s="8" t="n"/>
      <c r="E1165" s="8" t="n"/>
      <c r="F1165" s="20" t="n"/>
      <c r="G1165" s="20" t="n"/>
      <c r="H1165" s="8" t="n"/>
      <c r="I1165" s="20" t="n"/>
      <c r="J1165" s="21">
        <f>IF(B1165="","",F1165+G1165)</f>
        <v/>
      </c>
      <c r="K1165" s="21">
        <f>IF(B1165="","",J1165*(Settings!$C$11+Settings!$C$12+Settings!$C$14)+IF(C1165="",Settings!$C$13,IF(COUNTIF($C$5:C1165,C1165)=1,Settings!$C$13,0))+E1165*Settings!$C$15+IF(H1165="Yes",J1165*Settings!$C$16,0))</f>
        <v/>
      </c>
      <c r="L1165" s="21">
        <f>IF(B1165="","",IF(Settings!$C$5="Yes",0,K1165*Settings!$C$17))</f>
        <v/>
      </c>
      <c r="M1165" s="21">
        <f>IF(B1165="","",E1165*IFERROR(VLOOKUP(D1165,Products!$B$5:$F$204,5,FALSE),0))</f>
        <v/>
      </c>
      <c r="N1165" s="21">
        <f>IF(B1165="","",J1165-K1165-L1165-M1165-I1165)</f>
        <v/>
      </c>
    </row>
    <row r="1166">
      <c r="B1166" s="11" t="n"/>
      <c r="C1166" s="8" t="n"/>
      <c r="D1166" s="8" t="n"/>
      <c r="E1166" s="8" t="n"/>
      <c r="F1166" s="20" t="n"/>
      <c r="G1166" s="20" t="n"/>
      <c r="H1166" s="8" t="n"/>
      <c r="I1166" s="20" t="n"/>
      <c r="J1166" s="21">
        <f>IF(B1166="","",F1166+G1166)</f>
        <v/>
      </c>
      <c r="K1166" s="21">
        <f>IF(B1166="","",J1166*(Settings!$C$11+Settings!$C$12+Settings!$C$14)+IF(C1166="",Settings!$C$13,IF(COUNTIF($C$5:C1166,C1166)=1,Settings!$C$13,0))+E1166*Settings!$C$15+IF(H1166="Yes",J1166*Settings!$C$16,0))</f>
        <v/>
      </c>
      <c r="L1166" s="21">
        <f>IF(B1166="","",IF(Settings!$C$5="Yes",0,K1166*Settings!$C$17))</f>
        <v/>
      </c>
      <c r="M1166" s="21">
        <f>IF(B1166="","",E1166*IFERROR(VLOOKUP(D1166,Products!$B$5:$F$204,5,FALSE),0))</f>
        <v/>
      </c>
      <c r="N1166" s="21">
        <f>IF(B1166="","",J1166-K1166-L1166-M1166-I1166)</f>
        <v/>
      </c>
    </row>
    <row r="1167">
      <c r="B1167" s="11" t="n"/>
      <c r="C1167" s="8" t="n"/>
      <c r="D1167" s="8" t="n"/>
      <c r="E1167" s="8" t="n"/>
      <c r="F1167" s="20" t="n"/>
      <c r="G1167" s="20" t="n"/>
      <c r="H1167" s="8" t="n"/>
      <c r="I1167" s="20" t="n"/>
      <c r="J1167" s="21">
        <f>IF(B1167="","",F1167+G1167)</f>
        <v/>
      </c>
      <c r="K1167" s="21">
        <f>IF(B1167="","",J1167*(Settings!$C$11+Settings!$C$12+Settings!$C$14)+IF(C1167="",Settings!$C$13,IF(COUNTIF($C$5:C1167,C1167)=1,Settings!$C$13,0))+E1167*Settings!$C$15+IF(H1167="Yes",J1167*Settings!$C$16,0))</f>
        <v/>
      </c>
      <c r="L1167" s="21">
        <f>IF(B1167="","",IF(Settings!$C$5="Yes",0,K1167*Settings!$C$17))</f>
        <v/>
      </c>
      <c r="M1167" s="21">
        <f>IF(B1167="","",E1167*IFERROR(VLOOKUP(D1167,Products!$B$5:$F$204,5,FALSE),0))</f>
        <v/>
      </c>
      <c r="N1167" s="21">
        <f>IF(B1167="","",J1167-K1167-L1167-M1167-I1167)</f>
        <v/>
      </c>
    </row>
    <row r="1168">
      <c r="B1168" s="11" t="n"/>
      <c r="C1168" s="8" t="n"/>
      <c r="D1168" s="8" t="n"/>
      <c r="E1168" s="8" t="n"/>
      <c r="F1168" s="20" t="n"/>
      <c r="G1168" s="20" t="n"/>
      <c r="H1168" s="8" t="n"/>
      <c r="I1168" s="20" t="n"/>
      <c r="J1168" s="21">
        <f>IF(B1168="","",F1168+G1168)</f>
        <v/>
      </c>
      <c r="K1168" s="21">
        <f>IF(B1168="","",J1168*(Settings!$C$11+Settings!$C$12+Settings!$C$14)+IF(C1168="",Settings!$C$13,IF(COUNTIF($C$5:C1168,C1168)=1,Settings!$C$13,0))+E1168*Settings!$C$15+IF(H1168="Yes",J1168*Settings!$C$16,0))</f>
        <v/>
      </c>
      <c r="L1168" s="21">
        <f>IF(B1168="","",IF(Settings!$C$5="Yes",0,K1168*Settings!$C$17))</f>
        <v/>
      </c>
      <c r="M1168" s="21">
        <f>IF(B1168="","",E1168*IFERROR(VLOOKUP(D1168,Products!$B$5:$F$204,5,FALSE),0))</f>
        <v/>
      </c>
      <c r="N1168" s="21">
        <f>IF(B1168="","",J1168-K1168-L1168-M1168-I1168)</f>
        <v/>
      </c>
    </row>
    <row r="1169">
      <c r="B1169" s="11" t="n"/>
      <c r="C1169" s="8" t="n"/>
      <c r="D1169" s="8" t="n"/>
      <c r="E1169" s="8" t="n"/>
      <c r="F1169" s="20" t="n"/>
      <c r="G1169" s="20" t="n"/>
      <c r="H1169" s="8" t="n"/>
      <c r="I1169" s="20" t="n"/>
      <c r="J1169" s="21">
        <f>IF(B1169="","",F1169+G1169)</f>
        <v/>
      </c>
      <c r="K1169" s="21">
        <f>IF(B1169="","",J1169*(Settings!$C$11+Settings!$C$12+Settings!$C$14)+IF(C1169="",Settings!$C$13,IF(COUNTIF($C$5:C1169,C1169)=1,Settings!$C$13,0))+E1169*Settings!$C$15+IF(H1169="Yes",J1169*Settings!$C$16,0))</f>
        <v/>
      </c>
      <c r="L1169" s="21">
        <f>IF(B1169="","",IF(Settings!$C$5="Yes",0,K1169*Settings!$C$17))</f>
        <v/>
      </c>
      <c r="M1169" s="21">
        <f>IF(B1169="","",E1169*IFERROR(VLOOKUP(D1169,Products!$B$5:$F$204,5,FALSE),0))</f>
        <v/>
      </c>
      <c r="N1169" s="21">
        <f>IF(B1169="","",J1169-K1169-L1169-M1169-I1169)</f>
        <v/>
      </c>
    </row>
    <row r="1170">
      <c r="B1170" s="11" t="n"/>
      <c r="C1170" s="8" t="n"/>
      <c r="D1170" s="8" t="n"/>
      <c r="E1170" s="8" t="n"/>
      <c r="F1170" s="20" t="n"/>
      <c r="G1170" s="20" t="n"/>
      <c r="H1170" s="8" t="n"/>
      <c r="I1170" s="20" t="n"/>
      <c r="J1170" s="21">
        <f>IF(B1170="","",F1170+G1170)</f>
        <v/>
      </c>
      <c r="K1170" s="21">
        <f>IF(B1170="","",J1170*(Settings!$C$11+Settings!$C$12+Settings!$C$14)+IF(C1170="",Settings!$C$13,IF(COUNTIF($C$5:C1170,C1170)=1,Settings!$C$13,0))+E1170*Settings!$C$15+IF(H1170="Yes",J1170*Settings!$C$16,0))</f>
        <v/>
      </c>
      <c r="L1170" s="21">
        <f>IF(B1170="","",IF(Settings!$C$5="Yes",0,K1170*Settings!$C$17))</f>
        <v/>
      </c>
      <c r="M1170" s="21">
        <f>IF(B1170="","",E1170*IFERROR(VLOOKUP(D1170,Products!$B$5:$F$204,5,FALSE),0))</f>
        <v/>
      </c>
      <c r="N1170" s="21">
        <f>IF(B1170="","",J1170-K1170-L1170-M1170-I1170)</f>
        <v/>
      </c>
    </row>
    <row r="1171">
      <c r="B1171" s="11" t="n"/>
      <c r="C1171" s="8" t="n"/>
      <c r="D1171" s="8" t="n"/>
      <c r="E1171" s="8" t="n"/>
      <c r="F1171" s="20" t="n"/>
      <c r="G1171" s="20" t="n"/>
      <c r="H1171" s="8" t="n"/>
      <c r="I1171" s="20" t="n"/>
      <c r="J1171" s="21">
        <f>IF(B1171="","",F1171+G1171)</f>
        <v/>
      </c>
      <c r="K1171" s="21">
        <f>IF(B1171="","",J1171*(Settings!$C$11+Settings!$C$12+Settings!$C$14)+IF(C1171="",Settings!$C$13,IF(COUNTIF($C$5:C1171,C1171)=1,Settings!$C$13,0))+E1171*Settings!$C$15+IF(H1171="Yes",J1171*Settings!$C$16,0))</f>
        <v/>
      </c>
      <c r="L1171" s="21">
        <f>IF(B1171="","",IF(Settings!$C$5="Yes",0,K1171*Settings!$C$17))</f>
        <v/>
      </c>
      <c r="M1171" s="21">
        <f>IF(B1171="","",E1171*IFERROR(VLOOKUP(D1171,Products!$B$5:$F$204,5,FALSE),0))</f>
        <v/>
      </c>
      <c r="N1171" s="21">
        <f>IF(B1171="","",J1171-K1171-L1171-M1171-I1171)</f>
        <v/>
      </c>
    </row>
    <row r="1172">
      <c r="B1172" s="11" t="n"/>
      <c r="C1172" s="8" t="n"/>
      <c r="D1172" s="8" t="n"/>
      <c r="E1172" s="8" t="n"/>
      <c r="F1172" s="20" t="n"/>
      <c r="G1172" s="20" t="n"/>
      <c r="H1172" s="8" t="n"/>
      <c r="I1172" s="20" t="n"/>
      <c r="J1172" s="21">
        <f>IF(B1172="","",F1172+G1172)</f>
        <v/>
      </c>
      <c r="K1172" s="21">
        <f>IF(B1172="","",J1172*(Settings!$C$11+Settings!$C$12+Settings!$C$14)+IF(C1172="",Settings!$C$13,IF(COUNTIF($C$5:C1172,C1172)=1,Settings!$C$13,0))+E1172*Settings!$C$15+IF(H1172="Yes",J1172*Settings!$C$16,0))</f>
        <v/>
      </c>
      <c r="L1172" s="21">
        <f>IF(B1172="","",IF(Settings!$C$5="Yes",0,K1172*Settings!$C$17))</f>
        <v/>
      </c>
      <c r="M1172" s="21">
        <f>IF(B1172="","",E1172*IFERROR(VLOOKUP(D1172,Products!$B$5:$F$204,5,FALSE),0))</f>
        <v/>
      </c>
      <c r="N1172" s="21">
        <f>IF(B1172="","",J1172-K1172-L1172-M1172-I1172)</f>
        <v/>
      </c>
    </row>
    <row r="1173">
      <c r="B1173" s="11" t="n"/>
      <c r="C1173" s="8" t="n"/>
      <c r="D1173" s="8" t="n"/>
      <c r="E1173" s="8" t="n"/>
      <c r="F1173" s="20" t="n"/>
      <c r="G1173" s="20" t="n"/>
      <c r="H1173" s="8" t="n"/>
      <c r="I1173" s="20" t="n"/>
      <c r="J1173" s="21">
        <f>IF(B1173="","",F1173+G1173)</f>
        <v/>
      </c>
      <c r="K1173" s="21">
        <f>IF(B1173="","",J1173*(Settings!$C$11+Settings!$C$12+Settings!$C$14)+IF(C1173="",Settings!$C$13,IF(COUNTIF($C$5:C1173,C1173)=1,Settings!$C$13,0))+E1173*Settings!$C$15+IF(H1173="Yes",J1173*Settings!$C$16,0))</f>
        <v/>
      </c>
      <c r="L1173" s="21">
        <f>IF(B1173="","",IF(Settings!$C$5="Yes",0,K1173*Settings!$C$17))</f>
        <v/>
      </c>
      <c r="M1173" s="21">
        <f>IF(B1173="","",E1173*IFERROR(VLOOKUP(D1173,Products!$B$5:$F$204,5,FALSE),0))</f>
        <v/>
      </c>
      <c r="N1173" s="21">
        <f>IF(B1173="","",J1173-K1173-L1173-M1173-I1173)</f>
        <v/>
      </c>
    </row>
    <row r="1174">
      <c r="B1174" s="11" t="n"/>
      <c r="C1174" s="8" t="n"/>
      <c r="D1174" s="8" t="n"/>
      <c r="E1174" s="8" t="n"/>
      <c r="F1174" s="20" t="n"/>
      <c r="G1174" s="20" t="n"/>
      <c r="H1174" s="8" t="n"/>
      <c r="I1174" s="20" t="n"/>
      <c r="J1174" s="21">
        <f>IF(B1174="","",F1174+G1174)</f>
        <v/>
      </c>
      <c r="K1174" s="21">
        <f>IF(B1174="","",J1174*(Settings!$C$11+Settings!$C$12+Settings!$C$14)+IF(C1174="",Settings!$C$13,IF(COUNTIF($C$5:C1174,C1174)=1,Settings!$C$13,0))+E1174*Settings!$C$15+IF(H1174="Yes",J1174*Settings!$C$16,0))</f>
        <v/>
      </c>
      <c r="L1174" s="21">
        <f>IF(B1174="","",IF(Settings!$C$5="Yes",0,K1174*Settings!$C$17))</f>
        <v/>
      </c>
      <c r="M1174" s="21">
        <f>IF(B1174="","",E1174*IFERROR(VLOOKUP(D1174,Products!$B$5:$F$204,5,FALSE),0))</f>
        <v/>
      </c>
      <c r="N1174" s="21">
        <f>IF(B1174="","",J1174-K1174-L1174-M1174-I1174)</f>
        <v/>
      </c>
    </row>
    <row r="1175">
      <c r="B1175" s="11" t="n"/>
      <c r="C1175" s="8" t="n"/>
      <c r="D1175" s="8" t="n"/>
      <c r="E1175" s="8" t="n"/>
      <c r="F1175" s="20" t="n"/>
      <c r="G1175" s="20" t="n"/>
      <c r="H1175" s="8" t="n"/>
      <c r="I1175" s="20" t="n"/>
      <c r="J1175" s="21">
        <f>IF(B1175="","",F1175+G1175)</f>
        <v/>
      </c>
      <c r="K1175" s="21">
        <f>IF(B1175="","",J1175*(Settings!$C$11+Settings!$C$12+Settings!$C$14)+IF(C1175="",Settings!$C$13,IF(COUNTIF($C$5:C1175,C1175)=1,Settings!$C$13,0))+E1175*Settings!$C$15+IF(H1175="Yes",J1175*Settings!$C$16,0))</f>
        <v/>
      </c>
      <c r="L1175" s="21">
        <f>IF(B1175="","",IF(Settings!$C$5="Yes",0,K1175*Settings!$C$17))</f>
        <v/>
      </c>
      <c r="M1175" s="21">
        <f>IF(B1175="","",E1175*IFERROR(VLOOKUP(D1175,Products!$B$5:$F$204,5,FALSE),0))</f>
        <v/>
      </c>
      <c r="N1175" s="21">
        <f>IF(B1175="","",J1175-K1175-L1175-M1175-I1175)</f>
        <v/>
      </c>
    </row>
    <row r="1176">
      <c r="B1176" s="11" t="n"/>
      <c r="C1176" s="8" t="n"/>
      <c r="D1176" s="8" t="n"/>
      <c r="E1176" s="8" t="n"/>
      <c r="F1176" s="20" t="n"/>
      <c r="G1176" s="20" t="n"/>
      <c r="H1176" s="8" t="n"/>
      <c r="I1176" s="20" t="n"/>
      <c r="J1176" s="21">
        <f>IF(B1176="","",F1176+G1176)</f>
        <v/>
      </c>
      <c r="K1176" s="21">
        <f>IF(B1176="","",J1176*(Settings!$C$11+Settings!$C$12+Settings!$C$14)+IF(C1176="",Settings!$C$13,IF(COUNTIF($C$5:C1176,C1176)=1,Settings!$C$13,0))+E1176*Settings!$C$15+IF(H1176="Yes",J1176*Settings!$C$16,0))</f>
        <v/>
      </c>
      <c r="L1176" s="21">
        <f>IF(B1176="","",IF(Settings!$C$5="Yes",0,K1176*Settings!$C$17))</f>
        <v/>
      </c>
      <c r="M1176" s="21">
        <f>IF(B1176="","",E1176*IFERROR(VLOOKUP(D1176,Products!$B$5:$F$204,5,FALSE),0))</f>
        <v/>
      </c>
      <c r="N1176" s="21">
        <f>IF(B1176="","",J1176-K1176-L1176-M1176-I1176)</f>
        <v/>
      </c>
    </row>
    <row r="1177">
      <c r="B1177" s="11" t="n"/>
      <c r="C1177" s="8" t="n"/>
      <c r="D1177" s="8" t="n"/>
      <c r="E1177" s="8" t="n"/>
      <c r="F1177" s="20" t="n"/>
      <c r="G1177" s="20" t="n"/>
      <c r="H1177" s="8" t="n"/>
      <c r="I1177" s="20" t="n"/>
      <c r="J1177" s="21">
        <f>IF(B1177="","",F1177+G1177)</f>
        <v/>
      </c>
      <c r="K1177" s="21">
        <f>IF(B1177="","",J1177*(Settings!$C$11+Settings!$C$12+Settings!$C$14)+IF(C1177="",Settings!$C$13,IF(COUNTIF($C$5:C1177,C1177)=1,Settings!$C$13,0))+E1177*Settings!$C$15+IF(H1177="Yes",J1177*Settings!$C$16,0))</f>
        <v/>
      </c>
      <c r="L1177" s="21">
        <f>IF(B1177="","",IF(Settings!$C$5="Yes",0,K1177*Settings!$C$17))</f>
        <v/>
      </c>
      <c r="M1177" s="21">
        <f>IF(B1177="","",E1177*IFERROR(VLOOKUP(D1177,Products!$B$5:$F$204,5,FALSE),0))</f>
        <v/>
      </c>
      <c r="N1177" s="21">
        <f>IF(B1177="","",J1177-K1177-L1177-M1177-I1177)</f>
        <v/>
      </c>
    </row>
    <row r="1178">
      <c r="B1178" s="11" t="n"/>
      <c r="C1178" s="8" t="n"/>
      <c r="D1178" s="8" t="n"/>
      <c r="E1178" s="8" t="n"/>
      <c r="F1178" s="20" t="n"/>
      <c r="G1178" s="20" t="n"/>
      <c r="H1178" s="8" t="n"/>
      <c r="I1178" s="20" t="n"/>
      <c r="J1178" s="21">
        <f>IF(B1178="","",F1178+G1178)</f>
        <v/>
      </c>
      <c r="K1178" s="21">
        <f>IF(B1178="","",J1178*(Settings!$C$11+Settings!$C$12+Settings!$C$14)+IF(C1178="",Settings!$C$13,IF(COUNTIF($C$5:C1178,C1178)=1,Settings!$C$13,0))+E1178*Settings!$C$15+IF(H1178="Yes",J1178*Settings!$C$16,0))</f>
        <v/>
      </c>
      <c r="L1178" s="21">
        <f>IF(B1178="","",IF(Settings!$C$5="Yes",0,K1178*Settings!$C$17))</f>
        <v/>
      </c>
      <c r="M1178" s="21">
        <f>IF(B1178="","",E1178*IFERROR(VLOOKUP(D1178,Products!$B$5:$F$204,5,FALSE),0))</f>
        <v/>
      </c>
      <c r="N1178" s="21">
        <f>IF(B1178="","",J1178-K1178-L1178-M1178-I1178)</f>
        <v/>
      </c>
    </row>
    <row r="1179">
      <c r="B1179" s="11" t="n"/>
      <c r="C1179" s="8" t="n"/>
      <c r="D1179" s="8" t="n"/>
      <c r="E1179" s="8" t="n"/>
      <c r="F1179" s="20" t="n"/>
      <c r="G1179" s="20" t="n"/>
      <c r="H1179" s="8" t="n"/>
      <c r="I1179" s="20" t="n"/>
      <c r="J1179" s="21">
        <f>IF(B1179="","",F1179+G1179)</f>
        <v/>
      </c>
      <c r="K1179" s="21">
        <f>IF(B1179="","",J1179*(Settings!$C$11+Settings!$C$12+Settings!$C$14)+IF(C1179="",Settings!$C$13,IF(COUNTIF($C$5:C1179,C1179)=1,Settings!$C$13,0))+E1179*Settings!$C$15+IF(H1179="Yes",J1179*Settings!$C$16,0))</f>
        <v/>
      </c>
      <c r="L1179" s="21">
        <f>IF(B1179="","",IF(Settings!$C$5="Yes",0,K1179*Settings!$C$17))</f>
        <v/>
      </c>
      <c r="M1179" s="21">
        <f>IF(B1179="","",E1179*IFERROR(VLOOKUP(D1179,Products!$B$5:$F$204,5,FALSE),0))</f>
        <v/>
      </c>
      <c r="N1179" s="21">
        <f>IF(B1179="","",J1179-K1179-L1179-M1179-I1179)</f>
        <v/>
      </c>
    </row>
    <row r="1180">
      <c r="B1180" s="11" t="n"/>
      <c r="C1180" s="8" t="n"/>
      <c r="D1180" s="8" t="n"/>
      <c r="E1180" s="8" t="n"/>
      <c r="F1180" s="20" t="n"/>
      <c r="G1180" s="20" t="n"/>
      <c r="H1180" s="8" t="n"/>
      <c r="I1180" s="20" t="n"/>
      <c r="J1180" s="21">
        <f>IF(B1180="","",F1180+G1180)</f>
        <v/>
      </c>
      <c r="K1180" s="21">
        <f>IF(B1180="","",J1180*(Settings!$C$11+Settings!$C$12+Settings!$C$14)+IF(C1180="",Settings!$C$13,IF(COUNTIF($C$5:C1180,C1180)=1,Settings!$C$13,0))+E1180*Settings!$C$15+IF(H1180="Yes",J1180*Settings!$C$16,0))</f>
        <v/>
      </c>
      <c r="L1180" s="21">
        <f>IF(B1180="","",IF(Settings!$C$5="Yes",0,K1180*Settings!$C$17))</f>
        <v/>
      </c>
      <c r="M1180" s="21">
        <f>IF(B1180="","",E1180*IFERROR(VLOOKUP(D1180,Products!$B$5:$F$204,5,FALSE),0))</f>
        <v/>
      </c>
      <c r="N1180" s="21">
        <f>IF(B1180="","",J1180-K1180-L1180-M1180-I1180)</f>
        <v/>
      </c>
    </row>
    <row r="1181">
      <c r="B1181" s="11" t="n"/>
      <c r="C1181" s="8" t="n"/>
      <c r="D1181" s="8" t="n"/>
      <c r="E1181" s="8" t="n"/>
      <c r="F1181" s="20" t="n"/>
      <c r="G1181" s="20" t="n"/>
      <c r="H1181" s="8" t="n"/>
      <c r="I1181" s="20" t="n"/>
      <c r="J1181" s="21">
        <f>IF(B1181="","",F1181+G1181)</f>
        <v/>
      </c>
      <c r="K1181" s="21">
        <f>IF(B1181="","",J1181*(Settings!$C$11+Settings!$C$12+Settings!$C$14)+IF(C1181="",Settings!$C$13,IF(COUNTIF($C$5:C1181,C1181)=1,Settings!$C$13,0))+E1181*Settings!$C$15+IF(H1181="Yes",J1181*Settings!$C$16,0))</f>
        <v/>
      </c>
      <c r="L1181" s="21">
        <f>IF(B1181="","",IF(Settings!$C$5="Yes",0,K1181*Settings!$C$17))</f>
        <v/>
      </c>
      <c r="M1181" s="21">
        <f>IF(B1181="","",E1181*IFERROR(VLOOKUP(D1181,Products!$B$5:$F$204,5,FALSE),0))</f>
        <v/>
      </c>
      <c r="N1181" s="21">
        <f>IF(B1181="","",J1181-K1181-L1181-M1181-I1181)</f>
        <v/>
      </c>
    </row>
    <row r="1182">
      <c r="B1182" s="11" t="n"/>
      <c r="C1182" s="8" t="n"/>
      <c r="D1182" s="8" t="n"/>
      <c r="E1182" s="8" t="n"/>
      <c r="F1182" s="20" t="n"/>
      <c r="G1182" s="20" t="n"/>
      <c r="H1182" s="8" t="n"/>
      <c r="I1182" s="20" t="n"/>
      <c r="J1182" s="21">
        <f>IF(B1182="","",F1182+G1182)</f>
        <v/>
      </c>
      <c r="K1182" s="21">
        <f>IF(B1182="","",J1182*(Settings!$C$11+Settings!$C$12+Settings!$C$14)+IF(C1182="",Settings!$C$13,IF(COUNTIF($C$5:C1182,C1182)=1,Settings!$C$13,0))+E1182*Settings!$C$15+IF(H1182="Yes",J1182*Settings!$C$16,0))</f>
        <v/>
      </c>
      <c r="L1182" s="21">
        <f>IF(B1182="","",IF(Settings!$C$5="Yes",0,K1182*Settings!$C$17))</f>
        <v/>
      </c>
      <c r="M1182" s="21">
        <f>IF(B1182="","",E1182*IFERROR(VLOOKUP(D1182,Products!$B$5:$F$204,5,FALSE),0))</f>
        <v/>
      </c>
      <c r="N1182" s="21">
        <f>IF(B1182="","",J1182-K1182-L1182-M1182-I1182)</f>
        <v/>
      </c>
    </row>
    <row r="1183">
      <c r="B1183" s="11" t="n"/>
      <c r="C1183" s="8" t="n"/>
      <c r="D1183" s="8" t="n"/>
      <c r="E1183" s="8" t="n"/>
      <c r="F1183" s="20" t="n"/>
      <c r="G1183" s="20" t="n"/>
      <c r="H1183" s="8" t="n"/>
      <c r="I1183" s="20" t="n"/>
      <c r="J1183" s="21">
        <f>IF(B1183="","",F1183+G1183)</f>
        <v/>
      </c>
      <c r="K1183" s="21">
        <f>IF(B1183="","",J1183*(Settings!$C$11+Settings!$C$12+Settings!$C$14)+IF(C1183="",Settings!$C$13,IF(COUNTIF($C$5:C1183,C1183)=1,Settings!$C$13,0))+E1183*Settings!$C$15+IF(H1183="Yes",J1183*Settings!$C$16,0))</f>
        <v/>
      </c>
      <c r="L1183" s="21">
        <f>IF(B1183="","",IF(Settings!$C$5="Yes",0,K1183*Settings!$C$17))</f>
        <v/>
      </c>
      <c r="M1183" s="21">
        <f>IF(B1183="","",E1183*IFERROR(VLOOKUP(D1183,Products!$B$5:$F$204,5,FALSE),0))</f>
        <v/>
      </c>
      <c r="N1183" s="21">
        <f>IF(B1183="","",J1183-K1183-L1183-M1183-I1183)</f>
        <v/>
      </c>
    </row>
    <row r="1184">
      <c r="B1184" s="11" t="n"/>
      <c r="C1184" s="8" t="n"/>
      <c r="D1184" s="8" t="n"/>
      <c r="E1184" s="8" t="n"/>
      <c r="F1184" s="20" t="n"/>
      <c r="G1184" s="20" t="n"/>
      <c r="H1184" s="8" t="n"/>
      <c r="I1184" s="20" t="n"/>
      <c r="J1184" s="21">
        <f>IF(B1184="","",F1184+G1184)</f>
        <v/>
      </c>
      <c r="K1184" s="21">
        <f>IF(B1184="","",J1184*(Settings!$C$11+Settings!$C$12+Settings!$C$14)+IF(C1184="",Settings!$C$13,IF(COUNTIF($C$5:C1184,C1184)=1,Settings!$C$13,0))+E1184*Settings!$C$15+IF(H1184="Yes",J1184*Settings!$C$16,0))</f>
        <v/>
      </c>
      <c r="L1184" s="21">
        <f>IF(B1184="","",IF(Settings!$C$5="Yes",0,K1184*Settings!$C$17))</f>
        <v/>
      </c>
      <c r="M1184" s="21">
        <f>IF(B1184="","",E1184*IFERROR(VLOOKUP(D1184,Products!$B$5:$F$204,5,FALSE),0))</f>
        <v/>
      </c>
      <c r="N1184" s="21">
        <f>IF(B1184="","",J1184-K1184-L1184-M1184-I1184)</f>
        <v/>
      </c>
    </row>
    <row r="1185">
      <c r="B1185" s="11" t="n"/>
      <c r="C1185" s="8" t="n"/>
      <c r="D1185" s="8" t="n"/>
      <c r="E1185" s="8" t="n"/>
      <c r="F1185" s="20" t="n"/>
      <c r="G1185" s="20" t="n"/>
      <c r="H1185" s="8" t="n"/>
      <c r="I1185" s="20" t="n"/>
      <c r="J1185" s="21">
        <f>IF(B1185="","",F1185+G1185)</f>
        <v/>
      </c>
      <c r="K1185" s="21">
        <f>IF(B1185="","",J1185*(Settings!$C$11+Settings!$C$12+Settings!$C$14)+IF(C1185="",Settings!$C$13,IF(COUNTIF($C$5:C1185,C1185)=1,Settings!$C$13,0))+E1185*Settings!$C$15+IF(H1185="Yes",J1185*Settings!$C$16,0))</f>
        <v/>
      </c>
      <c r="L1185" s="21">
        <f>IF(B1185="","",IF(Settings!$C$5="Yes",0,K1185*Settings!$C$17))</f>
        <v/>
      </c>
      <c r="M1185" s="21">
        <f>IF(B1185="","",E1185*IFERROR(VLOOKUP(D1185,Products!$B$5:$F$204,5,FALSE),0))</f>
        <v/>
      </c>
      <c r="N1185" s="21">
        <f>IF(B1185="","",J1185-K1185-L1185-M1185-I1185)</f>
        <v/>
      </c>
    </row>
    <row r="1186">
      <c r="B1186" s="11" t="n"/>
      <c r="C1186" s="8" t="n"/>
      <c r="D1186" s="8" t="n"/>
      <c r="E1186" s="8" t="n"/>
      <c r="F1186" s="20" t="n"/>
      <c r="G1186" s="20" t="n"/>
      <c r="H1186" s="8" t="n"/>
      <c r="I1186" s="20" t="n"/>
      <c r="J1186" s="21">
        <f>IF(B1186="","",F1186+G1186)</f>
        <v/>
      </c>
      <c r="K1186" s="21">
        <f>IF(B1186="","",J1186*(Settings!$C$11+Settings!$C$12+Settings!$C$14)+IF(C1186="",Settings!$C$13,IF(COUNTIF($C$5:C1186,C1186)=1,Settings!$C$13,0))+E1186*Settings!$C$15+IF(H1186="Yes",J1186*Settings!$C$16,0))</f>
        <v/>
      </c>
      <c r="L1186" s="21">
        <f>IF(B1186="","",IF(Settings!$C$5="Yes",0,K1186*Settings!$C$17))</f>
        <v/>
      </c>
      <c r="M1186" s="21">
        <f>IF(B1186="","",E1186*IFERROR(VLOOKUP(D1186,Products!$B$5:$F$204,5,FALSE),0))</f>
        <v/>
      </c>
      <c r="N1186" s="21">
        <f>IF(B1186="","",J1186-K1186-L1186-M1186-I1186)</f>
        <v/>
      </c>
    </row>
    <row r="1187">
      <c r="B1187" s="11" t="n"/>
      <c r="C1187" s="8" t="n"/>
      <c r="D1187" s="8" t="n"/>
      <c r="E1187" s="8" t="n"/>
      <c r="F1187" s="20" t="n"/>
      <c r="G1187" s="20" t="n"/>
      <c r="H1187" s="8" t="n"/>
      <c r="I1187" s="20" t="n"/>
      <c r="J1187" s="21">
        <f>IF(B1187="","",F1187+G1187)</f>
        <v/>
      </c>
      <c r="K1187" s="21">
        <f>IF(B1187="","",J1187*(Settings!$C$11+Settings!$C$12+Settings!$C$14)+IF(C1187="",Settings!$C$13,IF(COUNTIF($C$5:C1187,C1187)=1,Settings!$C$13,0))+E1187*Settings!$C$15+IF(H1187="Yes",J1187*Settings!$C$16,0))</f>
        <v/>
      </c>
      <c r="L1187" s="21">
        <f>IF(B1187="","",IF(Settings!$C$5="Yes",0,K1187*Settings!$C$17))</f>
        <v/>
      </c>
      <c r="M1187" s="21">
        <f>IF(B1187="","",E1187*IFERROR(VLOOKUP(D1187,Products!$B$5:$F$204,5,FALSE),0))</f>
        <v/>
      </c>
      <c r="N1187" s="21">
        <f>IF(B1187="","",J1187-K1187-L1187-M1187-I1187)</f>
        <v/>
      </c>
    </row>
    <row r="1188">
      <c r="B1188" s="11" t="n"/>
      <c r="C1188" s="8" t="n"/>
      <c r="D1188" s="8" t="n"/>
      <c r="E1188" s="8" t="n"/>
      <c r="F1188" s="20" t="n"/>
      <c r="G1188" s="20" t="n"/>
      <c r="H1188" s="8" t="n"/>
      <c r="I1188" s="20" t="n"/>
      <c r="J1188" s="21">
        <f>IF(B1188="","",F1188+G1188)</f>
        <v/>
      </c>
      <c r="K1188" s="21">
        <f>IF(B1188="","",J1188*(Settings!$C$11+Settings!$C$12+Settings!$C$14)+IF(C1188="",Settings!$C$13,IF(COUNTIF($C$5:C1188,C1188)=1,Settings!$C$13,0))+E1188*Settings!$C$15+IF(H1188="Yes",J1188*Settings!$C$16,0))</f>
        <v/>
      </c>
      <c r="L1188" s="21">
        <f>IF(B1188="","",IF(Settings!$C$5="Yes",0,K1188*Settings!$C$17))</f>
        <v/>
      </c>
      <c r="M1188" s="21">
        <f>IF(B1188="","",E1188*IFERROR(VLOOKUP(D1188,Products!$B$5:$F$204,5,FALSE),0))</f>
        <v/>
      </c>
      <c r="N1188" s="21">
        <f>IF(B1188="","",J1188-K1188-L1188-M1188-I1188)</f>
        <v/>
      </c>
    </row>
    <row r="1189">
      <c r="B1189" s="11" t="n"/>
      <c r="C1189" s="8" t="n"/>
      <c r="D1189" s="8" t="n"/>
      <c r="E1189" s="8" t="n"/>
      <c r="F1189" s="20" t="n"/>
      <c r="G1189" s="20" t="n"/>
      <c r="H1189" s="8" t="n"/>
      <c r="I1189" s="20" t="n"/>
      <c r="J1189" s="21">
        <f>IF(B1189="","",F1189+G1189)</f>
        <v/>
      </c>
      <c r="K1189" s="21">
        <f>IF(B1189="","",J1189*(Settings!$C$11+Settings!$C$12+Settings!$C$14)+IF(C1189="",Settings!$C$13,IF(COUNTIF($C$5:C1189,C1189)=1,Settings!$C$13,0))+E1189*Settings!$C$15+IF(H1189="Yes",J1189*Settings!$C$16,0))</f>
        <v/>
      </c>
      <c r="L1189" s="21">
        <f>IF(B1189="","",IF(Settings!$C$5="Yes",0,K1189*Settings!$C$17))</f>
        <v/>
      </c>
      <c r="M1189" s="21">
        <f>IF(B1189="","",E1189*IFERROR(VLOOKUP(D1189,Products!$B$5:$F$204,5,FALSE),0))</f>
        <v/>
      </c>
      <c r="N1189" s="21">
        <f>IF(B1189="","",J1189-K1189-L1189-M1189-I1189)</f>
        <v/>
      </c>
    </row>
    <row r="1190">
      <c r="B1190" s="11" t="n"/>
      <c r="C1190" s="8" t="n"/>
      <c r="D1190" s="8" t="n"/>
      <c r="E1190" s="8" t="n"/>
      <c r="F1190" s="20" t="n"/>
      <c r="G1190" s="20" t="n"/>
      <c r="H1190" s="8" t="n"/>
      <c r="I1190" s="20" t="n"/>
      <c r="J1190" s="21">
        <f>IF(B1190="","",F1190+G1190)</f>
        <v/>
      </c>
      <c r="K1190" s="21">
        <f>IF(B1190="","",J1190*(Settings!$C$11+Settings!$C$12+Settings!$C$14)+IF(C1190="",Settings!$C$13,IF(COUNTIF($C$5:C1190,C1190)=1,Settings!$C$13,0))+E1190*Settings!$C$15+IF(H1190="Yes",J1190*Settings!$C$16,0))</f>
        <v/>
      </c>
      <c r="L1190" s="21">
        <f>IF(B1190="","",IF(Settings!$C$5="Yes",0,K1190*Settings!$C$17))</f>
        <v/>
      </c>
      <c r="M1190" s="21">
        <f>IF(B1190="","",E1190*IFERROR(VLOOKUP(D1190,Products!$B$5:$F$204,5,FALSE),0))</f>
        <v/>
      </c>
      <c r="N1190" s="21">
        <f>IF(B1190="","",J1190-K1190-L1190-M1190-I1190)</f>
        <v/>
      </c>
    </row>
    <row r="1191">
      <c r="B1191" s="11" t="n"/>
      <c r="C1191" s="8" t="n"/>
      <c r="D1191" s="8" t="n"/>
      <c r="E1191" s="8" t="n"/>
      <c r="F1191" s="20" t="n"/>
      <c r="G1191" s="20" t="n"/>
      <c r="H1191" s="8" t="n"/>
      <c r="I1191" s="20" t="n"/>
      <c r="J1191" s="21">
        <f>IF(B1191="","",F1191+G1191)</f>
        <v/>
      </c>
      <c r="K1191" s="21">
        <f>IF(B1191="","",J1191*(Settings!$C$11+Settings!$C$12+Settings!$C$14)+IF(C1191="",Settings!$C$13,IF(COUNTIF($C$5:C1191,C1191)=1,Settings!$C$13,0))+E1191*Settings!$C$15+IF(H1191="Yes",J1191*Settings!$C$16,0))</f>
        <v/>
      </c>
      <c r="L1191" s="21">
        <f>IF(B1191="","",IF(Settings!$C$5="Yes",0,K1191*Settings!$C$17))</f>
        <v/>
      </c>
      <c r="M1191" s="21">
        <f>IF(B1191="","",E1191*IFERROR(VLOOKUP(D1191,Products!$B$5:$F$204,5,FALSE),0))</f>
        <v/>
      </c>
      <c r="N1191" s="21">
        <f>IF(B1191="","",J1191-K1191-L1191-M1191-I1191)</f>
        <v/>
      </c>
    </row>
    <row r="1192">
      <c r="B1192" s="11" t="n"/>
      <c r="C1192" s="8" t="n"/>
      <c r="D1192" s="8" t="n"/>
      <c r="E1192" s="8" t="n"/>
      <c r="F1192" s="20" t="n"/>
      <c r="G1192" s="20" t="n"/>
      <c r="H1192" s="8" t="n"/>
      <c r="I1192" s="20" t="n"/>
      <c r="J1192" s="21">
        <f>IF(B1192="","",F1192+G1192)</f>
        <v/>
      </c>
      <c r="K1192" s="21">
        <f>IF(B1192="","",J1192*(Settings!$C$11+Settings!$C$12+Settings!$C$14)+IF(C1192="",Settings!$C$13,IF(COUNTIF($C$5:C1192,C1192)=1,Settings!$C$13,0))+E1192*Settings!$C$15+IF(H1192="Yes",J1192*Settings!$C$16,0))</f>
        <v/>
      </c>
      <c r="L1192" s="21">
        <f>IF(B1192="","",IF(Settings!$C$5="Yes",0,K1192*Settings!$C$17))</f>
        <v/>
      </c>
      <c r="M1192" s="21">
        <f>IF(B1192="","",E1192*IFERROR(VLOOKUP(D1192,Products!$B$5:$F$204,5,FALSE),0))</f>
        <v/>
      </c>
      <c r="N1192" s="21">
        <f>IF(B1192="","",J1192-K1192-L1192-M1192-I1192)</f>
        <v/>
      </c>
    </row>
    <row r="1193">
      <c r="B1193" s="11" t="n"/>
      <c r="C1193" s="8" t="n"/>
      <c r="D1193" s="8" t="n"/>
      <c r="E1193" s="8" t="n"/>
      <c r="F1193" s="20" t="n"/>
      <c r="G1193" s="20" t="n"/>
      <c r="H1193" s="8" t="n"/>
      <c r="I1193" s="20" t="n"/>
      <c r="J1193" s="21">
        <f>IF(B1193="","",F1193+G1193)</f>
        <v/>
      </c>
      <c r="K1193" s="21">
        <f>IF(B1193="","",J1193*(Settings!$C$11+Settings!$C$12+Settings!$C$14)+IF(C1193="",Settings!$C$13,IF(COUNTIF($C$5:C1193,C1193)=1,Settings!$C$13,0))+E1193*Settings!$C$15+IF(H1193="Yes",J1193*Settings!$C$16,0))</f>
        <v/>
      </c>
      <c r="L1193" s="21">
        <f>IF(B1193="","",IF(Settings!$C$5="Yes",0,K1193*Settings!$C$17))</f>
        <v/>
      </c>
      <c r="M1193" s="21">
        <f>IF(B1193="","",E1193*IFERROR(VLOOKUP(D1193,Products!$B$5:$F$204,5,FALSE),0))</f>
        <v/>
      </c>
      <c r="N1193" s="21">
        <f>IF(B1193="","",J1193-K1193-L1193-M1193-I1193)</f>
        <v/>
      </c>
    </row>
    <row r="1194">
      <c r="B1194" s="11" t="n"/>
      <c r="C1194" s="8" t="n"/>
      <c r="D1194" s="8" t="n"/>
      <c r="E1194" s="8" t="n"/>
      <c r="F1194" s="20" t="n"/>
      <c r="G1194" s="20" t="n"/>
      <c r="H1194" s="8" t="n"/>
      <c r="I1194" s="20" t="n"/>
      <c r="J1194" s="21">
        <f>IF(B1194="","",F1194+G1194)</f>
        <v/>
      </c>
      <c r="K1194" s="21">
        <f>IF(B1194="","",J1194*(Settings!$C$11+Settings!$C$12+Settings!$C$14)+IF(C1194="",Settings!$C$13,IF(COUNTIF($C$5:C1194,C1194)=1,Settings!$C$13,0))+E1194*Settings!$C$15+IF(H1194="Yes",J1194*Settings!$C$16,0))</f>
        <v/>
      </c>
      <c r="L1194" s="21">
        <f>IF(B1194="","",IF(Settings!$C$5="Yes",0,K1194*Settings!$C$17))</f>
        <v/>
      </c>
      <c r="M1194" s="21">
        <f>IF(B1194="","",E1194*IFERROR(VLOOKUP(D1194,Products!$B$5:$F$204,5,FALSE),0))</f>
        <v/>
      </c>
      <c r="N1194" s="21">
        <f>IF(B1194="","",J1194-K1194-L1194-M1194-I1194)</f>
        <v/>
      </c>
    </row>
    <row r="1195">
      <c r="B1195" s="11" t="n"/>
      <c r="C1195" s="8" t="n"/>
      <c r="D1195" s="8" t="n"/>
      <c r="E1195" s="8" t="n"/>
      <c r="F1195" s="20" t="n"/>
      <c r="G1195" s="20" t="n"/>
      <c r="H1195" s="8" t="n"/>
      <c r="I1195" s="20" t="n"/>
      <c r="J1195" s="21">
        <f>IF(B1195="","",F1195+G1195)</f>
        <v/>
      </c>
      <c r="K1195" s="21">
        <f>IF(B1195="","",J1195*(Settings!$C$11+Settings!$C$12+Settings!$C$14)+IF(C1195="",Settings!$C$13,IF(COUNTIF($C$5:C1195,C1195)=1,Settings!$C$13,0))+E1195*Settings!$C$15+IF(H1195="Yes",J1195*Settings!$C$16,0))</f>
        <v/>
      </c>
      <c r="L1195" s="21">
        <f>IF(B1195="","",IF(Settings!$C$5="Yes",0,K1195*Settings!$C$17))</f>
        <v/>
      </c>
      <c r="M1195" s="21">
        <f>IF(B1195="","",E1195*IFERROR(VLOOKUP(D1195,Products!$B$5:$F$204,5,FALSE),0))</f>
        <v/>
      </c>
      <c r="N1195" s="21">
        <f>IF(B1195="","",J1195-K1195-L1195-M1195-I1195)</f>
        <v/>
      </c>
    </row>
    <row r="1196">
      <c r="B1196" s="11" t="n"/>
      <c r="C1196" s="8" t="n"/>
      <c r="D1196" s="8" t="n"/>
      <c r="E1196" s="8" t="n"/>
      <c r="F1196" s="20" t="n"/>
      <c r="G1196" s="20" t="n"/>
      <c r="H1196" s="8" t="n"/>
      <c r="I1196" s="20" t="n"/>
      <c r="J1196" s="21">
        <f>IF(B1196="","",F1196+G1196)</f>
        <v/>
      </c>
      <c r="K1196" s="21">
        <f>IF(B1196="","",J1196*(Settings!$C$11+Settings!$C$12+Settings!$C$14)+IF(C1196="",Settings!$C$13,IF(COUNTIF($C$5:C1196,C1196)=1,Settings!$C$13,0))+E1196*Settings!$C$15+IF(H1196="Yes",J1196*Settings!$C$16,0))</f>
        <v/>
      </c>
      <c r="L1196" s="21">
        <f>IF(B1196="","",IF(Settings!$C$5="Yes",0,K1196*Settings!$C$17))</f>
        <v/>
      </c>
      <c r="M1196" s="21">
        <f>IF(B1196="","",E1196*IFERROR(VLOOKUP(D1196,Products!$B$5:$F$204,5,FALSE),0))</f>
        <v/>
      </c>
      <c r="N1196" s="21">
        <f>IF(B1196="","",J1196-K1196-L1196-M1196-I1196)</f>
        <v/>
      </c>
    </row>
    <row r="1197">
      <c r="B1197" s="11" t="n"/>
      <c r="C1197" s="8" t="n"/>
      <c r="D1197" s="8" t="n"/>
      <c r="E1197" s="8" t="n"/>
      <c r="F1197" s="20" t="n"/>
      <c r="G1197" s="20" t="n"/>
      <c r="H1197" s="8" t="n"/>
      <c r="I1197" s="20" t="n"/>
      <c r="J1197" s="21">
        <f>IF(B1197="","",F1197+G1197)</f>
        <v/>
      </c>
      <c r="K1197" s="21">
        <f>IF(B1197="","",J1197*(Settings!$C$11+Settings!$C$12+Settings!$C$14)+IF(C1197="",Settings!$C$13,IF(COUNTIF($C$5:C1197,C1197)=1,Settings!$C$13,0))+E1197*Settings!$C$15+IF(H1197="Yes",J1197*Settings!$C$16,0))</f>
        <v/>
      </c>
      <c r="L1197" s="21">
        <f>IF(B1197="","",IF(Settings!$C$5="Yes",0,K1197*Settings!$C$17))</f>
        <v/>
      </c>
      <c r="M1197" s="21">
        <f>IF(B1197="","",E1197*IFERROR(VLOOKUP(D1197,Products!$B$5:$F$204,5,FALSE),0))</f>
        <v/>
      </c>
      <c r="N1197" s="21">
        <f>IF(B1197="","",J1197-K1197-L1197-M1197-I1197)</f>
        <v/>
      </c>
    </row>
    <row r="1198">
      <c r="B1198" s="11" t="n"/>
      <c r="C1198" s="8" t="n"/>
      <c r="D1198" s="8" t="n"/>
      <c r="E1198" s="8" t="n"/>
      <c r="F1198" s="20" t="n"/>
      <c r="G1198" s="20" t="n"/>
      <c r="H1198" s="8" t="n"/>
      <c r="I1198" s="20" t="n"/>
      <c r="J1198" s="21">
        <f>IF(B1198="","",F1198+G1198)</f>
        <v/>
      </c>
      <c r="K1198" s="21">
        <f>IF(B1198="","",J1198*(Settings!$C$11+Settings!$C$12+Settings!$C$14)+IF(C1198="",Settings!$C$13,IF(COUNTIF($C$5:C1198,C1198)=1,Settings!$C$13,0))+E1198*Settings!$C$15+IF(H1198="Yes",J1198*Settings!$C$16,0))</f>
        <v/>
      </c>
      <c r="L1198" s="21">
        <f>IF(B1198="","",IF(Settings!$C$5="Yes",0,K1198*Settings!$C$17))</f>
        <v/>
      </c>
      <c r="M1198" s="21">
        <f>IF(B1198="","",E1198*IFERROR(VLOOKUP(D1198,Products!$B$5:$F$204,5,FALSE),0))</f>
        <v/>
      </c>
      <c r="N1198" s="21">
        <f>IF(B1198="","",J1198-K1198-L1198-M1198-I1198)</f>
        <v/>
      </c>
    </row>
    <row r="1199">
      <c r="B1199" s="11" t="n"/>
      <c r="C1199" s="8" t="n"/>
      <c r="D1199" s="8" t="n"/>
      <c r="E1199" s="8" t="n"/>
      <c r="F1199" s="20" t="n"/>
      <c r="G1199" s="20" t="n"/>
      <c r="H1199" s="8" t="n"/>
      <c r="I1199" s="20" t="n"/>
      <c r="J1199" s="21">
        <f>IF(B1199="","",F1199+G1199)</f>
        <v/>
      </c>
      <c r="K1199" s="21">
        <f>IF(B1199="","",J1199*(Settings!$C$11+Settings!$C$12+Settings!$C$14)+IF(C1199="",Settings!$C$13,IF(COUNTIF($C$5:C1199,C1199)=1,Settings!$C$13,0))+E1199*Settings!$C$15+IF(H1199="Yes",J1199*Settings!$C$16,0))</f>
        <v/>
      </c>
      <c r="L1199" s="21">
        <f>IF(B1199="","",IF(Settings!$C$5="Yes",0,K1199*Settings!$C$17))</f>
        <v/>
      </c>
      <c r="M1199" s="21">
        <f>IF(B1199="","",E1199*IFERROR(VLOOKUP(D1199,Products!$B$5:$F$204,5,FALSE),0))</f>
        <v/>
      </c>
      <c r="N1199" s="21">
        <f>IF(B1199="","",J1199-K1199-L1199-M1199-I1199)</f>
        <v/>
      </c>
    </row>
    <row r="1200">
      <c r="B1200" s="11" t="n"/>
      <c r="C1200" s="8" t="n"/>
      <c r="D1200" s="8" t="n"/>
      <c r="E1200" s="8" t="n"/>
      <c r="F1200" s="20" t="n"/>
      <c r="G1200" s="20" t="n"/>
      <c r="H1200" s="8" t="n"/>
      <c r="I1200" s="20" t="n"/>
      <c r="J1200" s="21">
        <f>IF(B1200="","",F1200+G1200)</f>
        <v/>
      </c>
      <c r="K1200" s="21">
        <f>IF(B1200="","",J1200*(Settings!$C$11+Settings!$C$12+Settings!$C$14)+IF(C1200="",Settings!$C$13,IF(COUNTIF($C$5:C1200,C1200)=1,Settings!$C$13,0))+E1200*Settings!$C$15+IF(H1200="Yes",J1200*Settings!$C$16,0))</f>
        <v/>
      </c>
      <c r="L1200" s="21">
        <f>IF(B1200="","",IF(Settings!$C$5="Yes",0,K1200*Settings!$C$17))</f>
        <v/>
      </c>
      <c r="M1200" s="21">
        <f>IF(B1200="","",E1200*IFERROR(VLOOKUP(D1200,Products!$B$5:$F$204,5,FALSE),0))</f>
        <v/>
      </c>
      <c r="N1200" s="21">
        <f>IF(B1200="","",J1200-K1200-L1200-M1200-I1200)</f>
        <v/>
      </c>
    </row>
    <row r="1201">
      <c r="B1201" s="11" t="n"/>
      <c r="C1201" s="8" t="n"/>
      <c r="D1201" s="8" t="n"/>
      <c r="E1201" s="8" t="n"/>
      <c r="F1201" s="20" t="n"/>
      <c r="G1201" s="20" t="n"/>
      <c r="H1201" s="8" t="n"/>
      <c r="I1201" s="20" t="n"/>
      <c r="J1201" s="21">
        <f>IF(B1201="","",F1201+G1201)</f>
        <v/>
      </c>
      <c r="K1201" s="21">
        <f>IF(B1201="","",J1201*(Settings!$C$11+Settings!$C$12+Settings!$C$14)+IF(C1201="",Settings!$C$13,IF(COUNTIF($C$5:C1201,C1201)=1,Settings!$C$13,0))+E1201*Settings!$C$15+IF(H1201="Yes",J1201*Settings!$C$16,0))</f>
        <v/>
      </c>
      <c r="L1201" s="21">
        <f>IF(B1201="","",IF(Settings!$C$5="Yes",0,K1201*Settings!$C$17))</f>
        <v/>
      </c>
      <c r="M1201" s="21">
        <f>IF(B1201="","",E1201*IFERROR(VLOOKUP(D1201,Products!$B$5:$F$204,5,FALSE),0))</f>
        <v/>
      </c>
      <c r="N1201" s="21">
        <f>IF(B1201="","",J1201-K1201-L1201-M1201-I1201)</f>
        <v/>
      </c>
    </row>
    <row r="1202">
      <c r="B1202" s="11" t="n"/>
      <c r="C1202" s="8" t="n"/>
      <c r="D1202" s="8" t="n"/>
      <c r="E1202" s="8" t="n"/>
      <c r="F1202" s="20" t="n"/>
      <c r="G1202" s="20" t="n"/>
      <c r="H1202" s="8" t="n"/>
      <c r="I1202" s="20" t="n"/>
      <c r="J1202" s="21">
        <f>IF(B1202="","",F1202+G1202)</f>
        <v/>
      </c>
      <c r="K1202" s="21">
        <f>IF(B1202="","",J1202*(Settings!$C$11+Settings!$C$12+Settings!$C$14)+IF(C1202="",Settings!$C$13,IF(COUNTIF($C$5:C1202,C1202)=1,Settings!$C$13,0))+E1202*Settings!$C$15+IF(H1202="Yes",J1202*Settings!$C$16,0))</f>
        <v/>
      </c>
      <c r="L1202" s="21">
        <f>IF(B1202="","",IF(Settings!$C$5="Yes",0,K1202*Settings!$C$17))</f>
        <v/>
      </c>
      <c r="M1202" s="21">
        <f>IF(B1202="","",E1202*IFERROR(VLOOKUP(D1202,Products!$B$5:$F$204,5,FALSE),0))</f>
        <v/>
      </c>
      <c r="N1202" s="21">
        <f>IF(B1202="","",J1202-K1202-L1202-M1202-I1202)</f>
        <v/>
      </c>
    </row>
    <row r="1203">
      <c r="B1203" s="11" t="n"/>
      <c r="C1203" s="8" t="n"/>
      <c r="D1203" s="8" t="n"/>
      <c r="E1203" s="8" t="n"/>
      <c r="F1203" s="20" t="n"/>
      <c r="G1203" s="20" t="n"/>
      <c r="H1203" s="8" t="n"/>
      <c r="I1203" s="20" t="n"/>
      <c r="J1203" s="21">
        <f>IF(B1203="","",F1203+G1203)</f>
        <v/>
      </c>
      <c r="K1203" s="21">
        <f>IF(B1203="","",J1203*(Settings!$C$11+Settings!$C$12+Settings!$C$14)+IF(C1203="",Settings!$C$13,IF(COUNTIF($C$5:C1203,C1203)=1,Settings!$C$13,0))+E1203*Settings!$C$15+IF(H1203="Yes",J1203*Settings!$C$16,0))</f>
        <v/>
      </c>
      <c r="L1203" s="21">
        <f>IF(B1203="","",IF(Settings!$C$5="Yes",0,K1203*Settings!$C$17))</f>
        <v/>
      </c>
      <c r="M1203" s="21">
        <f>IF(B1203="","",E1203*IFERROR(VLOOKUP(D1203,Products!$B$5:$F$204,5,FALSE),0))</f>
        <v/>
      </c>
      <c r="N1203" s="21">
        <f>IF(B1203="","",J1203-K1203-L1203-M1203-I1203)</f>
        <v/>
      </c>
    </row>
    <row r="1204">
      <c r="B1204" s="11" t="n"/>
      <c r="C1204" s="8" t="n"/>
      <c r="D1204" s="8" t="n"/>
      <c r="E1204" s="8" t="n"/>
      <c r="F1204" s="20" t="n"/>
      <c r="G1204" s="20" t="n"/>
      <c r="H1204" s="8" t="n"/>
      <c r="I1204" s="20" t="n"/>
      <c r="J1204" s="21">
        <f>IF(B1204="","",F1204+G1204)</f>
        <v/>
      </c>
      <c r="K1204" s="21">
        <f>IF(B1204="","",J1204*(Settings!$C$11+Settings!$C$12+Settings!$C$14)+IF(C1204="",Settings!$C$13,IF(COUNTIF($C$5:C1204,C1204)=1,Settings!$C$13,0))+E1204*Settings!$C$15+IF(H1204="Yes",J1204*Settings!$C$16,0))</f>
        <v/>
      </c>
      <c r="L1204" s="21">
        <f>IF(B1204="","",IF(Settings!$C$5="Yes",0,K1204*Settings!$C$17))</f>
        <v/>
      </c>
      <c r="M1204" s="21">
        <f>IF(B1204="","",E1204*IFERROR(VLOOKUP(D1204,Products!$B$5:$F$204,5,FALSE),0))</f>
        <v/>
      </c>
      <c r="N1204" s="21">
        <f>IF(B1204="","",J1204-K1204-L1204-M1204-I1204)</f>
        <v/>
      </c>
    </row>
    <row r="1205">
      <c r="B1205" s="11" t="n"/>
      <c r="C1205" s="8" t="n"/>
      <c r="D1205" s="8" t="n"/>
      <c r="E1205" s="8" t="n"/>
      <c r="F1205" s="20" t="n"/>
      <c r="G1205" s="20" t="n"/>
      <c r="H1205" s="8" t="n"/>
      <c r="I1205" s="20" t="n"/>
      <c r="J1205" s="21">
        <f>IF(B1205="","",F1205+G1205)</f>
        <v/>
      </c>
      <c r="K1205" s="21">
        <f>IF(B1205="","",J1205*(Settings!$C$11+Settings!$C$12+Settings!$C$14)+IF(C1205="",Settings!$C$13,IF(COUNTIF($C$5:C1205,C1205)=1,Settings!$C$13,0))+E1205*Settings!$C$15+IF(H1205="Yes",J1205*Settings!$C$16,0))</f>
        <v/>
      </c>
      <c r="L1205" s="21">
        <f>IF(B1205="","",IF(Settings!$C$5="Yes",0,K1205*Settings!$C$17))</f>
        <v/>
      </c>
      <c r="M1205" s="21">
        <f>IF(B1205="","",E1205*IFERROR(VLOOKUP(D1205,Products!$B$5:$F$204,5,FALSE),0))</f>
        <v/>
      </c>
      <c r="N1205" s="21">
        <f>IF(B1205="","",J1205-K1205-L1205-M1205-I1205)</f>
        <v/>
      </c>
    </row>
    <row r="1206">
      <c r="B1206" s="11" t="n"/>
      <c r="C1206" s="8" t="n"/>
      <c r="D1206" s="8" t="n"/>
      <c r="E1206" s="8" t="n"/>
      <c r="F1206" s="20" t="n"/>
      <c r="G1206" s="20" t="n"/>
      <c r="H1206" s="8" t="n"/>
      <c r="I1206" s="20" t="n"/>
      <c r="J1206" s="21">
        <f>IF(B1206="","",F1206+G1206)</f>
        <v/>
      </c>
      <c r="K1206" s="21">
        <f>IF(B1206="","",J1206*(Settings!$C$11+Settings!$C$12+Settings!$C$14)+IF(C1206="",Settings!$C$13,IF(COUNTIF($C$5:C1206,C1206)=1,Settings!$C$13,0))+E1206*Settings!$C$15+IF(H1206="Yes",J1206*Settings!$C$16,0))</f>
        <v/>
      </c>
      <c r="L1206" s="21">
        <f>IF(B1206="","",IF(Settings!$C$5="Yes",0,K1206*Settings!$C$17))</f>
        <v/>
      </c>
      <c r="M1206" s="21">
        <f>IF(B1206="","",E1206*IFERROR(VLOOKUP(D1206,Products!$B$5:$F$204,5,FALSE),0))</f>
        <v/>
      </c>
      <c r="N1206" s="21">
        <f>IF(B1206="","",J1206-K1206-L1206-M1206-I1206)</f>
        <v/>
      </c>
    </row>
    <row r="1207">
      <c r="B1207" s="11" t="n"/>
      <c r="C1207" s="8" t="n"/>
      <c r="D1207" s="8" t="n"/>
      <c r="E1207" s="8" t="n"/>
      <c r="F1207" s="20" t="n"/>
      <c r="G1207" s="20" t="n"/>
      <c r="H1207" s="8" t="n"/>
      <c r="I1207" s="20" t="n"/>
      <c r="J1207" s="21">
        <f>IF(B1207="","",F1207+G1207)</f>
        <v/>
      </c>
      <c r="K1207" s="21">
        <f>IF(B1207="","",J1207*(Settings!$C$11+Settings!$C$12+Settings!$C$14)+IF(C1207="",Settings!$C$13,IF(COUNTIF($C$5:C1207,C1207)=1,Settings!$C$13,0))+E1207*Settings!$C$15+IF(H1207="Yes",J1207*Settings!$C$16,0))</f>
        <v/>
      </c>
      <c r="L1207" s="21">
        <f>IF(B1207="","",IF(Settings!$C$5="Yes",0,K1207*Settings!$C$17))</f>
        <v/>
      </c>
      <c r="M1207" s="21">
        <f>IF(B1207="","",E1207*IFERROR(VLOOKUP(D1207,Products!$B$5:$F$204,5,FALSE),0))</f>
        <v/>
      </c>
      <c r="N1207" s="21">
        <f>IF(B1207="","",J1207-K1207-L1207-M1207-I1207)</f>
        <v/>
      </c>
    </row>
    <row r="1208">
      <c r="B1208" s="11" t="n"/>
      <c r="C1208" s="8" t="n"/>
      <c r="D1208" s="8" t="n"/>
      <c r="E1208" s="8" t="n"/>
      <c r="F1208" s="20" t="n"/>
      <c r="G1208" s="20" t="n"/>
      <c r="H1208" s="8" t="n"/>
      <c r="I1208" s="20" t="n"/>
      <c r="J1208" s="21">
        <f>IF(B1208="","",F1208+G1208)</f>
        <v/>
      </c>
      <c r="K1208" s="21">
        <f>IF(B1208="","",J1208*(Settings!$C$11+Settings!$C$12+Settings!$C$14)+IF(C1208="",Settings!$C$13,IF(COUNTIF($C$5:C1208,C1208)=1,Settings!$C$13,0))+E1208*Settings!$C$15+IF(H1208="Yes",J1208*Settings!$C$16,0))</f>
        <v/>
      </c>
      <c r="L1208" s="21">
        <f>IF(B1208="","",IF(Settings!$C$5="Yes",0,K1208*Settings!$C$17))</f>
        <v/>
      </c>
      <c r="M1208" s="21">
        <f>IF(B1208="","",E1208*IFERROR(VLOOKUP(D1208,Products!$B$5:$F$204,5,FALSE),0))</f>
        <v/>
      </c>
      <c r="N1208" s="21">
        <f>IF(B1208="","",J1208-K1208-L1208-M1208-I1208)</f>
        <v/>
      </c>
    </row>
    <row r="1209">
      <c r="B1209" s="11" t="n"/>
      <c r="C1209" s="8" t="n"/>
      <c r="D1209" s="8" t="n"/>
      <c r="E1209" s="8" t="n"/>
      <c r="F1209" s="20" t="n"/>
      <c r="G1209" s="20" t="n"/>
      <c r="H1209" s="8" t="n"/>
      <c r="I1209" s="20" t="n"/>
      <c r="J1209" s="21">
        <f>IF(B1209="","",F1209+G1209)</f>
        <v/>
      </c>
      <c r="K1209" s="21">
        <f>IF(B1209="","",J1209*(Settings!$C$11+Settings!$C$12+Settings!$C$14)+IF(C1209="",Settings!$C$13,IF(COUNTIF($C$5:C1209,C1209)=1,Settings!$C$13,0))+E1209*Settings!$C$15+IF(H1209="Yes",J1209*Settings!$C$16,0))</f>
        <v/>
      </c>
      <c r="L1209" s="21">
        <f>IF(B1209="","",IF(Settings!$C$5="Yes",0,K1209*Settings!$C$17))</f>
        <v/>
      </c>
      <c r="M1209" s="21">
        <f>IF(B1209="","",E1209*IFERROR(VLOOKUP(D1209,Products!$B$5:$F$204,5,FALSE),0))</f>
        <v/>
      </c>
      <c r="N1209" s="21">
        <f>IF(B1209="","",J1209-K1209-L1209-M1209-I1209)</f>
        <v/>
      </c>
    </row>
    <row r="1210">
      <c r="B1210" s="11" t="n"/>
      <c r="C1210" s="8" t="n"/>
      <c r="D1210" s="8" t="n"/>
      <c r="E1210" s="8" t="n"/>
      <c r="F1210" s="20" t="n"/>
      <c r="G1210" s="20" t="n"/>
      <c r="H1210" s="8" t="n"/>
      <c r="I1210" s="20" t="n"/>
      <c r="J1210" s="21">
        <f>IF(B1210="","",F1210+G1210)</f>
        <v/>
      </c>
      <c r="K1210" s="21">
        <f>IF(B1210="","",J1210*(Settings!$C$11+Settings!$C$12+Settings!$C$14)+IF(C1210="",Settings!$C$13,IF(COUNTIF($C$5:C1210,C1210)=1,Settings!$C$13,0))+E1210*Settings!$C$15+IF(H1210="Yes",J1210*Settings!$C$16,0))</f>
        <v/>
      </c>
      <c r="L1210" s="21">
        <f>IF(B1210="","",IF(Settings!$C$5="Yes",0,K1210*Settings!$C$17))</f>
        <v/>
      </c>
      <c r="M1210" s="21">
        <f>IF(B1210="","",E1210*IFERROR(VLOOKUP(D1210,Products!$B$5:$F$204,5,FALSE),0))</f>
        <v/>
      </c>
      <c r="N1210" s="21">
        <f>IF(B1210="","",J1210-K1210-L1210-M1210-I1210)</f>
        <v/>
      </c>
    </row>
    <row r="1211">
      <c r="B1211" s="11" t="n"/>
      <c r="C1211" s="8" t="n"/>
      <c r="D1211" s="8" t="n"/>
      <c r="E1211" s="8" t="n"/>
      <c r="F1211" s="20" t="n"/>
      <c r="G1211" s="20" t="n"/>
      <c r="H1211" s="8" t="n"/>
      <c r="I1211" s="20" t="n"/>
      <c r="J1211" s="21">
        <f>IF(B1211="","",F1211+G1211)</f>
        <v/>
      </c>
      <c r="K1211" s="21">
        <f>IF(B1211="","",J1211*(Settings!$C$11+Settings!$C$12+Settings!$C$14)+IF(C1211="",Settings!$C$13,IF(COUNTIF($C$5:C1211,C1211)=1,Settings!$C$13,0))+E1211*Settings!$C$15+IF(H1211="Yes",J1211*Settings!$C$16,0))</f>
        <v/>
      </c>
      <c r="L1211" s="21">
        <f>IF(B1211="","",IF(Settings!$C$5="Yes",0,K1211*Settings!$C$17))</f>
        <v/>
      </c>
      <c r="M1211" s="21">
        <f>IF(B1211="","",E1211*IFERROR(VLOOKUP(D1211,Products!$B$5:$F$204,5,FALSE),0))</f>
        <v/>
      </c>
      <c r="N1211" s="21">
        <f>IF(B1211="","",J1211-K1211-L1211-M1211-I1211)</f>
        <v/>
      </c>
    </row>
    <row r="1212">
      <c r="B1212" s="11" t="n"/>
      <c r="C1212" s="8" t="n"/>
      <c r="D1212" s="8" t="n"/>
      <c r="E1212" s="8" t="n"/>
      <c r="F1212" s="20" t="n"/>
      <c r="G1212" s="20" t="n"/>
      <c r="H1212" s="8" t="n"/>
      <c r="I1212" s="20" t="n"/>
      <c r="J1212" s="21">
        <f>IF(B1212="","",F1212+G1212)</f>
        <v/>
      </c>
      <c r="K1212" s="21">
        <f>IF(B1212="","",J1212*(Settings!$C$11+Settings!$C$12+Settings!$C$14)+IF(C1212="",Settings!$C$13,IF(COUNTIF($C$5:C1212,C1212)=1,Settings!$C$13,0))+E1212*Settings!$C$15+IF(H1212="Yes",J1212*Settings!$C$16,0))</f>
        <v/>
      </c>
      <c r="L1212" s="21">
        <f>IF(B1212="","",IF(Settings!$C$5="Yes",0,K1212*Settings!$C$17))</f>
        <v/>
      </c>
      <c r="M1212" s="21">
        <f>IF(B1212="","",E1212*IFERROR(VLOOKUP(D1212,Products!$B$5:$F$204,5,FALSE),0))</f>
        <v/>
      </c>
      <c r="N1212" s="21">
        <f>IF(B1212="","",J1212-K1212-L1212-M1212-I1212)</f>
        <v/>
      </c>
    </row>
    <row r="1213">
      <c r="B1213" s="11" t="n"/>
      <c r="C1213" s="8" t="n"/>
      <c r="D1213" s="8" t="n"/>
      <c r="E1213" s="8" t="n"/>
      <c r="F1213" s="20" t="n"/>
      <c r="G1213" s="20" t="n"/>
      <c r="H1213" s="8" t="n"/>
      <c r="I1213" s="20" t="n"/>
      <c r="J1213" s="21">
        <f>IF(B1213="","",F1213+G1213)</f>
        <v/>
      </c>
      <c r="K1213" s="21">
        <f>IF(B1213="","",J1213*(Settings!$C$11+Settings!$C$12+Settings!$C$14)+IF(C1213="",Settings!$C$13,IF(COUNTIF($C$5:C1213,C1213)=1,Settings!$C$13,0))+E1213*Settings!$C$15+IF(H1213="Yes",J1213*Settings!$C$16,0))</f>
        <v/>
      </c>
      <c r="L1213" s="21">
        <f>IF(B1213="","",IF(Settings!$C$5="Yes",0,K1213*Settings!$C$17))</f>
        <v/>
      </c>
      <c r="M1213" s="21">
        <f>IF(B1213="","",E1213*IFERROR(VLOOKUP(D1213,Products!$B$5:$F$204,5,FALSE),0))</f>
        <v/>
      </c>
      <c r="N1213" s="21">
        <f>IF(B1213="","",J1213-K1213-L1213-M1213-I1213)</f>
        <v/>
      </c>
    </row>
    <row r="1214">
      <c r="B1214" s="11" t="n"/>
      <c r="C1214" s="8" t="n"/>
      <c r="D1214" s="8" t="n"/>
      <c r="E1214" s="8" t="n"/>
      <c r="F1214" s="20" t="n"/>
      <c r="G1214" s="20" t="n"/>
      <c r="H1214" s="8" t="n"/>
      <c r="I1214" s="20" t="n"/>
      <c r="J1214" s="21">
        <f>IF(B1214="","",F1214+G1214)</f>
        <v/>
      </c>
      <c r="K1214" s="21">
        <f>IF(B1214="","",J1214*(Settings!$C$11+Settings!$C$12+Settings!$C$14)+IF(C1214="",Settings!$C$13,IF(COUNTIF($C$5:C1214,C1214)=1,Settings!$C$13,0))+E1214*Settings!$C$15+IF(H1214="Yes",J1214*Settings!$C$16,0))</f>
        <v/>
      </c>
      <c r="L1214" s="21">
        <f>IF(B1214="","",IF(Settings!$C$5="Yes",0,K1214*Settings!$C$17))</f>
        <v/>
      </c>
      <c r="M1214" s="21">
        <f>IF(B1214="","",E1214*IFERROR(VLOOKUP(D1214,Products!$B$5:$F$204,5,FALSE),0))</f>
        <v/>
      </c>
      <c r="N1214" s="21">
        <f>IF(B1214="","",J1214-K1214-L1214-M1214-I1214)</f>
        <v/>
      </c>
    </row>
    <row r="1215">
      <c r="B1215" s="11" t="n"/>
      <c r="C1215" s="8" t="n"/>
      <c r="D1215" s="8" t="n"/>
      <c r="E1215" s="8" t="n"/>
      <c r="F1215" s="20" t="n"/>
      <c r="G1215" s="20" t="n"/>
      <c r="H1215" s="8" t="n"/>
      <c r="I1215" s="20" t="n"/>
      <c r="J1215" s="21">
        <f>IF(B1215="","",F1215+G1215)</f>
        <v/>
      </c>
      <c r="K1215" s="21">
        <f>IF(B1215="","",J1215*(Settings!$C$11+Settings!$C$12+Settings!$C$14)+IF(C1215="",Settings!$C$13,IF(COUNTIF($C$5:C1215,C1215)=1,Settings!$C$13,0))+E1215*Settings!$C$15+IF(H1215="Yes",J1215*Settings!$C$16,0))</f>
        <v/>
      </c>
      <c r="L1215" s="21">
        <f>IF(B1215="","",IF(Settings!$C$5="Yes",0,K1215*Settings!$C$17))</f>
        <v/>
      </c>
      <c r="M1215" s="21">
        <f>IF(B1215="","",E1215*IFERROR(VLOOKUP(D1215,Products!$B$5:$F$204,5,FALSE),0))</f>
        <v/>
      </c>
      <c r="N1215" s="21">
        <f>IF(B1215="","",J1215-K1215-L1215-M1215-I1215)</f>
        <v/>
      </c>
    </row>
    <row r="1216">
      <c r="B1216" s="11" t="n"/>
      <c r="C1216" s="8" t="n"/>
      <c r="D1216" s="8" t="n"/>
      <c r="E1216" s="8" t="n"/>
      <c r="F1216" s="20" t="n"/>
      <c r="G1216" s="20" t="n"/>
      <c r="H1216" s="8" t="n"/>
      <c r="I1216" s="20" t="n"/>
      <c r="J1216" s="21">
        <f>IF(B1216="","",F1216+G1216)</f>
        <v/>
      </c>
      <c r="K1216" s="21">
        <f>IF(B1216="","",J1216*(Settings!$C$11+Settings!$C$12+Settings!$C$14)+IF(C1216="",Settings!$C$13,IF(COUNTIF($C$5:C1216,C1216)=1,Settings!$C$13,0))+E1216*Settings!$C$15+IF(H1216="Yes",J1216*Settings!$C$16,0))</f>
        <v/>
      </c>
      <c r="L1216" s="21">
        <f>IF(B1216="","",IF(Settings!$C$5="Yes",0,K1216*Settings!$C$17))</f>
        <v/>
      </c>
      <c r="M1216" s="21">
        <f>IF(B1216="","",E1216*IFERROR(VLOOKUP(D1216,Products!$B$5:$F$204,5,FALSE),0))</f>
        <v/>
      </c>
      <c r="N1216" s="21">
        <f>IF(B1216="","",J1216-K1216-L1216-M1216-I1216)</f>
        <v/>
      </c>
    </row>
    <row r="1217">
      <c r="B1217" s="11" t="n"/>
      <c r="C1217" s="8" t="n"/>
      <c r="D1217" s="8" t="n"/>
      <c r="E1217" s="8" t="n"/>
      <c r="F1217" s="20" t="n"/>
      <c r="G1217" s="20" t="n"/>
      <c r="H1217" s="8" t="n"/>
      <c r="I1217" s="20" t="n"/>
      <c r="J1217" s="21">
        <f>IF(B1217="","",F1217+G1217)</f>
        <v/>
      </c>
      <c r="K1217" s="21">
        <f>IF(B1217="","",J1217*(Settings!$C$11+Settings!$C$12+Settings!$C$14)+IF(C1217="",Settings!$C$13,IF(COUNTIF($C$5:C1217,C1217)=1,Settings!$C$13,0))+E1217*Settings!$C$15+IF(H1217="Yes",J1217*Settings!$C$16,0))</f>
        <v/>
      </c>
      <c r="L1217" s="21">
        <f>IF(B1217="","",IF(Settings!$C$5="Yes",0,K1217*Settings!$C$17))</f>
        <v/>
      </c>
      <c r="M1217" s="21">
        <f>IF(B1217="","",E1217*IFERROR(VLOOKUP(D1217,Products!$B$5:$F$204,5,FALSE),0))</f>
        <v/>
      </c>
      <c r="N1217" s="21">
        <f>IF(B1217="","",J1217-K1217-L1217-M1217-I1217)</f>
        <v/>
      </c>
    </row>
    <row r="1218">
      <c r="B1218" s="11" t="n"/>
      <c r="C1218" s="8" t="n"/>
      <c r="D1218" s="8" t="n"/>
      <c r="E1218" s="8" t="n"/>
      <c r="F1218" s="20" t="n"/>
      <c r="G1218" s="20" t="n"/>
      <c r="H1218" s="8" t="n"/>
      <c r="I1218" s="20" t="n"/>
      <c r="J1218" s="21">
        <f>IF(B1218="","",F1218+G1218)</f>
        <v/>
      </c>
      <c r="K1218" s="21">
        <f>IF(B1218="","",J1218*(Settings!$C$11+Settings!$C$12+Settings!$C$14)+IF(C1218="",Settings!$C$13,IF(COUNTIF($C$5:C1218,C1218)=1,Settings!$C$13,0))+E1218*Settings!$C$15+IF(H1218="Yes",J1218*Settings!$C$16,0))</f>
        <v/>
      </c>
      <c r="L1218" s="21">
        <f>IF(B1218="","",IF(Settings!$C$5="Yes",0,K1218*Settings!$C$17))</f>
        <v/>
      </c>
      <c r="M1218" s="21">
        <f>IF(B1218="","",E1218*IFERROR(VLOOKUP(D1218,Products!$B$5:$F$204,5,FALSE),0))</f>
        <v/>
      </c>
      <c r="N1218" s="21">
        <f>IF(B1218="","",J1218-K1218-L1218-M1218-I1218)</f>
        <v/>
      </c>
    </row>
    <row r="1219">
      <c r="B1219" s="11" t="n"/>
      <c r="C1219" s="8" t="n"/>
      <c r="D1219" s="8" t="n"/>
      <c r="E1219" s="8" t="n"/>
      <c r="F1219" s="20" t="n"/>
      <c r="G1219" s="20" t="n"/>
      <c r="H1219" s="8" t="n"/>
      <c r="I1219" s="20" t="n"/>
      <c r="J1219" s="21">
        <f>IF(B1219="","",F1219+G1219)</f>
        <v/>
      </c>
      <c r="K1219" s="21">
        <f>IF(B1219="","",J1219*(Settings!$C$11+Settings!$C$12+Settings!$C$14)+IF(C1219="",Settings!$C$13,IF(COUNTIF($C$5:C1219,C1219)=1,Settings!$C$13,0))+E1219*Settings!$C$15+IF(H1219="Yes",J1219*Settings!$C$16,0))</f>
        <v/>
      </c>
      <c r="L1219" s="21">
        <f>IF(B1219="","",IF(Settings!$C$5="Yes",0,K1219*Settings!$C$17))</f>
        <v/>
      </c>
      <c r="M1219" s="21">
        <f>IF(B1219="","",E1219*IFERROR(VLOOKUP(D1219,Products!$B$5:$F$204,5,FALSE),0))</f>
        <v/>
      </c>
      <c r="N1219" s="21">
        <f>IF(B1219="","",J1219-K1219-L1219-M1219-I1219)</f>
        <v/>
      </c>
    </row>
    <row r="1220">
      <c r="B1220" s="11" t="n"/>
      <c r="C1220" s="8" t="n"/>
      <c r="D1220" s="8" t="n"/>
      <c r="E1220" s="8" t="n"/>
      <c r="F1220" s="20" t="n"/>
      <c r="G1220" s="20" t="n"/>
      <c r="H1220" s="8" t="n"/>
      <c r="I1220" s="20" t="n"/>
      <c r="J1220" s="21">
        <f>IF(B1220="","",F1220+G1220)</f>
        <v/>
      </c>
      <c r="K1220" s="21">
        <f>IF(B1220="","",J1220*(Settings!$C$11+Settings!$C$12+Settings!$C$14)+IF(C1220="",Settings!$C$13,IF(COUNTIF($C$5:C1220,C1220)=1,Settings!$C$13,0))+E1220*Settings!$C$15+IF(H1220="Yes",J1220*Settings!$C$16,0))</f>
        <v/>
      </c>
      <c r="L1220" s="21">
        <f>IF(B1220="","",IF(Settings!$C$5="Yes",0,K1220*Settings!$C$17))</f>
        <v/>
      </c>
      <c r="M1220" s="21">
        <f>IF(B1220="","",E1220*IFERROR(VLOOKUP(D1220,Products!$B$5:$F$204,5,FALSE),0))</f>
        <v/>
      </c>
      <c r="N1220" s="21">
        <f>IF(B1220="","",J1220-K1220-L1220-M1220-I1220)</f>
        <v/>
      </c>
    </row>
    <row r="1221">
      <c r="B1221" s="11" t="n"/>
      <c r="C1221" s="8" t="n"/>
      <c r="D1221" s="8" t="n"/>
      <c r="E1221" s="8" t="n"/>
      <c r="F1221" s="20" t="n"/>
      <c r="G1221" s="20" t="n"/>
      <c r="H1221" s="8" t="n"/>
      <c r="I1221" s="20" t="n"/>
      <c r="J1221" s="21">
        <f>IF(B1221="","",F1221+G1221)</f>
        <v/>
      </c>
      <c r="K1221" s="21">
        <f>IF(B1221="","",J1221*(Settings!$C$11+Settings!$C$12+Settings!$C$14)+IF(C1221="",Settings!$C$13,IF(COUNTIF($C$5:C1221,C1221)=1,Settings!$C$13,0))+E1221*Settings!$C$15+IF(H1221="Yes",J1221*Settings!$C$16,0))</f>
        <v/>
      </c>
      <c r="L1221" s="21">
        <f>IF(B1221="","",IF(Settings!$C$5="Yes",0,K1221*Settings!$C$17))</f>
        <v/>
      </c>
      <c r="M1221" s="21">
        <f>IF(B1221="","",E1221*IFERROR(VLOOKUP(D1221,Products!$B$5:$F$204,5,FALSE),0))</f>
        <v/>
      </c>
      <c r="N1221" s="21">
        <f>IF(B1221="","",J1221-K1221-L1221-M1221-I1221)</f>
        <v/>
      </c>
    </row>
    <row r="1222">
      <c r="B1222" s="11" t="n"/>
      <c r="C1222" s="8" t="n"/>
      <c r="D1222" s="8" t="n"/>
      <c r="E1222" s="8" t="n"/>
      <c r="F1222" s="20" t="n"/>
      <c r="G1222" s="20" t="n"/>
      <c r="H1222" s="8" t="n"/>
      <c r="I1222" s="20" t="n"/>
      <c r="J1222" s="21">
        <f>IF(B1222="","",F1222+G1222)</f>
        <v/>
      </c>
      <c r="K1222" s="21">
        <f>IF(B1222="","",J1222*(Settings!$C$11+Settings!$C$12+Settings!$C$14)+IF(C1222="",Settings!$C$13,IF(COUNTIF($C$5:C1222,C1222)=1,Settings!$C$13,0))+E1222*Settings!$C$15+IF(H1222="Yes",J1222*Settings!$C$16,0))</f>
        <v/>
      </c>
      <c r="L1222" s="21">
        <f>IF(B1222="","",IF(Settings!$C$5="Yes",0,K1222*Settings!$C$17))</f>
        <v/>
      </c>
      <c r="M1222" s="21">
        <f>IF(B1222="","",E1222*IFERROR(VLOOKUP(D1222,Products!$B$5:$F$204,5,FALSE),0))</f>
        <v/>
      </c>
      <c r="N1222" s="21">
        <f>IF(B1222="","",J1222-K1222-L1222-M1222-I1222)</f>
        <v/>
      </c>
    </row>
    <row r="1223">
      <c r="B1223" s="11" t="n"/>
      <c r="C1223" s="8" t="n"/>
      <c r="D1223" s="8" t="n"/>
      <c r="E1223" s="8" t="n"/>
      <c r="F1223" s="20" t="n"/>
      <c r="G1223" s="20" t="n"/>
      <c r="H1223" s="8" t="n"/>
      <c r="I1223" s="20" t="n"/>
      <c r="J1223" s="21">
        <f>IF(B1223="","",F1223+G1223)</f>
        <v/>
      </c>
      <c r="K1223" s="21">
        <f>IF(B1223="","",J1223*(Settings!$C$11+Settings!$C$12+Settings!$C$14)+IF(C1223="",Settings!$C$13,IF(COUNTIF($C$5:C1223,C1223)=1,Settings!$C$13,0))+E1223*Settings!$C$15+IF(H1223="Yes",J1223*Settings!$C$16,0))</f>
        <v/>
      </c>
      <c r="L1223" s="21">
        <f>IF(B1223="","",IF(Settings!$C$5="Yes",0,K1223*Settings!$C$17))</f>
        <v/>
      </c>
      <c r="M1223" s="21">
        <f>IF(B1223="","",E1223*IFERROR(VLOOKUP(D1223,Products!$B$5:$F$204,5,FALSE),0))</f>
        <v/>
      </c>
      <c r="N1223" s="21">
        <f>IF(B1223="","",J1223-K1223-L1223-M1223-I1223)</f>
        <v/>
      </c>
    </row>
    <row r="1224">
      <c r="B1224" s="11" t="n"/>
      <c r="C1224" s="8" t="n"/>
      <c r="D1224" s="8" t="n"/>
      <c r="E1224" s="8" t="n"/>
      <c r="F1224" s="20" t="n"/>
      <c r="G1224" s="20" t="n"/>
      <c r="H1224" s="8" t="n"/>
      <c r="I1224" s="20" t="n"/>
      <c r="J1224" s="21">
        <f>IF(B1224="","",F1224+G1224)</f>
        <v/>
      </c>
      <c r="K1224" s="21">
        <f>IF(B1224="","",J1224*(Settings!$C$11+Settings!$C$12+Settings!$C$14)+IF(C1224="",Settings!$C$13,IF(COUNTIF($C$5:C1224,C1224)=1,Settings!$C$13,0))+E1224*Settings!$C$15+IF(H1224="Yes",J1224*Settings!$C$16,0))</f>
        <v/>
      </c>
      <c r="L1224" s="21">
        <f>IF(B1224="","",IF(Settings!$C$5="Yes",0,K1224*Settings!$C$17))</f>
        <v/>
      </c>
      <c r="M1224" s="21">
        <f>IF(B1224="","",E1224*IFERROR(VLOOKUP(D1224,Products!$B$5:$F$204,5,FALSE),0))</f>
        <v/>
      </c>
      <c r="N1224" s="21">
        <f>IF(B1224="","",J1224-K1224-L1224-M1224-I1224)</f>
        <v/>
      </c>
    </row>
    <row r="1225">
      <c r="B1225" s="11" t="n"/>
      <c r="C1225" s="8" t="n"/>
      <c r="D1225" s="8" t="n"/>
      <c r="E1225" s="8" t="n"/>
      <c r="F1225" s="20" t="n"/>
      <c r="G1225" s="20" t="n"/>
      <c r="H1225" s="8" t="n"/>
      <c r="I1225" s="20" t="n"/>
      <c r="J1225" s="21">
        <f>IF(B1225="","",F1225+G1225)</f>
        <v/>
      </c>
      <c r="K1225" s="21">
        <f>IF(B1225="","",J1225*(Settings!$C$11+Settings!$C$12+Settings!$C$14)+IF(C1225="",Settings!$C$13,IF(COUNTIF($C$5:C1225,C1225)=1,Settings!$C$13,0))+E1225*Settings!$C$15+IF(H1225="Yes",J1225*Settings!$C$16,0))</f>
        <v/>
      </c>
      <c r="L1225" s="21">
        <f>IF(B1225="","",IF(Settings!$C$5="Yes",0,K1225*Settings!$C$17))</f>
        <v/>
      </c>
      <c r="M1225" s="21">
        <f>IF(B1225="","",E1225*IFERROR(VLOOKUP(D1225,Products!$B$5:$F$204,5,FALSE),0))</f>
        <v/>
      </c>
      <c r="N1225" s="21">
        <f>IF(B1225="","",J1225-K1225-L1225-M1225-I1225)</f>
        <v/>
      </c>
    </row>
    <row r="1226">
      <c r="B1226" s="11" t="n"/>
      <c r="C1226" s="8" t="n"/>
      <c r="D1226" s="8" t="n"/>
      <c r="E1226" s="8" t="n"/>
      <c r="F1226" s="20" t="n"/>
      <c r="G1226" s="20" t="n"/>
      <c r="H1226" s="8" t="n"/>
      <c r="I1226" s="20" t="n"/>
      <c r="J1226" s="21">
        <f>IF(B1226="","",F1226+G1226)</f>
        <v/>
      </c>
      <c r="K1226" s="21">
        <f>IF(B1226="","",J1226*(Settings!$C$11+Settings!$C$12+Settings!$C$14)+IF(C1226="",Settings!$C$13,IF(COUNTIF($C$5:C1226,C1226)=1,Settings!$C$13,0))+E1226*Settings!$C$15+IF(H1226="Yes",J1226*Settings!$C$16,0))</f>
        <v/>
      </c>
      <c r="L1226" s="21">
        <f>IF(B1226="","",IF(Settings!$C$5="Yes",0,K1226*Settings!$C$17))</f>
        <v/>
      </c>
      <c r="M1226" s="21">
        <f>IF(B1226="","",E1226*IFERROR(VLOOKUP(D1226,Products!$B$5:$F$204,5,FALSE),0))</f>
        <v/>
      </c>
      <c r="N1226" s="21">
        <f>IF(B1226="","",J1226-K1226-L1226-M1226-I1226)</f>
        <v/>
      </c>
    </row>
    <row r="1227">
      <c r="B1227" s="11" t="n"/>
      <c r="C1227" s="8" t="n"/>
      <c r="D1227" s="8" t="n"/>
      <c r="E1227" s="8" t="n"/>
      <c r="F1227" s="20" t="n"/>
      <c r="G1227" s="20" t="n"/>
      <c r="H1227" s="8" t="n"/>
      <c r="I1227" s="20" t="n"/>
      <c r="J1227" s="21">
        <f>IF(B1227="","",F1227+G1227)</f>
        <v/>
      </c>
      <c r="K1227" s="21">
        <f>IF(B1227="","",J1227*(Settings!$C$11+Settings!$C$12+Settings!$C$14)+IF(C1227="",Settings!$C$13,IF(COUNTIF($C$5:C1227,C1227)=1,Settings!$C$13,0))+E1227*Settings!$C$15+IF(H1227="Yes",J1227*Settings!$C$16,0))</f>
        <v/>
      </c>
      <c r="L1227" s="21">
        <f>IF(B1227="","",IF(Settings!$C$5="Yes",0,K1227*Settings!$C$17))</f>
        <v/>
      </c>
      <c r="M1227" s="21">
        <f>IF(B1227="","",E1227*IFERROR(VLOOKUP(D1227,Products!$B$5:$F$204,5,FALSE),0))</f>
        <v/>
      </c>
      <c r="N1227" s="21">
        <f>IF(B1227="","",J1227-K1227-L1227-M1227-I1227)</f>
        <v/>
      </c>
    </row>
    <row r="1228">
      <c r="B1228" s="11" t="n"/>
      <c r="C1228" s="8" t="n"/>
      <c r="D1228" s="8" t="n"/>
      <c r="E1228" s="8" t="n"/>
      <c r="F1228" s="20" t="n"/>
      <c r="G1228" s="20" t="n"/>
      <c r="H1228" s="8" t="n"/>
      <c r="I1228" s="20" t="n"/>
      <c r="J1228" s="21">
        <f>IF(B1228="","",F1228+G1228)</f>
        <v/>
      </c>
      <c r="K1228" s="21">
        <f>IF(B1228="","",J1228*(Settings!$C$11+Settings!$C$12+Settings!$C$14)+IF(C1228="",Settings!$C$13,IF(COUNTIF($C$5:C1228,C1228)=1,Settings!$C$13,0))+E1228*Settings!$C$15+IF(H1228="Yes",J1228*Settings!$C$16,0))</f>
        <v/>
      </c>
      <c r="L1228" s="21">
        <f>IF(B1228="","",IF(Settings!$C$5="Yes",0,K1228*Settings!$C$17))</f>
        <v/>
      </c>
      <c r="M1228" s="21">
        <f>IF(B1228="","",E1228*IFERROR(VLOOKUP(D1228,Products!$B$5:$F$204,5,FALSE),0))</f>
        <v/>
      </c>
      <c r="N1228" s="21">
        <f>IF(B1228="","",J1228-K1228-L1228-M1228-I1228)</f>
        <v/>
      </c>
    </row>
    <row r="1229">
      <c r="B1229" s="11" t="n"/>
      <c r="C1229" s="8" t="n"/>
      <c r="D1229" s="8" t="n"/>
      <c r="E1229" s="8" t="n"/>
      <c r="F1229" s="20" t="n"/>
      <c r="G1229" s="20" t="n"/>
      <c r="H1229" s="8" t="n"/>
      <c r="I1229" s="20" t="n"/>
      <c r="J1229" s="21">
        <f>IF(B1229="","",F1229+G1229)</f>
        <v/>
      </c>
      <c r="K1229" s="21">
        <f>IF(B1229="","",J1229*(Settings!$C$11+Settings!$C$12+Settings!$C$14)+IF(C1229="",Settings!$C$13,IF(COUNTIF($C$5:C1229,C1229)=1,Settings!$C$13,0))+E1229*Settings!$C$15+IF(H1229="Yes",J1229*Settings!$C$16,0))</f>
        <v/>
      </c>
      <c r="L1229" s="21">
        <f>IF(B1229="","",IF(Settings!$C$5="Yes",0,K1229*Settings!$C$17))</f>
        <v/>
      </c>
      <c r="M1229" s="21">
        <f>IF(B1229="","",E1229*IFERROR(VLOOKUP(D1229,Products!$B$5:$F$204,5,FALSE),0))</f>
        <v/>
      </c>
      <c r="N1229" s="21">
        <f>IF(B1229="","",J1229-K1229-L1229-M1229-I1229)</f>
        <v/>
      </c>
    </row>
    <row r="1230">
      <c r="B1230" s="11" t="n"/>
      <c r="C1230" s="8" t="n"/>
      <c r="D1230" s="8" t="n"/>
      <c r="E1230" s="8" t="n"/>
      <c r="F1230" s="20" t="n"/>
      <c r="G1230" s="20" t="n"/>
      <c r="H1230" s="8" t="n"/>
      <c r="I1230" s="20" t="n"/>
      <c r="J1230" s="21">
        <f>IF(B1230="","",F1230+G1230)</f>
        <v/>
      </c>
      <c r="K1230" s="21">
        <f>IF(B1230="","",J1230*(Settings!$C$11+Settings!$C$12+Settings!$C$14)+IF(C1230="",Settings!$C$13,IF(COUNTIF($C$5:C1230,C1230)=1,Settings!$C$13,0))+E1230*Settings!$C$15+IF(H1230="Yes",J1230*Settings!$C$16,0))</f>
        <v/>
      </c>
      <c r="L1230" s="21">
        <f>IF(B1230="","",IF(Settings!$C$5="Yes",0,K1230*Settings!$C$17))</f>
        <v/>
      </c>
      <c r="M1230" s="21">
        <f>IF(B1230="","",E1230*IFERROR(VLOOKUP(D1230,Products!$B$5:$F$204,5,FALSE),0))</f>
        <v/>
      </c>
      <c r="N1230" s="21">
        <f>IF(B1230="","",J1230-K1230-L1230-M1230-I1230)</f>
        <v/>
      </c>
    </row>
    <row r="1231">
      <c r="B1231" s="11" t="n"/>
      <c r="C1231" s="8" t="n"/>
      <c r="D1231" s="8" t="n"/>
      <c r="E1231" s="8" t="n"/>
      <c r="F1231" s="20" t="n"/>
      <c r="G1231" s="20" t="n"/>
      <c r="H1231" s="8" t="n"/>
      <c r="I1231" s="20" t="n"/>
      <c r="J1231" s="21">
        <f>IF(B1231="","",F1231+G1231)</f>
        <v/>
      </c>
      <c r="K1231" s="21">
        <f>IF(B1231="","",J1231*(Settings!$C$11+Settings!$C$12+Settings!$C$14)+IF(C1231="",Settings!$C$13,IF(COUNTIF($C$5:C1231,C1231)=1,Settings!$C$13,0))+E1231*Settings!$C$15+IF(H1231="Yes",J1231*Settings!$C$16,0))</f>
        <v/>
      </c>
      <c r="L1231" s="21">
        <f>IF(B1231="","",IF(Settings!$C$5="Yes",0,K1231*Settings!$C$17))</f>
        <v/>
      </c>
      <c r="M1231" s="21">
        <f>IF(B1231="","",E1231*IFERROR(VLOOKUP(D1231,Products!$B$5:$F$204,5,FALSE),0))</f>
        <v/>
      </c>
      <c r="N1231" s="21">
        <f>IF(B1231="","",J1231-K1231-L1231-M1231-I1231)</f>
        <v/>
      </c>
    </row>
    <row r="1232">
      <c r="B1232" s="11" t="n"/>
      <c r="C1232" s="8" t="n"/>
      <c r="D1232" s="8" t="n"/>
      <c r="E1232" s="8" t="n"/>
      <c r="F1232" s="20" t="n"/>
      <c r="G1232" s="20" t="n"/>
      <c r="H1232" s="8" t="n"/>
      <c r="I1232" s="20" t="n"/>
      <c r="J1232" s="21">
        <f>IF(B1232="","",F1232+G1232)</f>
        <v/>
      </c>
      <c r="K1232" s="21">
        <f>IF(B1232="","",J1232*(Settings!$C$11+Settings!$C$12+Settings!$C$14)+IF(C1232="",Settings!$C$13,IF(COUNTIF($C$5:C1232,C1232)=1,Settings!$C$13,0))+E1232*Settings!$C$15+IF(H1232="Yes",J1232*Settings!$C$16,0))</f>
        <v/>
      </c>
      <c r="L1232" s="21">
        <f>IF(B1232="","",IF(Settings!$C$5="Yes",0,K1232*Settings!$C$17))</f>
        <v/>
      </c>
      <c r="M1232" s="21">
        <f>IF(B1232="","",E1232*IFERROR(VLOOKUP(D1232,Products!$B$5:$F$204,5,FALSE),0))</f>
        <v/>
      </c>
      <c r="N1232" s="21">
        <f>IF(B1232="","",J1232-K1232-L1232-M1232-I1232)</f>
        <v/>
      </c>
    </row>
    <row r="1233">
      <c r="B1233" s="11" t="n"/>
      <c r="C1233" s="8" t="n"/>
      <c r="D1233" s="8" t="n"/>
      <c r="E1233" s="8" t="n"/>
      <c r="F1233" s="20" t="n"/>
      <c r="G1233" s="20" t="n"/>
      <c r="H1233" s="8" t="n"/>
      <c r="I1233" s="20" t="n"/>
      <c r="J1233" s="21">
        <f>IF(B1233="","",F1233+G1233)</f>
        <v/>
      </c>
      <c r="K1233" s="21">
        <f>IF(B1233="","",J1233*(Settings!$C$11+Settings!$C$12+Settings!$C$14)+IF(C1233="",Settings!$C$13,IF(COUNTIF($C$5:C1233,C1233)=1,Settings!$C$13,0))+E1233*Settings!$C$15+IF(H1233="Yes",J1233*Settings!$C$16,0))</f>
        <v/>
      </c>
      <c r="L1233" s="21">
        <f>IF(B1233="","",IF(Settings!$C$5="Yes",0,K1233*Settings!$C$17))</f>
        <v/>
      </c>
      <c r="M1233" s="21">
        <f>IF(B1233="","",E1233*IFERROR(VLOOKUP(D1233,Products!$B$5:$F$204,5,FALSE),0))</f>
        <v/>
      </c>
      <c r="N1233" s="21">
        <f>IF(B1233="","",J1233-K1233-L1233-M1233-I1233)</f>
        <v/>
      </c>
    </row>
    <row r="1234">
      <c r="B1234" s="11" t="n"/>
      <c r="C1234" s="8" t="n"/>
      <c r="D1234" s="8" t="n"/>
      <c r="E1234" s="8" t="n"/>
      <c r="F1234" s="20" t="n"/>
      <c r="G1234" s="20" t="n"/>
      <c r="H1234" s="8" t="n"/>
      <c r="I1234" s="20" t="n"/>
      <c r="J1234" s="21">
        <f>IF(B1234="","",F1234+G1234)</f>
        <v/>
      </c>
      <c r="K1234" s="21">
        <f>IF(B1234="","",J1234*(Settings!$C$11+Settings!$C$12+Settings!$C$14)+IF(C1234="",Settings!$C$13,IF(COUNTIF($C$5:C1234,C1234)=1,Settings!$C$13,0))+E1234*Settings!$C$15+IF(H1234="Yes",J1234*Settings!$C$16,0))</f>
        <v/>
      </c>
      <c r="L1234" s="21">
        <f>IF(B1234="","",IF(Settings!$C$5="Yes",0,K1234*Settings!$C$17))</f>
        <v/>
      </c>
      <c r="M1234" s="21">
        <f>IF(B1234="","",E1234*IFERROR(VLOOKUP(D1234,Products!$B$5:$F$204,5,FALSE),0))</f>
        <v/>
      </c>
      <c r="N1234" s="21">
        <f>IF(B1234="","",J1234-K1234-L1234-M1234-I1234)</f>
        <v/>
      </c>
    </row>
    <row r="1235">
      <c r="B1235" s="11" t="n"/>
      <c r="C1235" s="8" t="n"/>
      <c r="D1235" s="8" t="n"/>
      <c r="E1235" s="8" t="n"/>
      <c r="F1235" s="20" t="n"/>
      <c r="G1235" s="20" t="n"/>
      <c r="H1235" s="8" t="n"/>
      <c r="I1235" s="20" t="n"/>
      <c r="J1235" s="21">
        <f>IF(B1235="","",F1235+G1235)</f>
        <v/>
      </c>
      <c r="K1235" s="21">
        <f>IF(B1235="","",J1235*(Settings!$C$11+Settings!$C$12+Settings!$C$14)+IF(C1235="",Settings!$C$13,IF(COUNTIF($C$5:C1235,C1235)=1,Settings!$C$13,0))+E1235*Settings!$C$15+IF(H1235="Yes",J1235*Settings!$C$16,0))</f>
        <v/>
      </c>
      <c r="L1235" s="21">
        <f>IF(B1235="","",IF(Settings!$C$5="Yes",0,K1235*Settings!$C$17))</f>
        <v/>
      </c>
      <c r="M1235" s="21">
        <f>IF(B1235="","",E1235*IFERROR(VLOOKUP(D1235,Products!$B$5:$F$204,5,FALSE),0))</f>
        <v/>
      </c>
      <c r="N1235" s="21">
        <f>IF(B1235="","",J1235-K1235-L1235-M1235-I1235)</f>
        <v/>
      </c>
    </row>
    <row r="1236">
      <c r="B1236" s="11" t="n"/>
      <c r="C1236" s="8" t="n"/>
      <c r="D1236" s="8" t="n"/>
      <c r="E1236" s="8" t="n"/>
      <c r="F1236" s="20" t="n"/>
      <c r="G1236" s="20" t="n"/>
      <c r="H1236" s="8" t="n"/>
      <c r="I1236" s="20" t="n"/>
      <c r="J1236" s="21">
        <f>IF(B1236="","",F1236+G1236)</f>
        <v/>
      </c>
      <c r="K1236" s="21">
        <f>IF(B1236="","",J1236*(Settings!$C$11+Settings!$C$12+Settings!$C$14)+IF(C1236="",Settings!$C$13,IF(COUNTIF($C$5:C1236,C1236)=1,Settings!$C$13,0))+E1236*Settings!$C$15+IF(H1236="Yes",J1236*Settings!$C$16,0))</f>
        <v/>
      </c>
      <c r="L1236" s="21">
        <f>IF(B1236="","",IF(Settings!$C$5="Yes",0,K1236*Settings!$C$17))</f>
        <v/>
      </c>
      <c r="M1236" s="21">
        <f>IF(B1236="","",E1236*IFERROR(VLOOKUP(D1236,Products!$B$5:$F$204,5,FALSE),0))</f>
        <v/>
      </c>
      <c r="N1236" s="21">
        <f>IF(B1236="","",J1236-K1236-L1236-M1236-I1236)</f>
        <v/>
      </c>
    </row>
    <row r="1237">
      <c r="B1237" s="11" t="n"/>
      <c r="C1237" s="8" t="n"/>
      <c r="D1237" s="8" t="n"/>
      <c r="E1237" s="8" t="n"/>
      <c r="F1237" s="20" t="n"/>
      <c r="G1237" s="20" t="n"/>
      <c r="H1237" s="8" t="n"/>
      <c r="I1237" s="20" t="n"/>
      <c r="J1237" s="21">
        <f>IF(B1237="","",F1237+G1237)</f>
        <v/>
      </c>
      <c r="K1237" s="21">
        <f>IF(B1237="","",J1237*(Settings!$C$11+Settings!$C$12+Settings!$C$14)+IF(C1237="",Settings!$C$13,IF(COUNTIF($C$5:C1237,C1237)=1,Settings!$C$13,0))+E1237*Settings!$C$15+IF(H1237="Yes",J1237*Settings!$C$16,0))</f>
        <v/>
      </c>
      <c r="L1237" s="21">
        <f>IF(B1237="","",IF(Settings!$C$5="Yes",0,K1237*Settings!$C$17))</f>
        <v/>
      </c>
      <c r="M1237" s="21">
        <f>IF(B1237="","",E1237*IFERROR(VLOOKUP(D1237,Products!$B$5:$F$204,5,FALSE),0))</f>
        <v/>
      </c>
      <c r="N1237" s="21">
        <f>IF(B1237="","",J1237-K1237-L1237-M1237-I1237)</f>
        <v/>
      </c>
    </row>
    <row r="1238">
      <c r="B1238" s="11" t="n"/>
      <c r="C1238" s="8" t="n"/>
      <c r="D1238" s="8" t="n"/>
      <c r="E1238" s="8" t="n"/>
      <c r="F1238" s="20" t="n"/>
      <c r="G1238" s="20" t="n"/>
      <c r="H1238" s="8" t="n"/>
      <c r="I1238" s="20" t="n"/>
      <c r="J1238" s="21">
        <f>IF(B1238="","",F1238+G1238)</f>
        <v/>
      </c>
      <c r="K1238" s="21">
        <f>IF(B1238="","",J1238*(Settings!$C$11+Settings!$C$12+Settings!$C$14)+IF(C1238="",Settings!$C$13,IF(COUNTIF($C$5:C1238,C1238)=1,Settings!$C$13,0))+E1238*Settings!$C$15+IF(H1238="Yes",J1238*Settings!$C$16,0))</f>
        <v/>
      </c>
      <c r="L1238" s="21">
        <f>IF(B1238="","",IF(Settings!$C$5="Yes",0,K1238*Settings!$C$17))</f>
        <v/>
      </c>
      <c r="M1238" s="21">
        <f>IF(B1238="","",E1238*IFERROR(VLOOKUP(D1238,Products!$B$5:$F$204,5,FALSE),0))</f>
        <v/>
      </c>
      <c r="N1238" s="21">
        <f>IF(B1238="","",J1238-K1238-L1238-M1238-I1238)</f>
        <v/>
      </c>
    </row>
    <row r="1239">
      <c r="B1239" s="11" t="n"/>
      <c r="C1239" s="8" t="n"/>
      <c r="D1239" s="8" t="n"/>
      <c r="E1239" s="8" t="n"/>
      <c r="F1239" s="20" t="n"/>
      <c r="G1239" s="20" t="n"/>
      <c r="H1239" s="8" t="n"/>
      <c r="I1239" s="20" t="n"/>
      <c r="J1239" s="21">
        <f>IF(B1239="","",F1239+G1239)</f>
        <v/>
      </c>
      <c r="K1239" s="21">
        <f>IF(B1239="","",J1239*(Settings!$C$11+Settings!$C$12+Settings!$C$14)+IF(C1239="",Settings!$C$13,IF(COUNTIF($C$5:C1239,C1239)=1,Settings!$C$13,0))+E1239*Settings!$C$15+IF(H1239="Yes",J1239*Settings!$C$16,0))</f>
        <v/>
      </c>
      <c r="L1239" s="21">
        <f>IF(B1239="","",IF(Settings!$C$5="Yes",0,K1239*Settings!$C$17))</f>
        <v/>
      </c>
      <c r="M1239" s="21">
        <f>IF(B1239="","",E1239*IFERROR(VLOOKUP(D1239,Products!$B$5:$F$204,5,FALSE),0))</f>
        <v/>
      </c>
      <c r="N1239" s="21">
        <f>IF(B1239="","",J1239-K1239-L1239-M1239-I1239)</f>
        <v/>
      </c>
    </row>
    <row r="1240">
      <c r="B1240" s="11" t="n"/>
      <c r="C1240" s="8" t="n"/>
      <c r="D1240" s="8" t="n"/>
      <c r="E1240" s="8" t="n"/>
      <c r="F1240" s="20" t="n"/>
      <c r="G1240" s="20" t="n"/>
      <c r="H1240" s="8" t="n"/>
      <c r="I1240" s="20" t="n"/>
      <c r="J1240" s="21">
        <f>IF(B1240="","",F1240+G1240)</f>
        <v/>
      </c>
      <c r="K1240" s="21">
        <f>IF(B1240="","",J1240*(Settings!$C$11+Settings!$C$12+Settings!$C$14)+IF(C1240="",Settings!$C$13,IF(COUNTIF($C$5:C1240,C1240)=1,Settings!$C$13,0))+E1240*Settings!$C$15+IF(H1240="Yes",J1240*Settings!$C$16,0))</f>
        <v/>
      </c>
      <c r="L1240" s="21">
        <f>IF(B1240="","",IF(Settings!$C$5="Yes",0,K1240*Settings!$C$17))</f>
        <v/>
      </c>
      <c r="M1240" s="21">
        <f>IF(B1240="","",E1240*IFERROR(VLOOKUP(D1240,Products!$B$5:$F$204,5,FALSE),0))</f>
        <v/>
      </c>
      <c r="N1240" s="21">
        <f>IF(B1240="","",J1240-K1240-L1240-M1240-I1240)</f>
        <v/>
      </c>
    </row>
    <row r="1241">
      <c r="B1241" s="11" t="n"/>
      <c r="C1241" s="8" t="n"/>
      <c r="D1241" s="8" t="n"/>
      <c r="E1241" s="8" t="n"/>
      <c r="F1241" s="20" t="n"/>
      <c r="G1241" s="20" t="n"/>
      <c r="H1241" s="8" t="n"/>
      <c r="I1241" s="20" t="n"/>
      <c r="J1241" s="21">
        <f>IF(B1241="","",F1241+G1241)</f>
        <v/>
      </c>
      <c r="K1241" s="21">
        <f>IF(B1241="","",J1241*(Settings!$C$11+Settings!$C$12+Settings!$C$14)+IF(C1241="",Settings!$C$13,IF(COUNTIF($C$5:C1241,C1241)=1,Settings!$C$13,0))+E1241*Settings!$C$15+IF(H1241="Yes",J1241*Settings!$C$16,0))</f>
        <v/>
      </c>
      <c r="L1241" s="21">
        <f>IF(B1241="","",IF(Settings!$C$5="Yes",0,K1241*Settings!$C$17))</f>
        <v/>
      </c>
      <c r="M1241" s="21">
        <f>IF(B1241="","",E1241*IFERROR(VLOOKUP(D1241,Products!$B$5:$F$204,5,FALSE),0))</f>
        <v/>
      </c>
      <c r="N1241" s="21">
        <f>IF(B1241="","",J1241-K1241-L1241-M1241-I1241)</f>
        <v/>
      </c>
    </row>
    <row r="1242">
      <c r="B1242" s="11" t="n"/>
      <c r="C1242" s="8" t="n"/>
      <c r="D1242" s="8" t="n"/>
      <c r="E1242" s="8" t="n"/>
      <c r="F1242" s="20" t="n"/>
      <c r="G1242" s="20" t="n"/>
      <c r="H1242" s="8" t="n"/>
      <c r="I1242" s="20" t="n"/>
      <c r="J1242" s="21">
        <f>IF(B1242="","",F1242+G1242)</f>
        <v/>
      </c>
      <c r="K1242" s="21">
        <f>IF(B1242="","",J1242*(Settings!$C$11+Settings!$C$12+Settings!$C$14)+IF(C1242="",Settings!$C$13,IF(COUNTIF($C$5:C1242,C1242)=1,Settings!$C$13,0))+E1242*Settings!$C$15+IF(H1242="Yes",J1242*Settings!$C$16,0))</f>
        <v/>
      </c>
      <c r="L1242" s="21">
        <f>IF(B1242="","",IF(Settings!$C$5="Yes",0,K1242*Settings!$C$17))</f>
        <v/>
      </c>
      <c r="M1242" s="21">
        <f>IF(B1242="","",E1242*IFERROR(VLOOKUP(D1242,Products!$B$5:$F$204,5,FALSE),0))</f>
        <v/>
      </c>
      <c r="N1242" s="21">
        <f>IF(B1242="","",J1242-K1242-L1242-M1242-I1242)</f>
        <v/>
      </c>
    </row>
    <row r="1243">
      <c r="B1243" s="11" t="n"/>
      <c r="C1243" s="8" t="n"/>
      <c r="D1243" s="8" t="n"/>
      <c r="E1243" s="8" t="n"/>
      <c r="F1243" s="20" t="n"/>
      <c r="G1243" s="20" t="n"/>
      <c r="H1243" s="8" t="n"/>
      <c r="I1243" s="20" t="n"/>
      <c r="J1243" s="21">
        <f>IF(B1243="","",F1243+G1243)</f>
        <v/>
      </c>
      <c r="K1243" s="21">
        <f>IF(B1243="","",J1243*(Settings!$C$11+Settings!$C$12+Settings!$C$14)+IF(C1243="",Settings!$C$13,IF(COUNTIF($C$5:C1243,C1243)=1,Settings!$C$13,0))+E1243*Settings!$C$15+IF(H1243="Yes",J1243*Settings!$C$16,0))</f>
        <v/>
      </c>
      <c r="L1243" s="21">
        <f>IF(B1243="","",IF(Settings!$C$5="Yes",0,K1243*Settings!$C$17))</f>
        <v/>
      </c>
      <c r="M1243" s="21">
        <f>IF(B1243="","",E1243*IFERROR(VLOOKUP(D1243,Products!$B$5:$F$204,5,FALSE),0))</f>
        <v/>
      </c>
      <c r="N1243" s="21">
        <f>IF(B1243="","",J1243-K1243-L1243-M1243-I1243)</f>
        <v/>
      </c>
    </row>
    <row r="1244">
      <c r="B1244" s="11" t="n"/>
      <c r="C1244" s="8" t="n"/>
      <c r="D1244" s="8" t="n"/>
      <c r="E1244" s="8" t="n"/>
      <c r="F1244" s="20" t="n"/>
      <c r="G1244" s="20" t="n"/>
      <c r="H1244" s="8" t="n"/>
      <c r="I1244" s="20" t="n"/>
      <c r="J1244" s="21">
        <f>IF(B1244="","",F1244+G1244)</f>
        <v/>
      </c>
      <c r="K1244" s="21">
        <f>IF(B1244="","",J1244*(Settings!$C$11+Settings!$C$12+Settings!$C$14)+IF(C1244="",Settings!$C$13,IF(COUNTIF($C$5:C1244,C1244)=1,Settings!$C$13,0))+E1244*Settings!$C$15+IF(H1244="Yes",J1244*Settings!$C$16,0))</f>
        <v/>
      </c>
      <c r="L1244" s="21">
        <f>IF(B1244="","",IF(Settings!$C$5="Yes",0,K1244*Settings!$C$17))</f>
        <v/>
      </c>
      <c r="M1244" s="21">
        <f>IF(B1244="","",E1244*IFERROR(VLOOKUP(D1244,Products!$B$5:$F$204,5,FALSE),0))</f>
        <v/>
      </c>
      <c r="N1244" s="21">
        <f>IF(B1244="","",J1244-K1244-L1244-M1244-I1244)</f>
        <v/>
      </c>
    </row>
    <row r="1245">
      <c r="B1245" s="11" t="n"/>
      <c r="C1245" s="8" t="n"/>
      <c r="D1245" s="8" t="n"/>
      <c r="E1245" s="8" t="n"/>
      <c r="F1245" s="20" t="n"/>
      <c r="G1245" s="20" t="n"/>
      <c r="H1245" s="8" t="n"/>
      <c r="I1245" s="20" t="n"/>
      <c r="J1245" s="21">
        <f>IF(B1245="","",F1245+G1245)</f>
        <v/>
      </c>
      <c r="K1245" s="21">
        <f>IF(B1245="","",J1245*(Settings!$C$11+Settings!$C$12+Settings!$C$14)+IF(C1245="",Settings!$C$13,IF(COUNTIF($C$5:C1245,C1245)=1,Settings!$C$13,0))+E1245*Settings!$C$15+IF(H1245="Yes",J1245*Settings!$C$16,0))</f>
        <v/>
      </c>
      <c r="L1245" s="21">
        <f>IF(B1245="","",IF(Settings!$C$5="Yes",0,K1245*Settings!$C$17))</f>
        <v/>
      </c>
      <c r="M1245" s="21">
        <f>IF(B1245="","",E1245*IFERROR(VLOOKUP(D1245,Products!$B$5:$F$204,5,FALSE),0))</f>
        <v/>
      </c>
      <c r="N1245" s="21">
        <f>IF(B1245="","",J1245-K1245-L1245-M1245-I1245)</f>
        <v/>
      </c>
    </row>
    <row r="1246">
      <c r="B1246" s="11" t="n"/>
      <c r="C1246" s="8" t="n"/>
      <c r="D1246" s="8" t="n"/>
      <c r="E1246" s="8" t="n"/>
      <c r="F1246" s="20" t="n"/>
      <c r="G1246" s="20" t="n"/>
      <c r="H1246" s="8" t="n"/>
      <c r="I1246" s="20" t="n"/>
      <c r="J1246" s="21">
        <f>IF(B1246="","",F1246+G1246)</f>
        <v/>
      </c>
      <c r="K1246" s="21">
        <f>IF(B1246="","",J1246*(Settings!$C$11+Settings!$C$12+Settings!$C$14)+IF(C1246="",Settings!$C$13,IF(COUNTIF($C$5:C1246,C1246)=1,Settings!$C$13,0))+E1246*Settings!$C$15+IF(H1246="Yes",J1246*Settings!$C$16,0))</f>
        <v/>
      </c>
      <c r="L1246" s="21">
        <f>IF(B1246="","",IF(Settings!$C$5="Yes",0,K1246*Settings!$C$17))</f>
        <v/>
      </c>
      <c r="M1246" s="21">
        <f>IF(B1246="","",E1246*IFERROR(VLOOKUP(D1246,Products!$B$5:$F$204,5,FALSE),0))</f>
        <v/>
      </c>
      <c r="N1246" s="21">
        <f>IF(B1246="","",J1246-K1246-L1246-M1246-I1246)</f>
        <v/>
      </c>
    </row>
    <row r="1247">
      <c r="B1247" s="11" t="n"/>
      <c r="C1247" s="8" t="n"/>
      <c r="D1247" s="8" t="n"/>
      <c r="E1247" s="8" t="n"/>
      <c r="F1247" s="20" t="n"/>
      <c r="G1247" s="20" t="n"/>
      <c r="H1247" s="8" t="n"/>
      <c r="I1247" s="20" t="n"/>
      <c r="J1247" s="21">
        <f>IF(B1247="","",F1247+G1247)</f>
        <v/>
      </c>
      <c r="K1247" s="21">
        <f>IF(B1247="","",J1247*(Settings!$C$11+Settings!$C$12+Settings!$C$14)+IF(C1247="",Settings!$C$13,IF(COUNTIF($C$5:C1247,C1247)=1,Settings!$C$13,0))+E1247*Settings!$C$15+IF(H1247="Yes",J1247*Settings!$C$16,0))</f>
        <v/>
      </c>
      <c r="L1247" s="21">
        <f>IF(B1247="","",IF(Settings!$C$5="Yes",0,K1247*Settings!$C$17))</f>
        <v/>
      </c>
      <c r="M1247" s="21">
        <f>IF(B1247="","",E1247*IFERROR(VLOOKUP(D1247,Products!$B$5:$F$204,5,FALSE),0))</f>
        <v/>
      </c>
      <c r="N1247" s="21">
        <f>IF(B1247="","",J1247-K1247-L1247-M1247-I1247)</f>
        <v/>
      </c>
    </row>
    <row r="1248">
      <c r="B1248" s="11" t="n"/>
      <c r="C1248" s="8" t="n"/>
      <c r="D1248" s="8" t="n"/>
      <c r="E1248" s="8" t="n"/>
      <c r="F1248" s="20" t="n"/>
      <c r="G1248" s="20" t="n"/>
      <c r="H1248" s="8" t="n"/>
      <c r="I1248" s="20" t="n"/>
      <c r="J1248" s="21">
        <f>IF(B1248="","",F1248+G1248)</f>
        <v/>
      </c>
      <c r="K1248" s="21">
        <f>IF(B1248="","",J1248*(Settings!$C$11+Settings!$C$12+Settings!$C$14)+IF(C1248="",Settings!$C$13,IF(COUNTIF($C$5:C1248,C1248)=1,Settings!$C$13,0))+E1248*Settings!$C$15+IF(H1248="Yes",J1248*Settings!$C$16,0))</f>
        <v/>
      </c>
      <c r="L1248" s="21">
        <f>IF(B1248="","",IF(Settings!$C$5="Yes",0,K1248*Settings!$C$17))</f>
        <v/>
      </c>
      <c r="M1248" s="21">
        <f>IF(B1248="","",E1248*IFERROR(VLOOKUP(D1248,Products!$B$5:$F$204,5,FALSE),0))</f>
        <v/>
      </c>
      <c r="N1248" s="21">
        <f>IF(B1248="","",J1248-K1248-L1248-M1248-I1248)</f>
        <v/>
      </c>
    </row>
    <row r="1249">
      <c r="B1249" s="11" t="n"/>
      <c r="C1249" s="8" t="n"/>
      <c r="D1249" s="8" t="n"/>
      <c r="E1249" s="8" t="n"/>
      <c r="F1249" s="20" t="n"/>
      <c r="G1249" s="20" t="n"/>
      <c r="H1249" s="8" t="n"/>
      <c r="I1249" s="20" t="n"/>
      <c r="J1249" s="21">
        <f>IF(B1249="","",F1249+G1249)</f>
        <v/>
      </c>
      <c r="K1249" s="21">
        <f>IF(B1249="","",J1249*(Settings!$C$11+Settings!$C$12+Settings!$C$14)+IF(C1249="",Settings!$C$13,IF(COUNTIF($C$5:C1249,C1249)=1,Settings!$C$13,0))+E1249*Settings!$C$15+IF(H1249="Yes",J1249*Settings!$C$16,0))</f>
        <v/>
      </c>
      <c r="L1249" s="21">
        <f>IF(B1249="","",IF(Settings!$C$5="Yes",0,K1249*Settings!$C$17))</f>
        <v/>
      </c>
      <c r="M1249" s="21">
        <f>IF(B1249="","",E1249*IFERROR(VLOOKUP(D1249,Products!$B$5:$F$204,5,FALSE),0))</f>
        <v/>
      </c>
      <c r="N1249" s="21">
        <f>IF(B1249="","",J1249-K1249-L1249-M1249-I1249)</f>
        <v/>
      </c>
    </row>
    <row r="1250">
      <c r="B1250" s="11" t="n"/>
      <c r="C1250" s="8" t="n"/>
      <c r="D1250" s="8" t="n"/>
      <c r="E1250" s="8" t="n"/>
      <c r="F1250" s="20" t="n"/>
      <c r="G1250" s="20" t="n"/>
      <c r="H1250" s="8" t="n"/>
      <c r="I1250" s="20" t="n"/>
      <c r="J1250" s="21">
        <f>IF(B1250="","",F1250+G1250)</f>
        <v/>
      </c>
      <c r="K1250" s="21">
        <f>IF(B1250="","",J1250*(Settings!$C$11+Settings!$C$12+Settings!$C$14)+IF(C1250="",Settings!$C$13,IF(COUNTIF($C$5:C1250,C1250)=1,Settings!$C$13,0))+E1250*Settings!$C$15+IF(H1250="Yes",J1250*Settings!$C$16,0))</f>
        <v/>
      </c>
      <c r="L1250" s="21">
        <f>IF(B1250="","",IF(Settings!$C$5="Yes",0,K1250*Settings!$C$17))</f>
        <v/>
      </c>
      <c r="M1250" s="21">
        <f>IF(B1250="","",E1250*IFERROR(VLOOKUP(D1250,Products!$B$5:$F$204,5,FALSE),0))</f>
        <v/>
      </c>
      <c r="N1250" s="21">
        <f>IF(B1250="","",J1250-K1250-L1250-M1250-I1250)</f>
        <v/>
      </c>
    </row>
    <row r="1251">
      <c r="B1251" s="11" t="n"/>
      <c r="C1251" s="8" t="n"/>
      <c r="D1251" s="8" t="n"/>
      <c r="E1251" s="8" t="n"/>
      <c r="F1251" s="20" t="n"/>
      <c r="G1251" s="20" t="n"/>
      <c r="H1251" s="8" t="n"/>
      <c r="I1251" s="20" t="n"/>
      <c r="J1251" s="21">
        <f>IF(B1251="","",F1251+G1251)</f>
        <v/>
      </c>
      <c r="K1251" s="21">
        <f>IF(B1251="","",J1251*(Settings!$C$11+Settings!$C$12+Settings!$C$14)+IF(C1251="",Settings!$C$13,IF(COUNTIF($C$5:C1251,C1251)=1,Settings!$C$13,0))+E1251*Settings!$C$15+IF(H1251="Yes",J1251*Settings!$C$16,0))</f>
        <v/>
      </c>
      <c r="L1251" s="21">
        <f>IF(B1251="","",IF(Settings!$C$5="Yes",0,K1251*Settings!$C$17))</f>
        <v/>
      </c>
      <c r="M1251" s="21">
        <f>IF(B1251="","",E1251*IFERROR(VLOOKUP(D1251,Products!$B$5:$F$204,5,FALSE),0))</f>
        <v/>
      </c>
      <c r="N1251" s="21">
        <f>IF(B1251="","",J1251-K1251-L1251-M1251-I1251)</f>
        <v/>
      </c>
    </row>
    <row r="1252">
      <c r="B1252" s="11" t="n"/>
      <c r="C1252" s="8" t="n"/>
      <c r="D1252" s="8" t="n"/>
      <c r="E1252" s="8" t="n"/>
      <c r="F1252" s="20" t="n"/>
      <c r="G1252" s="20" t="n"/>
      <c r="H1252" s="8" t="n"/>
      <c r="I1252" s="20" t="n"/>
      <c r="J1252" s="21">
        <f>IF(B1252="","",F1252+G1252)</f>
        <v/>
      </c>
      <c r="K1252" s="21">
        <f>IF(B1252="","",J1252*(Settings!$C$11+Settings!$C$12+Settings!$C$14)+IF(C1252="",Settings!$C$13,IF(COUNTIF($C$5:C1252,C1252)=1,Settings!$C$13,0))+E1252*Settings!$C$15+IF(H1252="Yes",J1252*Settings!$C$16,0))</f>
        <v/>
      </c>
      <c r="L1252" s="21">
        <f>IF(B1252="","",IF(Settings!$C$5="Yes",0,K1252*Settings!$C$17))</f>
        <v/>
      </c>
      <c r="M1252" s="21">
        <f>IF(B1252="","",E1252*IFERROR(VLOOKUP(D1252,Products!$B$5:$F$204,5,FALSE),0))</f>
        <v/>
      </c>
      <c r="N1252" s="21">
        <f>IF(B1252="","",J1252-K1252-L1252-M1252-I1252)</f>
        <v/>
      </c>
    </row>
    <row r="1253">
      <c r="B1253" s="11" t="n"/>
      <c r="C1253" s="8" t="n"/>
      <c r="D1253" s="8" t="n"/>
      <c r="E1253" s="8" t="n"/>
      <c r="F1253" s="20" t="n"/>
      <c r="G1253" s="20" t="n"/>
      <c r="H1253" s="8" t="n"/>
      <c r="I1253" s="20" t="n"/>
      <c r="J1253" s="21">
        <f>IF(B1253="","",F1253+G1253)</f>
        <v/>
      </c>
      <c r="K1253" s="21">
        <f>IF(B1253="","",J1253*(Settings!$C$11+Settings!$C$12+Settings!$C$14)+IF(C1253="",Settings!$C$13,IF(COUNTIF($C$5:C1253,C1253)=1,Settings!$C$13,0))+E1253*Settings!$C$15+IF(H1253="Yes",J1253*Settings!$C$16,0))</f>
        <v/>
      </c>
      <c r="L1253" s="21">
        <f>IF(B1253="","",IF(Settings!$C$5="Yes",0,K1253*Settings!$C$17))</f>
        <v/>
      </c>
      <c r="M1253" s="21">
        <f>IF(B1253="","",E1253*IFERROR(VLOOKUP(D1253,Products!$B$5:$F$204,5,FALSE),0))</f>
        <v/>
      </c>
      <c r="N1253" s="21">
        <f>IF(B1253="","",J1253-K1253-L1253-M1253-I1253)</f>
        <v/>
      </c>
    </row>
    <row r="1254">
      <c r="B1254" s="11" t="n"/>
      <c r="C1254" s="8" t="n"/>
      <c r="D1254" s="8" t="n"/>
      <c r="E1254" s="8" t="n"/>
      <c r="F1254" s="20" t="n"/>
      <c r="G1254" s="20" t="n"/>
      <c r="H1254" s="8" t="n"/>
      <c r="I1254" s="20" t="n"/>
      <c r="J1254" s="21">
        <f>IF(B1254="","",F1254+G1254)</f>
        <v/>
      </c>
      <c r="K1254" s="21">
        <f>IF(B1254="","",J1254*(Settings!$C$11+Settings!$C$12+Settings!$C$14)+IF(C1254="",Settings!$C$13,IF(COUNTIF($C$5:C1254,C1254)=1,Settings!$C$13,0))+E1254*Settings!$C$15+IF(H1254="Yes",J1254*Settings!$C$16,0))</f>
        <v/>
      </c>
      <c r="L1254" s="21">
        <f>IF(B1254="","",IF(Settings!$C$5="Yes",0,K1254*Settings!$C$17))</f>
        <v/>
      </c>
      <c r="M1254" s="21">
        <f>IF(B1254="","",E1254*IFERROR(VLOOKUP(D1254,Products!$B$5:$F$204,5,FALSE),0))</f>
        <v/>
      </c>
      <c r="N1254" s="21">
        <f>IF(B1254="","",J1254-K1254-L1254-M1254-I1254)</f>
        <v/>
      </c>
    </row>
    <row r="1255">
      <c r="B1255" s="11" t="n"/>
      <c r="C1255" s="8" t="n"/>
      <c r="D1255" s="8" t="n"/>
      <c r="E1255" s="8" t="n"/>
      <c r="F1255" s="20" t="n"/>
      <c r="G1255" s="20" t="n"/>
      <c r="H1255" s="8" t="n"/>
      <c r="I1255" s="20" t="n"/>
      <c r="J1255" s="21">
        <f>IF(B1255="","",F1255+G1255)</f>
        <v/>
      </c>
      <c r="K1255" s="21">
        <f>IF(B1255="","",J1255*(Settings!$C$11+Settings!$C$12+Settings!$C$14)+IF(C1255="",Settings!$C$13,IF(COUNTIF($C$5:C1255,C1255)=1,Settings!$C$13,0))+E1255*Settings!$C$15+IF(H1255="Yes",J1255*Settings!$C$16,0))</f>
        <v/>
      </c>
      <c r="L1255" s="21">
        <f>IF(B1255="","",IF(Settings!$C$5="Yes",0,K1255*Settings!$C$17))</f>
        <v/>
      </c>
      <c r="M1255" s="21">
        <f>IF(B1255="","",E1255*IFERROR(VLOOKUP(D1255,Products!$B$5:$F$204,5,FALSE),0))</f>
        <v/>
      </c>
      <c r="N1255" s="21">
        <f>IF(B1255="","",J1255-K1255-L1255-M1255-I1255)</f>
        <v/>
      </c>
    </row>
    <row r="1256">
      <c r="B1256" s="11" t="n"/>
      <c r="C1256" s="8" t="n"/>
      <c r="D1256" s="8" t="n"/>
      <c r="E1256" s="8" t="n"/>
      <c r="F1256" s="20" t="n"/>
      <c r="G1256" s="20" t="n"/>
      <c r="H1256" s="8" t="n"/>
      <c r="I1256" s="20" t="n"/>
      <c r="J1256" s="21">
        <f>IF(B1256="","",F1256+G1256)</f>
        <v/>
      </c>
      <c r="K1256" s="21">
        <f>IF(B1256="","",J1256*(Settings!$C$11+Settings!$C$12+Settings!$C$14)+IF(C1256="",Settings!$C$13,IF(COUNTIF($C$5:C1256,C1256)=1,Settings!$C$13,0))+E1256*Settings!$C$15+IF(H1256="Yes",J1256*Settings!$C$16,0))</f>
        <v/>
      </c>
      <c r="L1256" s="21">
        <f>IF(B1256="","",IF(Settings!$C$5="Yes",0,K1256*Settings!$C$17))</f>
        <v/>
      </c>
      <c r="M1256" s="21">
        <f>IF(B1256="","",E1256*IFERROR(VLOOKUP(D1256,Products!$B$5:$F$204,5,FALSE),0))</f>
        <v/>
      </c>
      <c r="N1256" s="21">
        <f>IF(B1256="","",J1256-K1256-L1256-M1256-I1256)</f>
        <v/>
      </c>
    </row>
    <row r="1257">
      <c r="B1257" s="11" t="n"/>
      <c r="C1257" s="8" t="n"/>
      <c r="D1257" s="8" t="n"/>
      <c r="E1257" s="8" t="n"/>
      <c r="F1257" s="20" t="n"/>
      <c r="G1257" s="20" t="n"/>
      <c r="H1257" s="8" t="n"/>
      <c r="I1257" s="20" t="n"/>
      <c r="J1257" s="21">
        <f>IF(B1257="","",F1257+G1257)</f>
        <v/>
      </c>
      <c r="K1257" s="21">
        <f>IF(B1257="","",J1257*(Settings!$C$11+Settings!$C$12+Settings!$C$14)+IF(C1257="",Settings!$C$13,IF(COUNTIF($C$5:C1257,C1257)=1,Settings!$C$13,0))+E1257*Settings!$C$15+IF(H1257="Yes",J1257*Settings!$C$16,0))</f>
        <v/>
      </c>
      <c r="L1257" s="21">
        <f>IF(B1257="","",IF(Settings!$C$5="Yes",0,K1257*Settings!$C$17))</f>
        <v/>
      </c>
      <c r="M1257" s="21">
        <f>IF(B1257="","",E1257*IFERROR(VLOOKUP(D1257,Products!$B$5:$F$204,5,FALSE),0))</f>
        <v/>
      </c>
      <c r="N1257" s="21">
        <f>IF(B1257="","",J1257-K1257-L1257-M1257-I1257)</f>
        <v/>
      </c>
    </row>
    <row r="1258">
      <c r="B1258" s="11" t="n"/>
      <c r="C1258" s="8" t="n"/>
      <c r="D1258" s="8" t="n"/>
      <c r="E1258" s="8" t="n"/>
      <c r="F1258" s="20" t="n"/>
      <c r="G1258" s="20" t="n"/>
      <c r="H1258" s="8" t="n"/>
      <c r="I1258" s="20" t="n"/>
      <c r="J1258" s="21">
        <f>IF(B1258="","",F1258+G1258)</f>
        <v/>
      </c>
      <c r="K1258" s="21">
        <f>IF(B1258="","",J1258*(Settings!$C$11+Settings!$C$12+Settings!$C$14)+IF(C1258="",Settings!$C$13,IF(COUNTIF($C$5:C1258,C1258)=1,Settings!$C$13,0))+E1258*Settings!$C$15+IF(H1258="Yes",J1258*Settings!$C$16,0))</f>
        <v/>
      </c>
      <c r="L1258" s="21">
        <f>IF(B1258="","",IF(Settings!$C$5="Yes",0,K1258*Settings!$C$17))</f>
        <v/>
      </c>
      <c r="M1258" s="21">
        <f>IF(B1258="","",E1258*IFERROR(VLOOKUP(D1258,Products!$B$5:$F$204,5,FALSE),0))</f>
        <v/>
      </c>
      <c r="N1258" s="21">
        <f>IF(B1258="","",J1258-K1258-L1258-M1258-I1258)</f>
        <v/>
      </c>
    </row>
    <row r="1259">
      <c r="B1259" s="11" t="n"/>
      <c r="C1259" s="8" t="n"/>
      <c r="D1259" s="8" t="n"/>
      <c r="E1259" s="8" t="n"/>
      <c r="F1259" s="20" t="n"/>
      <c r="G1259" s="20" t="n"/>
      <c r="H1259" s="8" t="n"/>
      <c r="I1259" s="20" t="n"/>
      <c r="J1259" s="21">
        <f>IF(B1259="","",F1259+G1259)</f>
        <v/>
      </c>
      <c r="K1259" s="21">
        <f>IF(B1259="","",J1259*(Settings!$C$11+Settings!$C$12+Settings!$C$14)+IF(C1259="",Settings!$C$13,IF(COUNTIF($C$5:C1259,C1259)=1,Settings!$C$13,0))+E1259*Settings!$C$15+IF(H1259="Yes",J1259*Settings!$C$16,0))</f>
        <v/>
      </c>
      <c r="L1259" s="21">
        <f>IF(B1259="","",IF(Settings!$C$5="Yes",0,K1259*Settings!$C$17))</f>
        <v/>
      </c>
      <c r="M1259" s="21">
        <f>IF(B1259="","",E1259*IFERROR(VLOOKUP(D1259,Products!$B$5:$F$204,5,FALSE),0))</f>
        <v/>
      </c>
      <c r="N1259" s="21">
        <f>IF(B1259="","",J1259-K1259-L1259-M1259-I1259)</f>
        <v/>
      </c>
    </row>
    <row r="1260">
      <c r="B1260" s="11" t="n"/>
      <c r="C1260" s="8" t="n"/>
      <c r="D1260" s="8" t="n"/>
      <c r="E1260" s="8" t="n"/>
      <c r="F1260" s="20" t="n"/>
      <c r="G1260" s="20" t="n"/>
      <c r="H1260" s="8" t="n"/>
      <c r="I1260" s="20" t="n"/>
      <c r="J1260" s="21">
        <f>IF(B1260="","",F1260+G1260)</f>
        <v/>
      </c>
      <c r="K1260" s="21">
        <f>IF(B1260="","",J1260*(Settings!$C$11+Settings!$C$12+Settings!$C$14)+IF(C1260="",Settings!$C$13,IF(COUNTIF($C$5:C1260,C1260)=1,Settings!$C$13,0))+E1260*Settings!$C$15+IF(H1260="Yes",J1260*Settings!$C$16,0))</f>
        <v/>
      </c>
      <c r="L1260" s="21">
        <f>IF(B1260="","",IF(Settings!$C$5="Yes",0,K1260*Settings!$C$17))</f>
        <v/>
      </c>
      <c r="M1260" s="21">
        <f>IF(B1260="","",E1260*IFERROR(VLOOKUP(D1260,Products!$B$5:$F$204,5,FALSE),0))</f>
        <v/>
      </c>
      <c r="N1260" s="21">
        <f>IF(B1260="","",J1260-K1260-L1260-M1260-I1260)</f>
        <v/>
      </c>
    </row>
    <row r="1261">
      <c r="B1261" s="11" t="n"/>
      <c r="C1261" s="8" t="n"/>
      <c r="D1261" s="8" t="n"/>
      <c r="E1261" s="8" t="n"/>
      <c r="F1261" s="20" t="n"/>
      <c r="G1261" s="20" t="n"/>
      <c r="H1261" s="8" t="n"/>
      <c r="I1261" s="20" t="n"/>
      <c r="J1261" s="21">
        <f>IF(B1261="","",F1261+G1261)</f>
        <v/>
      </c>
      <c r="K1261" s="21">
        <f>IF(B1261="","",J1261*(Settings!$C$11+Settings!$C$12+Settings!$C$14)+IF(C1261="",Settings!$C$13,IF(COUNTIF($C$5:C1261,C1261)=1,Settings!$C$13,0))+E1261*Settings!$C$15+IF(H1261="Yes",J1261*Settings!$C$16,0))</f>
        <v/>
      </c>
      <c r="L1261" s="21">
        <f>IF(B1261="","",IF(Settings!$C$5="Yes",0,K1261*Settings!$C$17))</f>
        <v/>
      </c>
      <c r="M1261" s="21">
        <f>IF(B1261="","",E1261*IFERROR(VLOOKUP(D1261,Products!$B$5:$F$204,5,FALSE),0))</f>
        <v/>
      </c>
      <c r="N1261" s="21">
        <f>IF(B1261="","",J1261-K1261-L1261-M1261-I1261)</f>
        <v/>
      </c>
    </row>
    <row r="1262">
      <c r="B1262" s="11" t="n"/>
      <c r="C1262" s="8" t="n"/>
      <c r="D1262" s="8" t="n"/>
      <c r="E1262" s="8" t="n"/>
      <c r="F1262" s="20" t="n"/>
      <c r="G1262" s="20" t="n"/>
      <c r="H1262" s="8" t="n"/>
      <c r="I1262" s="20" t="n"/>
      <c r="J1262" s="21">
        <f>IF(B1262="","",F1262+G1262)</f>
        <v/>
      </c>
      <c r="K1262" s="21">
        <f>IF(B1262="","",J1262*(Settings!$C$11+Settings!$C$12+Settings!$C$14)+IF(C1262="",Settings!$C$13,IF(COUNTIF($C$5:C1262,C1262)=1,Settings!$C$13,0))+E1262*Settings!$C$15+IF(H1262="Yes",J1262*Settings!$C$16,0))</f>
        <v/>
      </c>
      <c r="L1262" s="21">
        <f>IF(B1262="","",IF(Settings!$C$5="Yes",0,K1262*Settings!$C$17))</f>
        <v/>
      </c>
      <c r="M1262" s="21">
        <f>IF(B1262="","",E1262*IFERROR(VLOOKUP(D1262,Products!$B$5:$F$204,5,FALSE),0))</f>
        <v/>
      </c>
      <c r="N1262" s="21">
        <f>IF(B1262="","",J1262-K1262-L1262-M1262-I1262)</f>
        <v/>
      </c>
    </row>
    <row r="1263">
      <c r="B1263" s="11" t="n"/>
      <c r="C1263" s="8" t="n"/>
      <c r="D1263" s="8" t="n"/>
      <c r="E1263" s="8" t="n"/>
      <c r="F1263" s="20" t="n"/>
      <c r="G1263" s="20" t="n"/>
      <c r="H1263" s="8" t="n"/>
      <c r="I1263" s="20" t="n"/>
      <c r="J1263" s="21">
        <f>IF(B1263="","",F1263+G1263)</f>
        <v/>
      </c>
      <c r="K1263" s="21">
        <f>IF(B1263="","",J1263*(Settings!$C$11+Settings!$C$12+Settings!$C$14)+IF(C1263="",Settings!$C$13,IF(COUNTIF($C$5:C1263,C1263)=1,Settings!$C$13,0))+E1263*Settings!$C$15+IF(H1263="Yes",J1263*Settings!$C$16,0))</f>
        <v/>
      </c>
      <c r="L1263" s="21">
        <f>IF(B1263="","",IF(Settings!$C$5="Yes",0,K1263*Settings!$C$17))</f>
        <v/>
      </c>
      <c r="M1263" s="21">
        <f>IF(B1263="","",E1263*IFERROR(VLOOKUP(D1263,Products!$B$5:$F$204,5,FALSE),0))</f>
        <v/>
      </c>
      <c r="N1263" s="21">
        <f>IF(B1263="","",J1263-K1263-L1263-M1263-I1263)</f>
        <v/>
      </c>
    </row>
    <row r="1264">
      <c r="B1264" s="11" t="n"/>
      <c r="C1264" s="8" t="n"/>
      <c r="D1264" s="8" t="n"/>
      <c r="E1264" s="8" t="n"/>
      <c r="F1264" s="20" t="n"/>
      <c r="G1264" s="20" t="n"/>
      <c r="H1264" s="8" t="n"/>
      <c r="I1264" s="20" t="n"/>
      <c r="J1264" s="21">
        <f>IF(B1264="","",F1264+G1264)</f>
        <v/>
      </c>
      <c r="K1264" s="21">
        <f>IF(B1264="","",J1264*(Settings!$C$11+Settings!$C$12+Settings!$C$14)+IF(C1264="",Settings!$C$13,IF(COUNTIF($C$5:C1264,C1264)=1,Settings!$C$13,0))+E1264*Settings!$C$15+IF(H1264="Yes",J1264*Settings!$C$16,0))</f>
        <v/>
      </c>
      <c r="L1264" s="21">
        <f>IF(B1264="","",IF(Settings!$C$5="Yes",0,K1264*Settings!$C$17))</f>
        <v/>
      </c>
      <c r="M1264" s="21">
        <f>IF(B1264="","",E1264*IFERROR(VLOOKUP(D1264,Products!$B$5:$F$204,5,FALSE),0))</f>
        <v/>
      </c>
      <c r="N1264" s="21">
        <f>IF(B1264="","",J1264-K1264-L1264-M1264-I1264)</f>
        <v/>
      </c>
    </row>
    <row r="1265">
      <c r="B1265" s="11" t="n"/>
      <c r="C1265" s="8" t="n"/>
      <c r="D1265" s="8" t="n"/>
      <c r="E1265" s="8" t="n"/>
      <c r="F1265" s="20" t="n"/>
      <c r="G1265" s="20" t="n"/>
      <c r="H1265" s="8" t="n"/>
      <c r="I1265" s="20" t="n"/>
      <c r="J1265" s="21">
        <f>IF(B1265="","",F1265+G1265)</f>
        <v/>
      </c>
      <c r="K1265" s="21">
        <f>IF(B1265="","",J1265*(Settings!$C$11+Settings!$C$12+Settings!$C$14)+IF(C1265="",Settings!$C$13,IF(COUNTIF($C$5:C1265,C1265)=1,Settings!$C$13,0))+E1265*Settings!$C$15+IF(H1265="Yes",J1265*Settings!$C$16,0))</f>
        <v/>
      </c>
      <c r="L1265" s="21">
        <f>IF(B1265="","",IF(Settings!$C$5="Yes",0,K1265*Settings!$C$17))</f>
        <v/>
      </c>
      <c r="M1265" s="21">
        <f>IF(B1265="","",E1265*IFERROR(VLOOKUP(D1265,Products!$B$5:$F$204,5,FALSE),0))</f>
        <v/>
      </c>
      <c r="N1265" s="21">
        <f>IF(B1265="","",J1265-K1265-L1265-M1265-I1265)</f>
        <v/>
      </c>
    </row>
    <row r="1266">
      <c r="B1266" s="11" t="n"/>
      <c r="C1266" s="8" t="n"/>
      <c r="D1266" s="8" t="n"/>
      <c r="E1266" s="8" t="n"/>
      <c r="F1266" s="20" t="n"/>
      <c r="G1266" s="20" t="n"/>
      <c r="H1266" s="8" t="n"/>
      <c r="I1266" s="20" t="n"/>
      <c r="J1266" s="21">
        <f>IF(B1266="","",F1266+G1266)</f>
        <v/>
      </c>
      <c r="K1266" s="21">
        <f>IF(B1266="","",J1266*(Settings!$C$11+Settings!$C$12+Settings!$C$14)+IF(C1266="",Settings!$C$13,IF(COUNTIF($C$5:C1266,C1266)=1,Settings!$C$13,0))+E1266*Settings!$C$15+IF(H1266="Yes",J1266*Settings!$C$16,0))</f>
        <v/>
      </c>
      <c r="L1266" s="21">
        <f>IF(B1266="","",IF(Settings!$C$5="Yes",0,K1266*Settings!$C$17))</f>
        <v/>
      </c>
      <c r="M1266" s="21">
        <f>IF(B1266="","",E1266*IFERROR(VLOOKUP(D1266,Products!$B$5:$F$204,5,FALSE),0))</f>
        <v/>
      </c>
      <c r="N1266" s="21">
        <f>IF(B1266="","",J1266-K1266-L1266-M1266-I1266)</f>
        <v/>
      </c>
    </row>
    <row r="1267">
      <c r="B1267" s="11" t="n"/>
      <c r="C1267" s="8" t="n"/>
      <c r="D1267" s="8" t="n"/>
      <c r="E1267" s="8" t="n"/>
      <c r="F1267" s="20" t="n"/>
      <c r="G1267" s="20" t="n"/>
      <c r="H1267" s="8" t="n"/>
      <c r="I1267" s="20" t="n"/>
      <c r="J1267" s="21">
        <f>IF(B1267="","",F1267+G1267)</f>
        <v/>
      </c>
      <c r="K1267" s="21">
        <f>IF(B1267="","",J1267*(Settings!$C$11+Settings!$C$12+Settings!$C$14)+IF(C1267="",Settings!$C$13,IF(COUNTIF($C$5:C1267,C1267)=1,Settings!$C$13,0))+E1267*Settings!$C$15+IF(H1267="Yes",J1267*Settings!$C$16,0))</f>
        <v/>
      </c>
      <c r="L1267" s="21">
        <f>IF(B1267="","",IF(Settings!$C$5="Yes",0,K1267*Settings!$C$17))</f>
        <v/>
      </c>
      <c r="M1267" s="21">
        <f>IF(B1267="","",E1267*IFERROR(VLOOKUP(D1267,Products!$B$5:$F$204,5,FALSE),0))</f>
        <v/>
      </c>
      <c r="N1267" s="21">
        <f>IF(B1267="","",J1267-K1267-L1267-M1267-I1267)</f>
        <v/>
      </c>
    </row>
    <row r="1268">
      <c r="B1268" s="11" t="n"/>
      <c r="C1268" s="8" t="n"/>
      <c r="D1268" s="8" t="n"/>
      <c r="E1268" s="8" t="n"/>
      <c r="F1268" s="20" t="n"/>
      <c r="G1268" s="20" t="n"/>
      <c r="H1268" s="8" t="n"/>
      <c r="I1268" s="20" t="n"/>
      <c r="J1268" s="21">
        <f>IF(B1268="","",F1268+G1268)</f>
        <v/>
      </c>
      <c r="K1268" s="21">
        <f>IF(B1268="","",J1268*(Settings!$C$11+Settings!$C$12+Settings!$C$14)+IF(C1268="",Settings!$C$13,IF(COUNTIF($C$5:C1268,C1268)=1,Settings!$C$13,0))+E1268*Settings!$C$15+IF(H1268="Yes",J1268*Settings!$C$16,0))</f>
        <v/>
      </c>
      <c r="L1268" s="21">
        <f>IF(B1268="","",IF(Settings!$C$5="Yes",0,K1268*Settings!$C$17))</f>
        <v/>
      </c>
      <c r="M1268" s="21">
        <f>IF(B1268="","",E1268*IFERROR(VLOOKUP(D1268,Products!$B$5:$F$204,5,FALSE),0))</f>
        <v/>
      </c>
      <c r="N1268" s="21">
        <f>IF(B1268="","",J1268-K1268-L1268-M1268-I1268)</f>
        <v/>
      </c>
    </row>
    <row r="1269">
      <c r="B1269" s="11" t="n"/>
      <c r="C1269" s="8" t="n"/>
      <c r="D1269" s="8" t="n"/>
      <c r="E1269" s="8" t="n"/>
      <c r="F1269" s="20" t="n"/>
      <c r="G1269" s="20" t="n"/>
      <c r="H1269" s="8" t="n"/>
      <c r="I1269" s="20" t="n"/>
      <c r="J1269" s="21">
        <f>IF(B1269="","",F1269+G1269)</f>
        <v/>
      </c>
      <c r="K1269" s="21">
        <f>IF(B1269="","",J1269*(Settings!$C$11+Settings!$C$12+Settings!$C$14)+IF(C1269="",Settings!$C$13,IF(COUNTIF($C$5:C1269,C1269)=1,Settings!$C$13,0))+E1269*Settings!$C$15+IF(H1269="Yes",J1269*Settings!$C$16,0))</f>
        <v/>
      </c>
      <c r="L1269" s="21">
        <f>IF(B1269="","",IF(Settings!$C$5="Yes",0,K1269*Settings!$C$17))</f>
        <v/>
      </c>
      <c r="M1269" s="21">
        <f>IF(B1269="","",E1269*IFERROR(VLOOKUP(D1269,Products!$B$5:$F$204,5,FALSE),0))</f>
        <v/>
      </c>
      <c r="N1269" s="21">
        <f>IF(B1269="","",J1269-K1269-L1269-M1269-I1269)</f>
        <v/>
      </c>
    </row>
    <row r="1270">
      <c r="B1270" s="11" t="n"/>
      <c r="C1270" s="8" t="n"/>
      <c r="D1270" s="8" t="n"/>
      <c r="E1270" s="8" t="n"/>
      <c r="F1270" s="20" t="n"/>
      <c r="G1270" s="20" t="n"/>
      <c r="H1270" s="8" t="n"/>
      <c r="I1270" s="20" t="n"/>
      <c r="J1270" s="21">
        <f>IF(B1270="","",F1270+G1270)</f>
        <v/>
      </c>
      <c r="K1270" s="21">
        <f>IF(B1270="","",J1270*(Settings!$C$11+Settings!$C$12+Settings!$C$14)+IF(C1270="",Settings!$C$13,IF(COUNTIF($C$5:C1270,C1270)=1,Settings!$C$13,0))+E1270*Settings!$C$15+IF(H1270="Yes",J1270*Settings!$C$16,0))</f>
        <v/>
      </c>
      <c r="L1270" s="21">
        <f>IF(B1270="","",IF(Settings!$C$5="Yes",0,K1270*Settings!$C$17))</f>
        <v/>
      </c>
      <c r="M1270" s="21">
        <f>IF(B1270="","",E1270*IFERROR(VLOOKUP(D1270,Products!$B$5:$F$204,5,FALSE),0))</f>
        <v/>
      </c>
      <c r="N1270" s="21">
        <f>IF(B1270="","",J1270-K1270-L1270-M1270-I1270)</f>
        <v/>
      </c>
    </row>
    <row r="1271">
      <c r="B1271" s="11" t="n"/>
      <c r="C1271" s="8" t="n"/>
      <c r="D1271" s="8" t="n"/>
      <c r="E1271" s="8" t="n"/>
      <c r="F1271" s="20" t="n"/>
      <c r="G1271" s="20" t="n"/>
      <c r="H1271" s="8" t="n"/>
      <c r="I1271" s="20" t="n"/>
      <c r="J1271" s="21">
        <f>IF(B1271="","",F1271+G1271)</f>
        <v/>
      </c>
      <c r="K1271" s="21">
        <f>IF(B1271="","",J1271*(Settings!$C$11+Settings!$C$12+Settings!$C$14)+IF(C1271="",Settings!$C$13,IF(COUNTIF($C$5:C1271,C1271)=1,Settings!$C$13,0))+E1271*Settings!$C$15+IF(H1271="Yes",J1271*Settings!$C$16,0))</f>
        <v/>
      </c>
      <c r="L1271" s="21">
        <f>IF(B1271="","",IF(Settings!$C$5="Yes",0,K1271*Settings!$C$17))</f>
        <v/>
      </c>
      <c r="M1271" s="21">
        <f>IF(B1271="","",E1271*IFERROR(VLOOKUP(D1271,Products!$B$5:$F$204,5,FALSE),0))</f>
        <v/>
      </c>
      <c r="N1271" s="21">
        <f>IF(B1271="","",J1271-K1271-L1271-M1271-I1271)</f>
        <v/>
      </c>
    </row>
    <row r="1272">
      <c r="B1272" s="11" t="n"/>
      <c r="C1272" s="8" t="n"/>
      <c r="D1272" s="8" t="n"/>
      <c r="E1272" s="8" t="n"/>
      <c r="F1272" s="20" t="n"/>
      <c r="G1272" s="20" t="n"/>
      <c r="H1272" s="8" t="n"/>
      <c r="I1272" s="20" t="n"/>
      <c r="J1272" s="21">
        <f>IF(B1272="","",F1272+G1272)</f>
        <v/>
      </c>
      <c r="K1272" s="21">
        <f>IF(B1272="","",J1272*(Settings!$C$11+Settings!$C$12+Settings!$C$14)+IF(C1272="",Settings!$C$13,IF(COUNTIF($C$5:C1272,C1272)=1,Settings!$C$13,0))+E1272*Settings!$C$15+IF(H1272="Yes",J1272*Settings!$C$16,0))</f>
        <v/>
      </c>
      <c r="L1272" s="21">
        <f>IF(B1272="","",IF(Settings!$C$5="Yes",0,K1272*Settings!$C$17))</f>
        <v/>
      </c>
      <c r="M1272" s="21">
        <f>IF(B1272="","",E1272*IFERROR(VLOOKUP(D1272,Products!$B$5:$F$204,5,FALSE),0))</f>
        <v/>
      </c>
      <c r="N1272" s="21">
        <f>IF(B1272="","",J1272-K1272-L1272-M1272-I1272)</f>
        <v/>
      </c>
    </row>
    <row r="1273">
      <c r="B1273" s="11" t="n"/>
      <c r="C1273" s="8" t="n"/>
      <c r="D1273" s="8" t="n"/>
      <c r="E1273" s="8" t="n"/>
      <c r="F1273" s="20" t="n"/>
      <c r="G1273" s="20" t="n"/>
      <c r="H1273" s="8" t="n"/>
      <c r="I1273" s="20" t="n"/>
      <c r="J1273" s="21">
        <f>IF(B1273="","",F1273+G1273)</f>
        <v/>
      </c>
      <c r="K1273" s="21">
        <f>IF(B1273="","",J1273*(Settings!$C$11+Settings!$C$12+Settings!$C$14)+IF(C1273="",Settings!$C$13,IF(COUNTIF($C$5:C1273,C1273)=1,Settings!$C$13,0))+E1273*Settings!$C$15+IF(H1273="Yes",J1273*Settings!$C$16,0))</f>
        <v/>
      </c>
      <c r="L1273" s="21">
        <f>IF(B1273="","",IF(Settings!$C$5="Yes",0,K1273*Settings!$C$17))</f>
        <v/>
      </c>
      <c r="M1273" s="21">
        <f>IF(B1273="","",E1273*IFERROR(VLOOKUP(D1273,Products!$B$5:$F$204,5,FALSE),0))</f>
        <v/>
      </c>
      <c r="N1273" s="21">
        <f>IF(B1273="","",J1273-K1273-L1273-M1273-I1273)</f>
        <v/>
      </c>
    </row>
    <row r="1274">
      <c r="B1274" s="11" t="n"/>
      <c r="C1274" s="8" t="n"/>
      <c r="D1274" s="8" t="n"/>
      <c r="E1274" s="8" t="n"/>
      <c r="F1274" s="20" t="n"/>
      <c r="G1274" s="20" t="n"/>
      <c r="H1274" s="8" t="n"/>
      <c r="I1274" s="20" t="n"/>
      <c r="J1274" s="21">
        <f>IF(B1274="","",F1274+G1274)</f>
        <v/>
      </c>
      <c r="K1274" s="21">
        <f>IF(B1274="","",J1274*(Settings!$C$11+Settings!$C$12+Settings!$C$14)+IF(C1274="",Settings!$C$13,IF(COUNTIF($C$5:C1274,C1274)=1,Settings!$C$13,0))+E1274*Settings!$C$15+IF(H1274="Yes",J1274*Settings!$C$16,0))</f>
        <v/>
      </c>
      <c r="L1274" s="21">
        <f>IF(B1274="","",IF(Settings!$C$5="Yes",0,K1274*Settings!$C$17))</f>
        <v/>
      </c>
      <c r="M1274" s="21">
        <f>IF(B1274="","",E1274*IFERROR(VLOOKUP(D1274,Products!$B$5:$F$204,5,FALSE),0))</f>
        <v/>
      </c>
      <c r="N1274" s="21">
        <f>IF(B1274="","",J1274-K1274-L1274-M1274-I1274)</f>
        <v/>
      </c>
    </row>
    <row r="1275">
      <c r="B1275" s="11" t="n"/>
      <c r="C1275" s="8" t="n"/>
      <c r="D1275" s="8" t="n"/>
      <c r="E1275" s="8" t="n"/>
      <c r="F1275" s="20" t="n"/>
      <c r="G1275" s="20" t="n"/>
      <c r="H1275" s="8" t="n"/>
      <c r="I1275" s="20" t="n"/>
      <c r="J1275" s="21">
        <f>IF(B1275="","",F1275+G1275)</f>
        <v/>
      </c>
      <c r="K1275" s="21">
        <f>IF(B1275="","",J1275*(Settings!$C$11+Settings!$C$12+Settings!$C$14)+IF(C1275="",Settings!$C$13,IF(COUNTIF($C$5:C1275,C1275)=1,Settings!$C$13,0))+E1275*Settings!$C$15+IF(H1275="Yes",J1275*Settings!$C$16,0))</f>
        <v/>
      </c>
      <c r="L1275" s="21">
        <f>IF(B1275="","",IF(Settings!$C$5="Yes",0,K1275*Settings!$C$17))</f>
        <v/>
      </c>
      <c r="M1275" s="21">
        <f>IF(B1275="","",E1275*IFERROR(VLOOKUP(D1275,Products!$B$5:$F$204,5,FALSE),0))</f>
        <v/>
      </c>
      <c r="N1275" s="21">
        <f>IF(B1275="","",J1275-K1275-L1275-M1275-I1275)</f>
        <v/>
      </c>
    </row>
    <row r="1276">
      <c r="B1276" s="11" t="n"/>
      <c r="C1276" s="8" t="n"/>
      <c r="D1276" s="8" t="n"/>
      <c r="E1276" s="8" t="n"/>
      <c r="F1276" s="20" t="n"/>
      <c r="G1276" s="20" t="n"/>
      <c r="H1276" s="8" t="n"/>
      <c r="I1276" s="20" t="n"/>
      <c r="J1276" s="21">
        <f>IF(B1276="","",F1276+G1276)</f>
        <v/>
      </c>
      <c r="K1276" s="21">
        <f>IF(B1276="","",J1276*(Settings!$C$11+Settings!$C$12+Settings!$C$14)+IF(C1276="",Settings!$C$13,IF(COUNTIF($C$5:C1276,C1276)=1,Settings!$C$13,0))+E1276*Settings!$C$15+IF(H1276="Yes",J1276*Settings!$C$16,0))</f>
        <v/>
      </c>
      <c r="L1276" s="21">
        <f>IF(B1276="","",IF(Settings!$C$5="Yes",0,K1276*Settings!$C$17))</f>
        <v/>
      </c>
      <c r="M1276" s="21">
        <f>IF(B1276="","",E1276*IFERROR(VLOOKUP(D1276,Products!$B$5:$F$204,5,FALSE),0))</f>
        <v/>
      </c>
      <c r="N1276" s="21">
        <f>IF(B1276="","",J1276-K1276-L1276-M1276-I1276)</f>
        <v/>
      </c>
    </row>
    <row r="1277">
      <c r="B1277" s="11" t="n"/>
      <c r="C1277" s="8" t="n"/>
      <c r="D1277" s="8" t="n"/>
      <c r="E1277" s="8" t="n"/>
      <c r="F1277" s="20" t="n"/>
      <c r="G1277" s="20" t="n"/>
      <c r="H1277" s="8" t="n"/>
      <c r="I1277" s="20" t="n"/>
      <c r="J1277" s="21">
        <f>IF(B1277="","",F1277+G1277)</f>
        <v/>
      </c>
      <c r="K1277" s="21">
        <f>IF(B1277="","",J1277*(Settings!$C$11+Settings!$C$12+Settings!$C$14)+IF(C1277="",Settings!$C$13,IF(COUNTIF($C$5:C1277,C1277)=1,Settings!$C$13,0))+E1277*Settings!$C$15+IF(H1277="Yes",J1277*Settings!$C$16,0))</f>
        <v/>
      </c>
      <c r="L1277" s="21">
        <f>IF(B1277="","",IF(Settings!$C$5="Yes",0,K1277*Settings!$C$17))</f>
        <v/>
      </c>
      <c r="M1277" s="21">
        <f>IF(B1277="","",E1277*IFERROR(VLOOKUP(D1277,Products!$B$5:$F$204,5,FALSE),0))</f>
        <v/>
      </c>
      <c r="N1277" s="21">
        <f>IF(B1277="","",J1277-K1277-L1277-M1277-I1277)</f>
        <v/>
      </c>
    </row>
    <row r="1278">
      <c r="B1278" s="11" t="n"/>
      <c r="C1278" s="8" t="n"/>
      <c r="D1278" s="8" t="n"/>
      <c r="E1278" s="8" t="n"/>
      <c r="F1278" s="20" t="n"/>
      <c r="G1278" s="20" t="n"/>
      <c r="H1278" s="8" t="n"/>
      <c r="I1278" s="20" t="n"/>
      <c r="J1278" s="21">
        <f>IF(B1278="","",F1278+G1278)</f>
        <v/>
      </c>
      <c r="K1278" s="21">
        <f>IF(B1278="","",J1278*(Settings!$C$11+Settings!$C$12+Settings!$C$14)+IF(C1278="",Settings!$C$13,IF(COUNTIF($C$5:C1278,C1278)=1,Settings!$C$13,0))+E1278*Settings!$C$15+IF(H1278="Yes",J1278*Settings!$C$16,0))</f>
        <v/>
      </c>
      <c r="L1278" s="21">
        <f>IF(B1278="","",IF(Settings!$C$5="Yes",0,K1278*Settings!$C$17))</f>
        <v/>
      </c>
      <c r="M1278" s="21">
        <f>IF(B1278="","",E1278*IFERROR(VLOOKUP(D1278,Products!$B$5:$F$204,5,FALSE),0))</f>
        <v/>
      </c>
      <c r="N1278" s="21">
        <f>IF(B1278="","",J1278-K1278-L1278-M1278-I1278)</f>
        <v/>
      </c>
    </row>
    <row r="1279">
      <c r="B1279" s="11" t="n"/>
      <c r="C1279" s="8" t="n"/>
      <c r="D1279" s="8" t="n"/>
      <c r="E1279" s="8" t="n"/>
      <c r="F1279" s="20" t="n"/>
      <c r="G1279" s="20" t="n"/>
      <c r="H1279" s="8" t="n"/>
      <c r="I1279" s="20" t="n"/>
      <c r="J1279" s="21">
        <f>IF(B1279="","",F1279+G1279)</f>
        <v/>
      </c>
      <c r="K1279" s="21">
        <f>IF(B1279="","",J1279*(Settings!$C$11+Settings!$C$12+Settings!$C$14)+IF(C1279="",Settings!$C$13,IF(COUNTIF($C$5:C1279,C1279)=1,Settings!$C$13,0))+E1279*Settings!$C$15+IF(H1279="Yes",J1279*Settings!$C$16,0))</f>
        <v/>
      </c>
      <c r="L1279" s="21">
        <f>IF(B1279="","",IF(Settings!$C$5="Yes",0,K1279*Settings!$C$17))</f>
        <v/>
      </c>
      <c r="M1279" s="21">
        <f>IF(B1279="","",E1279*IFERROR(VLOOKUP(D1279,Products!$B$5:$F$204,5,FALSE),0))</f>
        <v/>
      </c>
      <c r="N1279" s="21">
        <f>IF(B1279="","",J1279-K1279-L1279-M1279-I1279)</f>
        <v/>
      </c>
    </row>
    <row r="1280">
      <c r="B1280" s="11" t="n"/>
      <c r="C1280" s="8" t="n"/>
      <c r="D1280" s="8" t="n"/>
      <c r="E1280" s="8" t="n"/>
      <c r="F1280" s="20" t="n"/>
      <c r="G1280" s="20" t="n"/>
      <c r="H1280" s="8" t="n"/>
      <c r="I1280" s="20" t="n"/>
      <c r="J1280" s="21">
        <f>IF(B1280="","",F1280+G1280)</f>
        <v/>
      </c>
      <c r="K1280" s="21">
        <f>IF(B1280="","",J1280*(Settings!$C$11+Settings!$C$12+Settings!$C$14)+IF(C1280="",Settings!$C$13,IF(COUNTIF($C$5:C1280,C1280)=1,Settings!$C$13,0))+E1280*Settings!$C$15+IF(H1280="Yes",J1280*Settings!$C$16,0))</f>
        <v/>
      </c>
      <c r="L1280" s="21">
        <f>IF(B1280="","",IF(Settings!$C$5="Yes",0,K1280*Settings!$C$17))</f>
        <v/>
      </c>
      <c r="M1280" s="21">
        <f>IF(B1280="","",E1280*IFERROR(VLOOKUP(D1280,Products!$B$5:$F$204,5,FALSE),0))</f>
        <v/>
      </c>
      <c r="N1280" s="21">
        <f>IF(B1280="","",J1280-K1280-L1280-M1280-I1280)</f>
        <v/>
      </c>
    </row>
    <row r="1281">
      <c r="B1281" s="11" t="n"/>
      <c r="C1281" s="8" t="n"/>
      <c r="D1281" s="8" t="n"/>
      <c r="E1281" s="8" t="n"/>
      <c r="F1281" s="20" t="n"/>
      <c r="G1281" s="20" t="n"/>
      <c r="H1281" s="8" t="n"/>
      <c r="I1281" s="20" t="n"/>
      <c r="J1281" s="21">
        <f>IF(B1281="","",F1281+G1281)</f>
        <v/>
      </c>
      <c r="K1281" s="21">
        <f>IF(B1281="","",J1281*(Settings!$C$11+Settings!$C$12+Settings!$C$14)+IF(C1281="",Settings!$C$13,IF(COUNTIF($C$5:C1281,C1281)=1,Settings!$C$13,0))+E1281*Settings!$C$15+IF(H1281="Yes",J1281*Settings!$C$16,0))</f>
        <v/>
      </c>
      <c r="L1281" s="21">
        <f>IF(B1281="","",IF(Settings!$C$5="Yes",0,K1281*Settings!$C$17))</f>
        <v/>
      </c>
      <c r="M1281" s="21">
        <f>IF(B1281="","",E1281*IFERROR(VLOOKUP(D1281,Products!$B$5:$F$204,5,FALSE),0))</f>
        <v/>
      </c>
      <c r="N1281" s="21">
        <f>IF(B1281="","",J1281-K1281-L1281-M1281-I1281)</f>
        <v/>
      </c>
    </row>
    <row r="1282">
      <c r="B1282" s="11" t="n"/>
      <c r="C1282" s="8" t="n"/>
      <c r="D1282" s="8" t="n"/>
      <c r="E1282" s="8" t="n"/>
      <c r="F1282" s="20" t="n"/>
      <c r="G1282" s="20" t="n"/>
      <c r="H1282" s="8" t="n"/>
      <c r="I1282" s="20" t="n"/>
      <c r="J1282" s="21">
        <f>IF(B1282="","",F1282+G1282)</f>
        <v/>
      </c>
      <c r="K1282" s="21">
        <f>IF(B1282="","",J1282*(Settings!$C$11+Settings!$C$12+Settings!$C$14)+IF(C1282="",Settings!$C$13,IF(COUNTIF($C$5:C1282,C1282)=1,Settings!$C$13,0))+E1282*Settings!$C$15+IF(H1282="Yes",J1282*Settings!$C$16,0))</f>
        <v/>
      </c>
      <c r="L1282" s="21">
        <f>IF(B1282="","",IF(Settings!$C$5="Yes",0,K1282*Settings!$C$17))</f>
        <v/>
      </c>
      <c r="M1282" s="21">
        <f>IF(B1282="","",E1282*IFERROR(VLOOKUP(D1282,Products!$B$5:$F$204,5,FALSE),0))</f>
        <v/>
      </c>
      <c r="N1282" s="21">
        <f>IF(B1282="","",J1282-K1282-L1282-M1282-I1282)</f>
        <v/>
      </c>
    </row>
    <row r="1283">
      <c r="B1283" s="11" t="n"/>
      <c r="C1283" s="8" t="n"/>
      <c r="D1283" s="8" t="n"/>
      <c r="E1283" s="8" t="n"/>
      <c r="F1283" s="20" t="n"/>
      <c r="G1283" s="20" t="n"/>
      <c r="H1283" s="8" t="n"/>
      <c r="I1283" s="20" t="n"/>
      <c r="J1283" s="21">
        <f>IF(B1283="","",F1283+G1283)</f>
        <v/>
      </c>
      <c r="K1283" s="21">
        <f>IF(B1283="","",J1283*(Settings!$C$11+Settings!$C$12+Settings!$C$14)+IF(C1283="",Settings!$C$13,IF(COUNTIF($C$5:C1283,C1283)=1,Settings!$C$13,0))+E1283*Settings!$C$15+IF(H1283="Yes",J1283*Settings!$C$16,0))</f>
        <v/>
      </c>
      <c r="L1283" s="21">
        <f>IF(B1283="","",IF(Settings!$C$5="Yes",0,K1283*Settings!$C$17))</f>
        <v/>
      </c>
      <c r="M1283" s="21">
        <f>IF(B1283="","",E1283*IFERROR(VLOOKUP(D1283,Products!$B$5:$F$204,5,FALSE),0))</f>
        <v/>
      </c>
      <c r="N1283" s="21">
        <f>IF(B1283="","",J1283-K1283-L1283-M1283-I1283)</f>
        <v/>
      </c>
    </row>
    <row r="1284">
      <c r="B1284" s="11" t="n"/>
      <c r="C1284" s="8" t="n"/>
      <c r="D1284" s="8" t="n"/>
      <c r="E1284" s="8" t="n"/>
      <c r="F1284" s="20" t="n"/>
      <c r="G1284" s="20" t="n"/>
      <c r="H1284" s="8" t="n"/>
      <c r="I1284" s="20" t="n"/>
      <c r="J1284" s="21">
        <f>IF(B1284="","",F1284+G1284)</f>
        <v/>
      </c>
      <c r="K1284" s="21">
        <f>IF(B1284="","",J1284*(Settings!$C$11+Settings!$C$12+Settings!$C$14)+IF(C1284="",Settings!$C$13,IF(COUNTIF($C$5:C1284,C1284)=1,Settings!$C$13,0))+E1284*Settings!$C$15+IF(H1284="Yes",J1284*Settings!$C$16,0))</f>
        <v/>
      </c>
      <c r="L1284" s="21">
        <f>IF(B1284="","",IF(Settings!$C$5="Yes",0,K1284*Settings!$C$17))</f>
        <v/>
      </c>
      <c r="M1284" s="21">
        <f>IF(B1284="","",E1284*IFERROR(VLOOKUP(D1284,Products!$B$5:$F$204,5,FALSE),0))</f>
        <v/>
      </c>
      <c r="N1284" s="21">
        <f>IF(B1284="","",J1284-K1284-L1284-M1284-I1284)</f>
        <v/>
      </c>
    </row>
    <row r="1285">
      <c r="B1285" s="11" t="n"/>
      <c r="C1285" s="8" t="n"/>
      <c r="D1285" s="8" t="n"/>
      <c r="E1285" s="8" t="n"/>
      <c r="F1285" s="20" t="n"/>
      <c r="G1285" s="20" t="n"/>
      <c r="H1285" s="8" t="n"/>
      <c r="I1285" s="20" t="n"/>
      <c r="J1285" s="21">
        <f>IF(B1285="","",F1285+G1285)</f>
        <v/>
      </c>
      <c r="K1285" s="21">
        <f>IF(B1285="","",J1285*(Settings!$C$11+Settings!$C$12+Settings!$C$14)+IF(C1285="",Settings!$C$13,IF(COUNTIF($C$5:C1285,C1285)=1,Settings!$C$13,0))+E1285*Settings!$C$15+IF(H1285="Yes",J1285*Settings!$C$16,0))</f>
        <v/>
      </c>
      <c r="L1285" s="21">
        <f>IF(B1285="","",IF(Settings!$C$5="Yes",0,K1285*Settings!$C$17))</f>
        <v/>
      </c>
      <c r="M1285" s="21">
        <f>IF(B1285="","",E1285*IFERROR(VLOOKUP(D1285,Products!$B$5:$F$204,5,FALSE),0))</f>
        <v/>
      </c>
      <c r="N1285" s="21">
        <f>IF(B1285="","",J1285-K1285-L1285-M1285-I1285)</f>
        <v/>
      </c>
    </row>
    <row r="1286">
      <c r="B1286" s="11" t="n"/>
      <c r="C1286" s="8" t="n"/>
      <c r="D1286" s="8" t="n"/>
      <c r="E1286" s="8" t="n"/>
      <c r="F1286" s="20" t="n"/>
      <c r="G1286" s="20" t="n"/>
      <c r="H1286" s="8" t="n"/>
      <c r="I1286" s="20" t="n"/>
      <c r="J1286" s="21">
        <f>IF(B1286="","",F1286+G1286)</f>
        <v/>
      </c>
      <c r="K1286" s="21">
        <f>IF(B1286="","",J1286*(Settings!$C$11+Settings!$C$12+Settings!$C$14)+IF(C1286="",Settings!$C$13,IF(COUNTIF($C$5:C1286,C1286)=1,Settings!$C$13,0))+E1286*Settings!$C$15+IF(H1286="Yes",J1286*Settings!$C$16,0))</f>
        <v/>
      </c>
      <c r="L1286" s="21">
        <f>IF(B1286="","",IF(Settings!$C$5="Yes",0,K1286*Settings!$C$17))</f>
        <v/>
      </c>
      <c r="M1286" s="21">
        <f>IF(B1286="","",E1286*IFERROR(VLOOKUP(D1286,Products!$B$5:$F$204,5,FALSE),0))</f>
        <v/>
      </c>
      <c r="N1286" s="21">
        <f>IF(B1286="","",J1286-K1286-L1286-M1286-I1286)</f>
        <v/>
      </c>
    </row>
    <row r="1287">
      <c r="B1287" s="11" t="n"/>
      <c r="C1287" s="8" t="n"/>
      <c r="D1287" s="8" t="n"/>
      <c r="E1287" s="8" t="n"/>
      <c r="F1287" s="20" t="n"/>
      <c r="G1287" s="20" t="n"/>
      <c r="H1287" s="8" t="n"/>
      <c r="I1287" s="20" t="n"/>
      <c r="J1287" s="21">
        <f>IF(B1287="","",F1287+G1287)</f>
        <v/>
      </c>
      <c r="K1287" s="21">
        <f>IF(B1287="","",J1287*(Settings!$C$11+Settings!$C$12+Settings!$C$14)+IF(C1287="",Settings!$C$13,IF(COUNTIF($C$5:C1287,C1287)=1,Settings!$C$13,0))+E1287*Settings!$C$15+IF(H1287="Yes",J1287*Settings!$C$16,0))</f>
        <v/>
      </c>
      <c r="L1287" s="21">
        <f>IF(B1287="","",IF(Settings!$C$5="Yes",0,K1287*Settings!$C$17))</f>
        <v/>
      </c>
      <c r="M1287" s="21">
        <f>IF(B1287="","",E1287*IFERROR(VLOOKUP(D1287,Products!$B$5:$F$204,5,FALSE),0))</f>
        <v/>
      </c>
      <c r="N1287" s="21">
        <f>IF(B1287="","",J1287-K1287-L1287-M1287-I1287)</f>
        <v/>
      </c>
    </row>
    <row r="1288">
      <c r="B1288" s="11" t="n"/>
      <c r="C1288" s="8" t="n"/>
      <c r="D1288" s="8" t="n"/>
      <c r="E1288" s="8" t="n"/>
      <c r="F1288" s="20" t="n"/>
      <c r="G1288" s="20" t="n"/>
      <c r="H1288" s="8" t="n"/>
      <c r="I1288" s="20" t="n"/>
      <c r="J1288" s="21">
        <f>IF(B1288="","",F1288+G1288)</f>
        <v/>
      </c>
      <c r="K1288" s="21">
        <f>IF(B1288="","",J1288*(Settings!$C$11+Settings!$C$12+Settings!$C$14)+IF(C1288="",Settings!$C$13,IF(COUNTIF($C$5:C1288,C1288)=1,Settings!$C$13,0))+E1288*Settings!$C$15+IF(H1288="Yes",J1288*Settings!$C$16,0))</f>
        <v/>
      </c>
      <c r="L1288" s="21">
        <f>IF(B1288="","",IF(Settings!$C$5="Yes",0,K1288*Settings!$C$17))</f>
        <v/>
      </c>
      <c r="M1288" s="21">
        <f>IF(B1288="","",E1288*IFERROR(VLOOKUP(D1288,Products!$B$5:$F$204,5,FALSE),0))</f>
        <v/>
      </c>
      <c r="N1288" s="21">
        <f>IF(B1288="","",J1288-K1288-L1288-M1288-I1288)</f>
        <v/>
      </c>
    </row>
    <row r="1289">
      <c r="B1289" s="11" t="n"/>
      <c r="C1289" s="8" t="n"/>
      <c r="D1289" s="8" t="n"/>
      <c r="E1289" s="8" t="n"/>
      <c r="F1289" s="20" t="n"/>
      <c r="G1289" s="20" t="n"/>
      <c r="H1289" s="8" t="n"/>
      <c r="I1289" s="20" t="n"/>
      <c r="J1289" s="21">
        <f>IF(B1289="","",F1289+G1289)</f>
        <v/>
      </c>
      <c r="K1289" s="21">
        <f>IF(B1289="","",J1289*(Settings!$C$11+Settings!$C$12+Settings!$C$14)+IF(C1289="",Settings!$C$13,IF(COUNTIF($C$5:C1289,C1289)=1,Settings!$C$13,0))+E1289*Settings!$C$15+IF(H1289="Yes",J1289*Settings!$C$16,0))</f>
        <v/>
      </c>
      <c r="L1289" s="21">
        <f>IF(B1289="","",IF(Settings!$C$5="Yes",0,K1289*Settings!$C$17))</f>
        <v/>
      </c>
      <c r="M1289" s="21">
        <f>IF(B1289="","",E1289*IFERROR(VLOOKUP(D1289,Products!$B$5:$F$204,5,FALSE),0))</f>
        <v/>
      </c>
      <c r="N1289" s="21">
        <f>IF(B1289="","",J1289-K1289-L1289-M1289-I1289)</f>
        <v/>
      </c>
    </row>
    <row r="1290">
      <c r="B1290" s="11" t="n"/>
      <c r="C1290" s="8" t="n"/>
      <c r="D1290" s="8" t="n"/>
      <c r="E1290" s="8" t="n"/>
      <c r="F1290" s="20" t="n"/>
      <c r="G1290" s="20" t="n"/>
      <c r="H1290" s="8" t="n"/>
      <c r="I1290" s="20" t="n"/>
      <c r="J1290" s="21">
        <f>IF(B1290="","",F1290+G1290)</f>
        <v/>
      </c>
      <c r="K1290" s="21">
        <f>IF(B1290="","",J1290*(Settings!$C$11+Settings!$C$12+Settings!$C$14)+IF(C1290="",Settings!$C$13,IF(COUNTIF($C$5:C1290,C1290)=1,Settings!$C$13,0))+E1290*Settings!$C$15+IF(H1290="Yes",J1290*Settings!$C$16,0))</f>
        <v/>
      </c>
      <c r="L1290" s="21">
        <f>IF(B1290="","",IF(Settings!$C$5="Yes",0,K1290*Settings!$C$17))</f>
        <v/>
      </c>
      <c r="M1290" s="21">
        <f>IF(B1290="","",E1290*IFERROR(VLOOKUP(D1290,Products!$B$5:$F$204,5,FALSE),0))</f>
        <v/>
      </c>
      <c r="N1290" s="21">
        <f>IF(B1290="","",J1290-K1290-L1290-M1290-I1290)</f>
        <v/>
      </c>
    </row>
    <row r="1291">
      <c r="B1291" s="11" t="n"/>
      <c r="C1291" s="8" t="n"/>
      <c r="D1291" s="8" t="n"/>
      <c r="E1291" s="8" t="n"/>
      <c r="F1291" s="20" t="n"/>
      <c r="G1291" s="20" t="n"/>
      <c r="H1291" s="8" t="n"/>
      <c r="I1291" s="20" t="n"/>
      <c r="J1291" s="21">
        <f>IF(B1291="","",F1291+G1291)</f>
        <v/>
      </c>
      <c r="K1291" s="21">
        <f>IF(B1291="","",J1291*(Settings!$C$11+Settings!$C$12+Settings!$C$14)+IF(C1291="",Settings!$C$13,IF(COUNTIF($C$5:C1291,C1291)=1,Settings!$C$13,0))+E1291*Settings!$C$15+IF(H1291="Yes",J1291*Settings!$C$16,0))</f>
        <v/>
      </c>
      <c r="L1291" s="21">
        <f>IF(B1291="","",IF(Settings!$C$5="Yes",0,K1291*Settings!$C$17))</f>
        <v/>
      </c>
      <c r="M1291" s="21">
        <f>IF(B1291="","",E1291*IFERROR(VLOOKUP(D1291,Products!$B$5:$F$204,5,FALSE),0))</f>
        <v/>
      </c>
      <c r="N1291" s="21">
        <f>IF(B1291="","",J1291-K1291-L1291-M1291-I1291)</f>
        <v/>
      </c>
    </row>
    <row r="1292">
      <c r="B1292" s="11" t="n"/>
      <c r="C1292" s="8" t="n"/>
      <c r="D1292" s="8" t="n"/>
      <c r="E1292" s="8" t="n"/>
      <c r="F1292" s="20" t="n"/>
      <c r="G1292" s="20" t="n"/>
      <c r="H1292" s="8" t="n"/>
      <c r="I1292" s="20" t="n"/>
      <c r="J1292" s="21">
        <f>IF(B1292="","",F1292+G1292)</f>
        <v/>
      </c>
      <c r="K1292" s="21">
        <f>IF(B1292="","",J1292*(Settings!$C$11+Settings!$C$12+Settings!$C$14)+IF(C1292="",Settings!$C$13,IF(COUNTIF($C$5:C1292,C1292)=1,Settings!$C$13,0))+E1292*Settings!$C$15+IF(H1292="Yes",J1292*Settings!$C$16,0))</f>
        <v/>
      </c>
      <c r="L1292" s="21">
        <f>IF(B1292="","",IF(Settings!$C$5="Yes",0,K1292*Settings!$C$17))</f>
        <v/>
      </c>
      <c r="M1292" s="21">
        <f>IF(B1292="","",E1292*IFERROR(VLOOKUP(D1292,Products!$B$5:$F$204,5,FALSE),0))</f>
        <v/>
      </c>
      <c r="N1292" s="21">
        <f>IF(B1292="","",J1292-K1292-L1292-M1292-I1292)</f>
        <v/>
      </c>
    </row>
    <row r="1293">
      <c r="B1293" s="11" t="n"/>
      <c r="C1293" s="8" t="n"/>
      <c r="D1293" s="8" t="n"/>
      <c r="E1293" s="8" t="n"/>
      <c r="F1293" s="20" t="n"/>
      <c r="G1293" s="20" t="n"/>
      <c r="H1293" s="8" t="n"/>
      <c r="I1293" s="20" t="n"/>
      <c r="J1293" s="21">
        <f>IF(B1293="","",F1293+G1293)</f>
        <v/>
      </c>
      <c r="K1293" s="21">
        <f>IF(B1293="","",J1293*(Settings!$C$11+Settings!$C$12+Settings!$C$14)+IF(C1293="",Settings!$C$13,IF(COUNTIF($C$5:C1293,C1293)=1,Settings!$C$13,0))+E1293*Settings!$C$15+IF(H1293="Yes",J1293*Settings!$C$16,0))</f>
        <v/>
      </c>
      <c r="L1293" s="21">
        <f>IF(B1293="","",IF(Settings!$C$5="Yes",0,K1293*Settings!$C$17))</f>
        <v/>
      </c>
      <c r="M1293" s="21">
        <f>IF(B1293="","",E1293*IFERROR(VLOOKUP(D1293,Products!$B$5:$F$204,5,FALSE),0))</f>
        <v/>
      </c>
      <c r="N1293" s="21">
        <f>IF(B1293="","",J1293-K1293-L1293-M1293-I1293)</f>
        <v/>
      </c>
    </row>
    <row r="1294">
      <c r="B1294" s="11" t="n"/>
      <c r="C1294" s="8" t="n"/>
      <c r="D1294" s="8" t="n"/>
      <c r="E1294" s="8" t="n"/>
      <c r="F1294" s="20" t="n"/>
      <c r="G1294" s="20" t="n"/>
      <c r="H1294" s="8" t="n"/>
      <c r="I1294" s="20" t="n"/>
      <c r="J1294" s="21">
        <f>IF(B1294="","",F1294+G1294)</f>
        <v/>
      </c>
      <c r="K1294" s="21">
        <f>IF(B1294="","",J1294*(Settings!$C$11+Settings!$C$12+Settings!$C$14)+IF(C1294="",Settings!$C$13,IF(COUNTIF($C$5:C1294,C1294)=1,Settings!$C$13,0))+E1294*Settings!$C$15+IF(H1294="Yes",J1294*Settings!$C$16,0))</f>
        <v/>
      </c>
      <c r="L1294" s="21">
        <f>IF(B1294="","",IF(Settings!$C$5="Yes",0,K1294*Settings!$C$17))</f>
        <v/>
      </c>
      <c r="M1294" s="21">
        <f>IF(B1294="","",E1294*IFERROR(VLOOKUP(D1294,Products!$B$5:$F$204,5,FALSE),0))</f>
        <v/>
      </c>
      <c r="N1294" s="21">
        <f>IF(B1294="","",J1294-K1294-L1294-M1294-I1294)</f>
        <v/>
      </c>
    </row>
    <row r="1295">
      <c r="B1295" s="11" t="n"/>
      <c r="C1295" s="8" t="n"/>
      <c r="D1295" s="8" t="n"/>
      <c r="E1295" s="8" t="n"/>
      <c r="F1295" s="20" t="n"/>
      <c r="G1295" s="20" t="n"/>
      <c r="H1295" s="8" t="n"/>
      <c r="I1295" s="20" t="n"/>
      <c r="J1295" s="21">
        <f>IF(B1295="","",F1295+G1295)</f>
        <v/>
      </c>
      <c r="K1295" s="21">
        <f>IF(B1295="","",J1295*(Settings!$C$11+Settings!$C$12+Settings!$C$14)+IF(C1295="",Settings!$C$13,IF(COUNTIF($C$5:C1295,C1295)=1,Settings!$C$13,0))+E1295*Settings!$C$15+IF(H1295="Yes",J1295*Settings!$C$16,0))</f>
        <v/>
      </c>
      <c r="L1295" s="21">
        <f>IF(B1295="","",IF(Settings!$C$5="Yes",0,K1295*Settings!$C$17))</f>
        <v/>
      </c>
      <c r="M1295" s="21">
        <f>IF(B1295="","",E1295*IFERROR(VLOOKUP(D1295,Products!$B$5:$F$204,5,FALSE),0))</f>
        <v/>
      </c>
      <c r="N1295" s="21">
        <f>IF(B1295="","",J1295-K1295-L1295-M1295-I1295)</f>
        <v/>
      </c>
    </row>
    <row r="1296">
      <c r="B1296" s="11" t="n"/>
      <c r="C1296" s="8" t="n"/>
      <c r="D1296" s="8" t="n"/>
      <c r="E1296" s="8" t="n"/>
      <c r="F1296" s="20" t="n"/>
      <c r="G1296" s="20" t="n"/>
      <c r="H1296" s="8" t="n"/>
      <c r="I1296" s="20" t="n"/>
      <c r="J1296" s="21">
        <f>IF(B1296="","",F1296+G1296)</f>
        <v/>
      </c>
      <c r="K1296" s="21">
        <f>IF(B1296="","",J1296*(Settings!$C$11+Settings!$C$12+Settings!$C$14)+IF(C1296="",Settings!$C$13,IF(COUNTIF($C$5:C1296,C1296)=1,Settings!$C$13,0))+E1296*Settings!$C$15+IF(H1296="Yes",J1296*Settings!$C$16,0))</f>
        <v/>
      </c>
      <c r="L1296" s="21">
        <f>IF(B1296="","",IF(Settings!$C$5="Yes",0,K1296*Settings!$C$17))</f>
        <v/>
      </c>
      <c r="M1296" s="21">
        <f>IF(B1296="","",E1296*IFERROR(VLOOKUP(D1296,Products!$B$5:$F$204,5,FALSE),0))</f>
        <v/>
      </c>
      <c r="N1296" s="21">
        <f>IF(B1296="","",J1296-K1296-L1296-M1296-I1296)</f>
        <v/>
      </c>
    </row>
    <row r="1297">
      <c r="B1297" s="11" t="n"/>
      <c r="C1297" s="8" t="n"/>
      <c r="D1297" s="8" t="n"/>
      <c r="E1297" s="8" t="n"/>
      <c r="F1297" s="20" t="n"/>
      <c r="G1297" s="20" t="n"/>
      <c r="H1297" s="8" t="n"/>
      <c r="I1297" s="20" t="n"/>
      <c r="J1297" s="21">
        <f>IF(B1297="","",F1297+G1297)</f>
        <v/>
      </c>
      <c r="K1297" s="21">
        <f>IF(B1297="","",J1297*(Settings!$C$11+Settings!$C$12+Settings!$C$14)+IF(C1297="",Settings!$C$13,IF(COUNTIF($C$5:C1297,C1297)=1,Settings!$C$13,0))+E1297*Settings!$C$15+IF(H1297="Yes",J1297*Settings!$C$16,0))</f>
        <v/>
      </c>
      <c r="L1297" s="21">
        <f>IF(B1297="","",IF(Settings!$C$5="Yes",0,K1297*Settings!$C$17))</f>
        <v/>
      </c>
      <c r="M1297" s="21">
        <f>IF(B1297="","",E1297*IFERROR(VLOOKUP(D1297,Products!$B$5:$F$204,5,FALSE),0))</f>
        <v/>
      </c>
      <c r="N1297" s="21">
        <f>IF(B1297="","",J1297-K1297-L1297-M1297-I1297)</f>
        <v/>
      </c>
    </row>
    <row r="1298">
      <c r="B1298" s="11" t="n"/>
      <c r="C1298" s="8" t="n"/>
      <c r="D1298" s="8" t="n"/>
      <c r="E1298" s="8" t="n"/>
      <c r="F1298" s="20" t="n"/>
      <c r="G1298" s="20" t="n"/>
      <c r="H1298" s="8" t="n"/>
      <c r="I1298" s="20" t="n"/>
      <c r="J1298" s="21">
        <f>IF(B1298="","",F1298+G1298)</f>
        <v/>
      </c>
      <c r="K1298" s="21">
        <f>IF(B1298="","",J1298*(Settings!$C$11+Settings!$C$12+Settings!$C$14)+IF(C1298="",Settings!$C$13,IF(COUNTIF($C$5:C1298,C1298)=1,Settings!$C$13,0))+E1298*Settings!$C$15+IF(H1298="Yes",J1298*Settings!$C$16,0))</f>
        <v/>
      </c>
      <c r="L1298" s="21">
        <f>IF(B1298="","",IF(Settings!$C$5="Yes",0,K1298*Settings!$C$17))</f>
        <v/>
      </c>
      <c r="M1298" s="21">
        <f>IF(B1298="","",E1298*IFERROR(VLOOKUP(D1298,Products!$B$5:$F$204,5,FALSE),0))</f>
        <v/>
      </c>
      <c r="N1298" s="21">
        <f>IF(B1298="","",J1298-K1298-L1298-M1298-I1298)</f>
        <v/>
      </c>
    </row>
    <row r="1299">
      <c r="B1299" s="11" t="n"/>
      <c r="C1299" s="8" t="n"/>
      <c r="D1299" s="8" t="n"/>
      <c r="E1299" s="8" t="n"/>
      <c r="F1299" s="20" t="n"/>
      <c r="G1299" s="20" t="n"/>
      <c r="H1299" s="8" t="n"/>
      <c r="I1299" s="20" t="n"/>
      <c r="J1299" s="21">
        <f>IF(B1299="","",F1299+G1299)</f>
        <v/>
      </c>
      <c r="K1299" s="21">
        <f>IF(B1299="","",J1299*(Settings!$C$11+Settings!$C$12+Settings!$C$14)+IF(C1299="",Settings!$C$13,IF(COUNTIF($C$5:C1299,C1299)=1,Settings!$C$13,0))+E1299*Settings!$C$15+IF(H1299="Yes",J1299*Settings!$C$16,0))</f>
        <v/>
      </c>
      <c r="L1299" s="21">
        <f>IF(B1299="","",IF(Settings!$C$5="Yes",0,K1299*Settings!$C$17))</f>
        <v/>
      </c>
      <c r="M1299" s="21">
        <f>IF(B1299="","",E1299*IFERROR(VLOOKUP(D1299,Products!$B$5:$F$204,5,FALSE),0))</f>
        <v/>
      </c>
      <c r="N1299" s="21">
        <f>IF(B1299="","",J1299-K1299-L1299-M1299-I1299)</f>
        <v/>
      </c>
    </row>
    <row r="1300">
      <c r="B1300" s="11" t="n"/>
      <c r="C1300" s="8" t="n"/>
      <c r="D1300" s="8" t="n"/>
      <c r="E1300" s="8" t="n"/>
      <c r="F1300" s="20" t="n"/>
      <c r="G1300" s="20" t="n"/>
      <c r="H1300" s="8" t="n"/>
      <c r="I1300" s="20" t="n"/>
      <c r="J1300" s="21">
        <f>IF(B1300="","",F1300+G1300)</f>
        <v/>
      </c>
      <c r="K1300" s="21">
        <f>IF(B1300="","",J1300*(Settings!$C$11+Settings!$C$12+Settings!$C$14)+IF(C1300="",Settings!$C$13,IF(COUNTIF($C$5:C1300,C1300)=1,Settings!$C$13,0))+E1300*Settings!$C$15+IF(H1300="Yes",J1300*Settings!$C$16,0))</f>
        <v/>
      </c>
      <c r="L1300" s="21">
        <f>IF(B1300="","",IF(Settings!$C$5="Yes",0,K1300*Settings!$C$17))</f>
        <v/>
      </c>
      <c r="M1300" s="21">
        <f>IF(B1300="","",E1300*IFERROR(VLOOKUP(D1300,Products!$B$5:$F$204,5,FALSE),0))</f>
        <v/>
      </c>
      <c r="N1300" s="21">
        <f>IF(B1300="","",J1300-K1300-L1300-M1300-I1300)</f>
        <v/>
      </c>
    </row>
    <row r="1301">
      <c r="B1301" s="11" t="n"/>
      <c r="C1301" s="8" t="n"/>
      <c r="D1301" s="8" t="n"/>
      <c r="E1301" s="8" t="n"/>
      <c r="F1301" s="20" t="n"/>
      <c r="G1301" s="20" t="n"/>
      <c r="H1301" s="8" t="n"/>
      <c r="I1301" s="20" t="n"/>
      <c r="J1301" s="21">
        <f>IF(B1301="","",F1301+G1301)</f>
        <v/>
      </c>
      <c r="K1301" s="21">
        <f>IF(B1301="","",J1301*(Settings!$C$11+Settings!$C$12+Settings!$C$14)+IF(C1301="",Settings!$C$13,IF(COUNTIF($C$5:C1301,C1301)=1,Settings!$C$13,0))+E1301*Settings!$C$15+IF(H1301="Yes",J1301*Settings!$C$16,0))</f>
        <v/>
      </c>
      <c r="L1301" s="21">
        <f>IF(B1301="","",IF(Settings!$C$5="Yes",0,K1301*Settings!$C$17))</f>
        <v/>
      </c>
      <c r="M1301" s="21">
        <f>IF(B1301="","",E1301*IFERROR(VLOOKUP(D1301,Products!$B$5:$F$204,5,FALSE),0))</f>
        <v/>
      </c>
      <c r="N1301" s="21">
        <f>IF(B1301="","",J1301-K1301-L1301-M1301-I1301)</f>
        <v/>
      </c>
    </row>
    <row r="1302">
      <c r="B1302" s="11" t="n"/>
      <c r="C1302" s="8" t="n"/>
      <c r="D1302" s="8" t="n"/>
      <c r="E1302" s="8" t="n"/>
      <c r="F1302" s="20" t="n"/>
      <c r="G1302" s="20" t="n"/>
      <c r="H1302" s="8" t="n"/>
      <c r="I1302" s="20" t="n"/>
      <c r="J1302" s="21">
        <f>IF(B1302="","",F1302+G1302)</f>
        <v/>
      </c>
      <c r="K1302" s="21">
        <f>IF(B1302="","",J1302*(Settings!$C$11+Settings!$C$12+Settings!$C$14)+IF(C1302="",Settings!$C$13,IF(COUNTIF($C$5:C1302,C1302)=1,Settings!$C$13,0))+E1302*Settings!$C$15+IF(H1302="Yes",J1302*Settings!$C$16,0))</f>
        <v/>
      </c>
      <c r="L1302" s="21">
        <f>IF(B1302="","",IF(Settings!$C$5="Yes",0,K1302*Settings!$C$17))</f>
        <v/>
      </c>
      <c r="M1302" s="21">
        <f>IF(B1302="","",E1302*IFERROR(VLOOKUP(D1302,Products!$B$5:$F$204,5,FALSE),0))</f>
        <v/>
      </c>
      <c r="N1302" s="21">
        <f>IF(B1302="","",J1302-K1302-L1302-M1302-I1302)</f>
        <v/>
      </c>
    </row>
    <row r="1303">
      <c r="B1303" s="11" t="n"/>
      <c r="C1303" s="8" t="n"/>
      <c r="D1303" s="8" t="n"/>
      <c r="E1303" s="8" t="n"/>
      <c r="F1303" s="20" t="n"/>
      <c r="G1303" s="20" t="n"/>
      <c r="H1303" s="8" t="n"/>
      <c r="I1303" s="20" t="n"/>
      <c r="J1303" s="21">
        <f>IF(B1303="","",F1303+G1303)</f>
        <v/>
      </c>
      <c r="K1303" s="21">
        <f>IF(B1303="","",J1303*(Settings!$C$11+Settings!$C$12+Settings!$C$14)+IF(C1303="",Settings!$C$13,IF(COUNTIF($C$5:C1303,C1303)=1,Settings!$C$13,0))+E1303*Settings!$C$15+IF(H1303="Yes",J1303*Settings!$C$16,0))</f>
        <v/>
      </c>
      <c r="L1303" s="21">
        <f>IF(B1303="","",IF(Settings!$C$5="Yes",0,K1303*Settings!$C$17))</f>
        <v/>
      </c>
      <c r="M1303" s="21">
        <f>IF(B1303="","",E1303*IFERROR(VLOOKUP(D1303,Products!$B$5:$F$204,5,FALSE),0))</f>
        <v/>
      </c>
      <c r="N1303" s="21">
        <f>IF(B1303="","",J1303-K1303-L1303-M1303-I1303)</f>
        <v/>
      </c>
    </row>
    <row r="1304">
      <c r="B1304" s="11" t="n"/>
      <c r="C1304" s="8" t="n"/>
      <c r="D1304" s="8" t="n"/>
      <c r="E1304" s="8" t="n"/>
      <c r="F1304" s="20" t="n"/>
      <c r="G1304" s="20" t="n"/>
      <c r="H1304" s="8" t="n"/>
      <c r="I1304" s="20" t="n"/>
      <c r="J1304" s="21">
        <f>IF(B1304="","",F1304+G1304)</f>
        <v/>
      </c>
      <c r="K1304" s="21">
        <f>IF(B1304="","",J1304*(Settings!$C$11+Settings!$C$12+Settings!$C$14)+IF(C1304="",Settings!$C$13,IF(COUNTIF($C$5:C1304,C1304)=1,Settings!$C$13,0))+E1304*Settings!$C$15+IF(H1304="Yes",J1304*Settings!$C$16,0))</f>
        <v/>
      </c>
      <c r="L1304" s="21">
        <f>IF(B1304="","",IF(Settings!$C$5="Yes",0,K1304*Settings!$C$17))</f>
        <v/>
      </c>
      <c r="M1304" s="21">
        <f>IF(B1304="","",E1304*IFERROR(VLOOKUP(D1304,Products!$B$5:$F$204,5,FALSE),0))</f>
        <v/>
      </c>
      <c r="N1304" s="21">
        <f>IF(B1304="","",J1304-K1304-L1304-M1304-I1304)</f>
        <v/>
      </c>
    </row>
    <row r="1305">
      <c r="B1305" s="11" t="n"/>
      <c r="C1305" s="8" t="n"/>
      <c r="D1305" s="8" t="n"/>
      <c r="E1305" s="8" t="n"/>
      <c r="F1305" s="20" t="n"/>
      <c r="G1305" s="20" t="n"/>
      <c r="H1305" s="8" t="n"/>
      <c r="I1305" s="20" t="n"/>
      <c r="J1305" s="21">
        <f>IF(B1305="","",F1305+G1305)</f>
        <v/>
      </c>
      <c r="K1305" s="21">
        <f>IF(B1305="","",J1305*(Settings!$C$11+Settings!$C$12+Settings!$C$14)+IF(C1305="",Settings!$C$13,IF(COUNTIF($C$5:C1305,C1305)=1,Settings!$C$13,0))+E1305*Settings!$C$15+IF(H1305="Yes",J1305*Settings!$C$16,0))</f>
        <v/>
      </c>
      <c r="L1305" s="21">
        <f>IF(B1305="","",IF(Settings!$C$5="Yes",0,K1305*Settings!$C$17))</f>
        <v/>
      </c>
      <c r="M1305" s="21">
        <f>IF(B1305="","",E1305*IFERROR(VLOOKUP(D1305,Products!$B$5:$F$204,5,FALSE),0))</f>
        <v/>
      </c>
      <c r="N1305" s="21">
        <f>IF(B1305="","",J1305-K1305-L1305-M1305-I1305)</f>
        <v/>
      </c>
    </row>
    <row r="1306">
      <c r="B1306" s="11" t="n"/>
      <c r="C1306" s="8" t="n"/>
      <c r="D1306" s="8" t="n"/>
      <c r="E1306" s="8" t="n"/>
      <c r="F1306" s="20" t="n"/>
      <c r="G1306" s="20" t="n"/>
      <c r="H1306" s="8" t="n"/>
      <c r="I1306" s="20" t="n"/>
      <c r="J1306" s="21">
        <f>IF(B1306="","",F1306+G1306)</f>
        <v/>
      </c>
      <c r="K1306" s="21">
        <f>IF(B1306="","",J1306*(Settings!$C$11+Settings!$C$12+Settings!$C$14)+IF(C1306="",Settings!$C$13,IF(COUNTIF($C$5:C1306,C1306)=1,Settings!$C$13,0))+E1306*Settings!$C$15+IF(H1306="Yes",J1306*Settings!$C$16,0))</f>
        <v/>
      </c>
      <c r="L1306" s="21">
        <f>IF(B1306="","",IF(Settings!$C$5="Yes",0,K1306*Settings!$C$17))</f>
        <v/>
      </c>
      <c r="M1306" s="21">
        <f>IF(B1306="","",E1306*IFERROR(VLOOKUP(D1306,Products!$B$5:$F$204,5,FALSE),0))</f>
        <v/>
      </c>
      <c r="N1306" s="21">
        <f>IF(B1306="","",J1306-K1306-L1306-M1306-I1306)</f>
        <v/>
      </c>
    </row>
    <row r="1307">
      <c r="B1307" s="11" t="n"/>
      <c r="C1307" s="8" t="n"/>
      <c r="D1307" s="8" t="n"/>
      <c r="E1307" s="8" t="n"/>
      <c r="F1307" s="20" t="n"/>
      <c r="G1307" s="20" t="n"/>
      <c r="H1307" s="8" t="n"/>
      <c r="I1307" s="20" t="n"/>
      <c r="J1307" s="21">
        <f>IF(B1307="","",F1307+G1307)</f>
        <v/>
      </c>
      <c r="K1307" s="21">
        <f>IF(B1307="","",J1307*(Settings!$C$11+Settings!$C$12+Settings!$C$14)+IF(C1307="",Settings!$C$13,IF(COUNTIF($C$5:C1307,C1307)=1,Settings!$C$13,0))+E1307*Settings!$C$15+IF(H1307="Yes",J1307*Settings!$C$16,0))</f>
        <v/>
      </c>
      <c r="L1307" s="21">
        <f>IF(B1307="","",IF(Settings!$C$5="Yes",0,K1307*Settings!$C$17))</f>
        <v/>
      </c>
      <c r="M1307" s="21">
        <f>IF(B1307="","",E1307*IFERROR(VLOOKUP(D1307,Products!$B$5:$F$204,5,FALSE),0))</f>
        <v/>
      </c>
      <c r="N1307" s="21">
        <f>IF(B1307="","",J1307-K1307-L1307-M1307-I1307)</f>
        <v/>
      </c>
    </row>
    <row r="1308">
      <c r="B1308" s="11" t="n"/>
      <c r="C1308" s="8" t="n"/>
      <c r="D1308" s="8" t="n"/>
      <c r="E1308" s="8" t="n"/>
      <c r="F1308" s="20" t="n"/>
      <c r="G1308" s="20" t="n"/>
      <c r="H1308" s="8" t="n"/>
      <c r="I1308" s="20" t="n"/>
      <c r="J1308" s="21">
        <f>IF(B1308="","",F1308+G1308)</f>
        <v/>
      </c>
      <c r="K1308" s="21">
        <f>IF(B1308="","",J1308*(Settings!$C$11+Settings!$C$12+Settings!$C$14)+IF(C1308="",Settings!$C$13,IF(COUNTIF($C$5:C1308,C1308)=1,Settings!$C$13,0))+E1308*Settings!$C$15+IF(H1308="Yes",J1308*Settings!$C$16,0))</f>
        <v/>
      </c>
      <c r="L1308" s="21">
        <f>IF(B1308="","",IF(Settings!$C$5="Yes",0,K1308*Settings!$C$17))</f>
        <v/>
      </c>
      <c r="M1308" s="21">
        <f>IF(B1308="","",E1308*IFERROR(VLOOKUP(D1308,Products!$B$5:$F$204,5,FALSE),0))</f>
        <v/>
      </c>
      <c r="N1308" s="21">
        <f>IF(B1308="","",J1308-K1308-L1308-M1308-I1308)</f>
        <v/>
      </c>
    </row>
    <row r="1309">
      <c r="B1309" s="11" t="n"/>
      <c r="C1309" s="8" t="n"/>
      <c r="D1309" s="8" t="n"/>
      <c r="E1309" s="8" t="n"/>
      <c r="F1309" s="20" t="n"/>
      <c r="G1309" s="20" t="n"/>
      <c r="H1309" s="8" t="n"/>
      <c r="I1309" s="20" t="n"/>
      <c r="J1309" s="21">
        <f>IF(B1309="","",F1309+G1309)</f>
        <v/>
      </c>
      <c r="K1309" s="21">
        <f>IF(B1309="","",J1309*(Settings!$C$11+Settings!$C$12+Settings!$C$14)+IF(C1309="",Settings!$C$13,IF(COUNTIF($C$5:C1309,C1309)=1,Settings!$C$13,0))+E1309*Settings!$C$15+IF(H1309="Yes",J1309*Settings!$C$16,0))</f>
        <v/>
      </c>
      <c r="L1309" s="21">
        <f>IF(B1309="","",IF(Settings!$C$5="Yes",0,K1309*Settings!$C$17))</f>
        <v/>
      </c>
      <c r="M1309" s="21">
        <f>IF(B1309="","",E1309*IFERROR(VLOOKUP(D1309,Products!$B$5:$F$204,5,FALSE),0))</f>
        <v/>
      </c>
      <c r="N1309" s="21">
        <f>IF(B1309="","",J1309-K1309-L1309-M1309-I1309)</f>
        <v/>
      </c>
    </row>
    <row r="1310">
      <c r="B1310" s="11" t="n"/>
      <c r="C1310" s="8" t="n"/>
      <c r="D1310" s="8" t="n"/>
      <c r="E1310" s="8" t="n"/>
      <c r="F1310" s="20" t="n"/>
      <c r="G1310" s="20" t="n"/>
      <c r="H1310" s="8" t="n"/>
      <c r="I1310" s="20" t="n"/>
      <c r="J1310" s="21">
        <f>IF(B1310="","",F1310+G1310)</f>
        <v/>
      </c>
      <c r="K1310" s="21">
        <f>IF(B1310="","",J1310*(Settings!$C$11+Settings!$C$12+Settings!$C$14)+IF(C1310="",Settings!$C$13,IF(COUNTIF($C$5:C1310,C1310)=1,Settings!$C$13,0))+E1310*Settings!$C$15+IF(H1310="Yes",J1310*Settings!$C$16,0))</f>
        <v/>
      </c>
      <c r="L1310" s="21">
        <f>IF(B1310="","",IF(Settings!$C$5="Yes",0,K1310*Settings!$C$17))</f>
        <v/>
      </c>
      <c r="M1310" s="21">
        <f>IF(B1310="","",E1310*IFERROR(VLOOKUP(D1310,Products!$B$5:$F$204,5,FALSE),0))</f>
        <v/>
      </c>
      <c r="N1310" s="21">
        <f>IF(B1310="","",J1310-K1310-L1310-M1310-I1310)</f>
        <v/>
      </c>
    </row>
    <row r="1311">
      <c r="B1311" s="11" t="n"/>
      <c r="C1311" s="8" t="n"/>
      <c r="D1311" s="8" t="n"/>
      <c r="E1311" s="8" t="n"/>
      <c r="F1311" s="20" t="n"/>
      <c r="G1311" s="20" t="n"/>
      <c r="H1311" s="8" t="n"/>
      <c r="I1311" s="20" t="n"/>
      <c r="J1311" s="21">
        <f>IF(B1311="","",F1311+G1311)</f>
        <v/>
      </c>
      <c r="K1311" s="21">
        <f>IF(B1311="","",J1311*(Settings!$C$11+Settings!$C$12+Settings!$C$14)+IF(C1311="",Settings!$C$13,IF(COUNTIF($C$5:C1311,C1311)=1,Settings!$C$13,0))+E1311*Settings!$C$15+IF(H1311="Yes",J1311*Settings!$C$16,0))</f>
        <v/>
      </c>
      <c r="L1311" s="21">
        <f>IF(B1311="","",IF(Settings!$C$5="Yes",0,K1311*Settings!$C$17))</f>
        <v/>
      </c>
      <c r="M1311" s="21">
        <f>IF(B1311="","",E1311*IFERROR(VLOOKUP(D1311,Products!$B$5:$F$204,5,FALSE),0))</f>
        <v/>
      </c>
      <c r="N1311" s="21">
        <f>IF(B1311="","",J1311-K1311-L1311-M1311-I1311)</f>
        <v/>
      </c>
    </row>
    <row r="1312">
      <c r="B1312" s="11" t="n"/>
      <c r="C1312" s="8" t="n"/>
      <c r="D1312" s="8" t="n"/>
      <c r="E1312" s="8" t="n"/>
      <c r="F1312" s="20" t="n"/>
      <c r="G1312" s="20" t="n"/>
      <c r="H1312" s="8" t="n"/>
      <c r="I1312" s="20" t="n"/>
      <c r="J1312" s="21">
        <f>IF(B1312="","",F1312+G1312)</f>
        <v/>
      </c>
      <c r="K1312" s="21">
        <f>IF(B1312="","",J1312*(Settings!$C$11+Settings!$C$12+Settings!$C$14)+IF(C1312="",Settings!$C$13,IF(COUNTIF($C$5:C1312,C1312)=1,Settings!$C$13,0))+E1312*Settings!$C$15+IF(H1312="Yes",J1312*Settings!$C$16,0))</f>
        <v/>
      </c>
      <c r="L1312" s="21">
        <f>IF(B1312="","",IF(Settings!$C$5="Yes",0,K1312*Settings!$C$17))</f>
        <v/>
      </c>
      <c r="M1312" s="21">
        <f>IF(B1312="","",E1312*IFERROR(VLOOKUP(D1312,Products!$B$5:$F$204,5,FALSE),0))</f>
        <v/>
      </c>
      <c r="N1312" s="21">
        <f>IF(B1312="","",J1312-K1312-L1312-M1312-I1312)</f>
        <v/>
      </c>
    </row>
    <row r="1313">
      <c r="B1313" s="11" t="n"/>
      <c r="C1313" s="8" t="n"/>
      <c r="D1313" s="8" t="n"/>
      <c r="E1313" s="8" t="n"/>
      <c r="F1313" s="20" t="n"/>
      <c r="G1313" s="20" t="n"/>
      <c r="H1313" s="8" t="n"/>
      <c r="I1313" s="20" t="n"/>
      <c r="J1313" s="21">
        <f>IF(B1313="","",F1313+G1313)</f>
        <v/>
      </c>
      <c r="K1313" s="21">
        <f>IF(B1313="","",J1313*(Settings!$C$11+Settings!$C$12+Settings!$C$14)+IF(C1313="",Settings!$C$13,IF(COUNTIF($C$5:C1313,C1313)=1,Settings!$C$13,0))+E1313*Settings!$C$15+IF(H1313="Yes",J1313*Settings!$C$16,0))</f>
        <v/>
      </c>
      <c r="L1313" s="21">
        <f>IF(B1313="","",IF(Settings!$C$5="Yes",0,K1313*Settings!$C$17))</f>
        <v/>
      </c>
      <c r="M1313" s="21">
        <f>IF(B1313="","",E1313*IFERROR(VLOOKUP(D1313,Products!$B$5:$F$204,5,FALSE),0))</f>
        <v/>
      </c>
      <c r="N1313" s="21">
        <f>IF(B1313="","",J1313-K1313-L1313-M1313-I1313)</f>
        <v/>
      </c>
    </row>
    <row r="1314">
      <c r="B1314" s="11" t="n"/>
      <c r="C1314" s="8" t="n"/>
      <c r="D1314" s="8" t="n"/>
      <c r="E1314" s="8" t="n"/>
      <c r="F1314" s="20" t="n"/>
      <c r="G1314" s="20" t="n"/>
      <c r="H1314" s="8" t="n"/>
      <c r="I1314" s="20" t="n"/>
      <c r="J1314" s="21">
        <f>IF(B1314="","",F1314+G1314)</f>
        <v/>
      </c>
      <c r="K1314" s="21">
        <f>IF(B1314="","",J1314*(Settings!$C$11+Settings!$C$12+Settings!$C$14)+IF(C1314="",Settings!$C$13,IF(COUNTIF($C$5:C1314,C1314)=1,Settings!$C$13,0))+E1314*Settings!$C$15+IF(H1314="Yes",J1314*Settings!$C$16,0))</f>
        <v/>
      </c>
      <c r="L1314" s="21">
        <f>IF(B1314="","",IF(Settings!$C$5="Yes",0,K1314*Settings!$C$17))</f>
        <v/>
      </c>
      <c r="M1314" s="21">
        <f>IF(B1314="","",E1314*IFERROR(VLOOKUP(D1314,Products!$B$5:$F$204,5,FALSE),0))</f>
        <v/>
      </c>
      <c r="N1314" s="21">
        <f>IF(B1314="","",J1314-K1314-L1314-M1314-I1314)</f>
        <v/>
      </c>
    </row>
    <row r="1315">
      <c r="B1315" s="11" t="n"/>
      <c r="C1315" s="8" t="n"/>
      <c r="D1315" s="8" t="n"/>
      <c r="E1315" s="8" t="n"/>
      <c r="F1315" s="20" t="n"/>
      <c r="G1315" s="20" t="n"/>
      <c r="H1315" s="8" t="n"/>
      <c r="I1315" s="20" t="n"/>
      <c r="J1315" s="21">
        <f>IF(B1315="","",F1315+G1315)</f>
        <v/>
      </c>
      <c r="K1315" s="21">
        <f>IF(B1315="","",J1315*(Settings!$C$11+Settings!$C$12+Settings!$C$14)+IF(C1315="",Settings!$C$13,IF(COUNTIF($C$5:C1315,C1315)=1,Settings!$C$13,0))+E1315*Settings!$C$15+IF(H1315="Yes",J1315*Settings!$C$16,0))</f>
        <v/>
      </c>
      <c r="L1315" s="21">
        <f>IF(B1315="","",IF(Settings!$C$5="Yes",0,K1315*Settings!$C$17))</f>
        <v/>
      </c>
      <c r="M1315" s="21">
        <f>IF(B1315="","",E1315*IFERROR(VLOOKUP(D1315,Products!$B$5:$F$204,5,FALSE),0))</f>
        <v/>
      </c>
      <c r="N1315" s="21">
        <f>IF(B1315="","",J1315-K1315-L1315-M1315-I1315)</f>
        <v/>
      </c>
    </row>
    <row r="1316">
      <c r="B1316" s="11" t="n"/>
      <c r="C1316" s="8" t="n"/>
      <c r="D1316" s="8" t="n"/>
      <c r="E1316" s="8" t="n"/>
      <c r="F1316" s="20" t="n"/>
      <c r="G1316" s="20" t="n"/>
      <c r="H1316" s="8" t="n"/>
      <c r="I1316" s="20" t="n"/>
      <c r="J1316" s="21">
        <f>IF(B1316="","",F1316+G1316)</f>
        <v/>
      </c>
      <c r="K1316" s="21">
        <f>IF(B1316="","",J1316*(Settings!$C$11+Settings!$C$12+Settings!$C$14)+IF(C1316="",Settings!$C$13,IF(COUNTIF($C$5:C1316,C1316)=1,Settings!$C$13,0))+E1316*Settings!$C$15+IF(H1316="Yes",J1316*Settings!$C$16,0))</f>
        <v/>
      </c>
      <c r="L1316" s="21">
        <f>IF(B1316="","",IF(Settings!$C$5="Yes",0,K1316*Settings!$C$17))</f>
        <v/>
      </c>
      <c r="M1316" s="21">
        <f>IF(B1316="","",E1316*IFERROR(VLOOKUP(D1316,Products!$B$5:$F$204,5,FALSE),0))</f>
        <v/>
      </c>
      <c r="N1316" s="21">
        <f>IF(B1316="","",J1316-K1316-L1316-M1316-I1316)</f>
        <v/>
      </c>
    </row>
    <row r="1317">
      <c r="B1317" s="11" t="n"/>
      <c r="C1317" s="8" t="n"/>
      <c r="D1317" s="8" t="n"/>
      <c r="E1317" s="8" t="n"/>
      <c r="F1317" s="20" t="n"/>
      <c r="G1317" s="20" t="n"/>
      <c r="H1317" s="8" t="n"/>
      <c r="I1317" s="20" t="n"/>
      <c r="J1317" s="21">
        <f>IF(B1317="","",F1317+G1317)</f>
        <v/>
      </c>
      <c r="K1317" s="21">
        <f>IF(B1317="","",J1317*(Settings!$C$11+Settings!$C$12+Settings!$C$14)+IF(C1317="",Settings!$C$13,IF(COUNTIF($C$5:C1317,C1317)=1,Settings!$C$13,0))+E1317*Settings!$C$15+IF(H1317="Yes",J1317*Settings!$C$16,0))</f>
        <v/>
      </c>
      <c r="L1317" s="21">
        <f>IF(B1317="","",IF(Settings!$C$5="Yes",0,K1317*Settings!$C$17))</f>
        <v/>
      </c>
      <c r="M1317" s="21">
        <f>IF(B1317="","",E1317*IFERROR(VLOOKUP(D1317,Products!$B$5:$F$204,5,FALSE),0))</f>
        <v/>
      </c>
      <c r="N1317" s="21">
        <f>IF(B1317="","",J1317-K1317-L1317-M1317-I1317)</f>
        <v/>
      </c>
    </row>
    <row r="1318">
      <c r="B1318" s="11" t="n"/>
      <c r="C1318" s="8" t="n"/>
      <c r="D1318" s="8" t="n"/>
      <c r="E1318" s="8" t="n"/>
      <c r="F1318" s="20" t="n"/>
      <c r="G1318" s="20" t="n"/>
      <c r="H1318" s="8" t="n"/>
      <c r="I1318" s="20" t="n"/>
      <c r="J1318" s="21">
        <f>IF(B1318="","",F1318+G1318)</f>
        <v/>
      </c>
      <c r="K1318" s="21">
        <f>IF(B1318="","",J1318*(Settings!$C$11+Settings!$C$12+Settings!$C$14)+IF(C1318="",Settings!$C$13,IF(COUNTIF($C$5:C1318,C1318)=1,Settings!$C$13,0))+E1318*Settings!$C$15+IF(H1318="Yes",J1318*Settings!$C$16,0))</f>
        <v/>
      </c>
      <c r="L1318" s="21">
        <f>IF(B1318="","",IF(Settings!$C$5="Yes",0,K1318*Settings!$C$17))</f>
        <v/>
      </c>
      <c r="M1318" s="21">
        <f>IF(B1318="","",E1318*IFERROR(VLOOKUP(D1318,Products!$B$5:$F$204,5,FALSE),0))</f>
        <v/>
      </c>
      <c r="N1318" s="21">
        <f>IF(B1318="","",J1318-K1318-L1318-M1318-I1318)</f>
        <v/>
      </c>
    </row>
    <row r="1319">
      <c r="B1319" s="11" t="n"/>
      <c r="C1319" s="8" t="n"/>
      <c r="D1319" s="8" t="n"/>
      <c r="E1319" s="8" t="n"/>
      <c r="F1319" s="20" t="n"/>
      <c r="G1319" s="20" t="n"/>
      <c r="H1319" s="8" t="n"/>
      <c r="I1319" s="20" t="n"/>
      <c r="J1319" s="21">
        <f>IF(B1319="","",F1319+G1319)</f>
        <v/>
      </c>
      <c r="K1319" s="21">
        <f>IF(B1319="","",J1319*(Settings!$C$11+Settings!$C$12+Settings!$C$14)+IF(C1319="",Settings!$C$13,IF(COUNTIF($C$5:C1319,C1319)=1,Settings!$C$13,0))+E1319*Settings!$C$15+IF(H1319="Yes",J1319*Settings!$C$16,0))</f>
        <v/>
      </c>
      <c r="L1319" s="21">
        <f>IF(B1319="","",IF(Settings!$C$5="Yes",0,K1319*Settings!$C$17))</f>
        <v/>
      </c>
      <c r="M1319" s="21">
        <f>IF(B1319="","",E1319*IFERROR(VLOOKUP(D1319,Products!$B$5:$F$204,5,FALSE),0))</f>
        <v/>
      </c>
      <c r="N1319" s="21">
        <f>IF(B1319="","",J1319-K1319-L1319-M1319-I1319)</f>
        <v/>
      </c>
    </row>
    <row r="1320">
      <c r="B1320" s="11" t="n"/>
      <c r="C1320" s="8" t="n"/>
      <c r="D1320" s="8" t="n"/>
      <c r="E1320" s="8" t="n"/>
      <c r="F1320" s="20" t="n"/>
      <c r="G1320" s="20" t="n"/>
      <c r="H1320" s="8" t="n"/>
      <c r="I1320" s="20" t="n"/>
      <c r="J1320" s="21">
        <f>IF(B1320="","",F1320+G1320)</f>
        <v/>
      </c>
      <c r="K1320" s="21">
        <f>IF(B1320="","",J1320*(Settings!$C$11+Settings!$C$12+Settings!$C$14)+IF(C1320="",Settings!$C$13,IF(COUNTIF($C$5:C1320,C1320)=1,Settings!$C$13,0))+E1320*Settings!$C$15+IF(H1320="Yes",J1320*Settings!$C$16,0))</f>
        <v/>
      </c>
      <c r="L1320" s="21">
        <f>IF(B1320="","",IF(Settings!$C$5="Yes",0,K1320*Settings!$C$17))</f>
        <v/>
      </c>
      <c r="M1320" s="21">
        <f>IF(B1320="","",E1320*IFERROR(VLOOKUP(D1320,Products!$B$5:$F$204,5,FALSE),0))</f>
        <v/>
      </c>
      <c r="N1320" s="21">
        <f>IF(B1320="","",J1320-K1320-L1320-M1320-I1320)</f>
        <v/>
      </c>
    </row>
    <row r="1321">
      <c r="B1321" s="11" t="n"/>
      <c r="C1321" s="8" t="n"/>
      <c r="D1321" s="8" t="n"/>
      <c r="E1321" s="8" t="n"/>
      <c r="F1321" s="20" t="n"/>
      <c r="G1321" s="20" t="n"/>
      <c r="H1321" s="8" t="n"/>
      <c r="I1321" s="20" t="n"/>
      <c r="J1321" s="21">
        <f>IF(B1321="","",F1321+G1321)</f>
        <v/>
      </c>
      <c r="K1321" s="21">
        <f>IF(B1321="","",J1321*(Settings!$C$11+Settings!$C$12+Settings!$C$14)+IF(C1321="",Settings!$C$13,IF(COUNTIF($C$5:C1321,C1321)=1,Settings!$C$13,0))+E1321*Settings!$C$15+IF(H1321="Yes",J1321*Settings!$C$16,0))</f>
        <v/>
      </c>
      <c r="L1321" s="21">
        <f>IF(B1321="","",IF(Settings!$C$5="Yes",0,K1321*Settings!$C$17))</f>
        <v/>
      </c>
      <c r="M1321" s="21">
        <f>IF(B1321="","",E1321*IFERROR(VLOOKUP(D1321,Products!$B$5:$F$204,5,FALSE),0))</f>
        <v/>
      </c>
      <c r="N1321" s="21">
        <f>IF(B1321="","",J1321-K1321-L1321-M1321-I1321)</f>
        <v/>
      </c>
    </row>
    <row r="1322">
      <c r="B1322" s="11" t="n"/>
      <c r="C1322" s="8" t="n"/>
      <c r="D1322" s="8" t="n"/>
      <c r="E1322" s="8" t="n"/>
      <c r="F1322" s="20" t="n"/>
      <c r="G1322" s="20" t="n"/>
      <c r="H1322" s="8" t="n"/>
      <c r="I1322" s="20" t="n"/>
      <c r="J1322" s="21">
        <f>IF(B1322="","",F1322+G1322)</f>
        <v/>
      </c>
      <c r="K1322" s="21">
        <f>IF(B1322="","",J1322*(Settings!$C$11+Settings!$C$12+Settings!$C$14)+IF(C1322="",Settings!$C$13,IF(COUNTIF($C$5:C1322,C1322)=1,Settings!$C$13,0))+E1322*Settings!$C$15+IF(H1322="Yes",J1322*Settings!$C$16,0))</f>
        <v/>
      </c>
      <c r="L1322" s="21">
        <f>IF(B1322="","",IF(Settings!$C$5="Yes",0,K1322*Settings!$C$17))</f>
        <v/>
      </c>
      <c r="M1322" s="21">
        <f>IF(B1322="","",E1322*IFERROR(VLOOKUP(D1322,Products!$B$5:$F$204,5,FALSE),0))</f>
        <v/>
      </c>
      <c r="N1322" s="21">
        <f>IF(B1322="","",J1322-K1322-L1322-M1322-I1322)</f>
        <v/>
      </c>
    </row>
    <row r="1323">
      <c r="B1323" s="11" t="n"/>
      <c r="C1323" s="8" t="n"/>
      <c r="D1323" s="8" t="n"/>
      <c r="E1323" s="8" t="n"/>
      <c r="F1323" s="20" t="n"/>
      <c r="G1323" s="20" t="n"/>
      <c r="H1323" s="8" t="n"/>
      <c r="I1323" s="20" t="n"/>
      <c r="J1323" s="21">
        <f>IF(B1323="","",F1323+G1323)</f>
        <v/>
      </c>
      <c r="K1323" s="21">
        <f>IF(B1323="","",J1323*(Settings!$C$11+Settings!$C$12+Settings!$C$14)+IF(C1323="",Settings!$C$13,IF(COUNTIF($C$5:C1323,C1323)=1,Settings!$C$13,0))+E1323*Settings!$C$15+IF(H1323="Yes",J1323*Settings!$C$16,0))</f>
        <v/>
      </c>
      <c r="L1323" s="21">
        <f>IF(B1323="","",IF(Settings!$C$5="Yes",0,K1323*Settings!$C$17))</f>
        <v/>
      </c>
      <c r="M1323" s="21">
        <f>IF(B1323="","",E1323*IFERROR(VLOOKUP(D1323,Products!$B$5:$F$204,5,FALSE),0))</f>
        <v/>
      </c>
      <c r="N1323" s="21">
        <f>IF(B1323="","",J1323-K1323-L1323-M1323-I1323)</f>
        <v/>
      </c>
    </row>
    <row r="1324">
      <c r="B1324" s="11" t="n"/>
      <c r="C1324" s="8" t="n"/>
      <c r="D1324" s="8" t="n"/>
      <c r="E1324" s="8" t="n"/>
      <c r="F1324" s="20" t="n"/>
      <c r="G1324" s="20" t="n"/>
      <c r="H1324" s="8" t="n"/>
      <c r="I1324" s="20" t="n"/>
      <c r="J1324" s="21">
        <f>IF(B1324="","",F1324+G1324)</f>
        <v/>
      </c>
      <c r="K1324" s="21">
        <f>IF(B1324="","",J1324*(Settings!$C$11+Settings!$C$12+Settings!$C$14)+IF(C1324="",Settings!$C$13,IF(COUNTIF($C$5:C1324,C1324)=1,Settings!$C$13,0))+E1324*Settings!$C$15+IF(H1324="Yes",J1324*Settings!$C$16,0))</f>
        <v/>
      </c>
      <c r="L1324" s="21">
        <f>IF(B1324="","",IF(Settings!$C$5="Yes",0,K1324*Settings!$C$17))</f>
        <v/>
      </c>
      <c r="M1324" s="21">
        <f>IF(B1324="","",E1324*IFERROR(VLOOKUP(D1324,Products!$B$5:$F$204,5,FALSE),0))</f>
        <v/>
      </c>
      <c r="N1324" s="21">
        <f>IF(B1324="","",J1324-K1324-L1324-M1324-I1324)</f>
        <v/>
      </c>
    </row>
    <row r="1325">
      <c r="B1325" s="11" t="n"/>
      <c r="C1325" s="8" t="n"/>
      <c r="D1325" s="8" t="n"/>
      <c r="E1325" s="8" t="n"/>
      <c r="F1325" s="20" t="n"/>
      <c r="G1325" s="20" t="n"/>
      <c r="H1325" s="8" t="n"/>
      <c r="I1325" s="20" t="n"/>
      <c r="J1325" s="21">
        <f>IF(B1325="","",F1325+G1325)</f>
        <v/>
      </c>
      <c r="K1325" s="21">
        <f>IF(B1325="","",J1325*(Settings!$C$11+Settings!$C$12+Settings!$C$14)+IF(C1325="",Settings!$C$13,IF(COUNTIF($C$5:C1325,C1325)=1,Settings!$C$13,0))+E1325*Settings!$C$15+IF(H1325="Yes",J1325*Settings!$C$16,0))</f>
        <v/>
      </c>
      <c r="L1325" s="21">
        <f>IF(B1325="","",IF(Settings!$C$5="Yes",0,K1325*Settings!$C$17))</f>
        <v/>
      </c>
      <c r="M1325" s="21">
        <f>IF(B1325="","",E1325*IFERROR(VLOOKUP(D1325,Products!$B$5:$F$204,5,FALSE),0))</f>
        <v/>
      </c>
      <c r="N1325" s="21">
        <f>IF(B1325="","",J1325-K1325-L1325-M1325-I1325)</f>
        <v/>
      </c>
    </row>
    <row r="1326">
      <c r="B1326" s="11" t="n"/>
      <c r="C1326" s="8" t="n"/>
      <c r="D1326" s="8" t="n"/>
      <c r="E1326" s="8" t="n"/>
      <c r="F1326" s="20" t="n"/>
      <c r="G1326" s="20" t="n"/>
      <c r="H1326" s="8" t="n"/>
      <c r="I1326" s="20" t="n"/>
      <c r="J1326" s="21">
        <f>IF(B1326="","",F1326+G1326)</f>
        <v/>
      </c>
      <c r="K1326" s="21">
        <f>IF(B1326="","",J1326*(Settings!$C$11+Settings!$C$12+Settings!$C$14)+IF(C1326="",Settings!$C$13,IF(COUNTIF($C$5:C1326,C1326)=1,Settings!$C$13,0))+E1326*Settings!$C$15+IF(H1326="Yes",J1326*Settings!$C$16,0))</f>
        <v/>
      </c>
      <c r="L1326" s="21">
        <f>IF(B1326="","",IF(Settings!$C$5="Yes",0,K1326*Settings!$C$17))</f>
        <v/>
      </c>
      <c r="M1326" s="21">
        <f>IF(B1326="","",E1326*IFERROR(VLOOKUP(D1326,Products!$B$5:$F$204,5,FALSE),0))</f>
        <v/>
      </c>
      <c r="N1326" s="21">
        <f>IF(B1326="","",J1326-K1326-L1326-M1326-I1326)</f>
        <v/>
      </c>
    </row>
    <row r="1327">
      <c r="B1327" s="11" t="n"/>
      <c r="C1327" s="8" t="n"/>
      <c r="D1327" s="8" t="n"/>
      <c r="E1327" s="8" t="n"/>
      <c r="F1327" s="20" t="n"/>
      <c r="G1327" s="20" t="n"/>
      <c r="H1327" s="8" t="n"/>
      <c r="I1327" s="20" t="n"/>
      <c r="J1327" s="21">
        <f>IF(B1327="","",F1327+G1327)</f>
        <v/>
      </c>
      <c r="K1327" s="21">
        <f>IF(B1327="","",J1327*(Settings!$C$11+Settings!$C$12+Settings!$C$14)+IF(C1327="",Settings!$C$13,IF(COUNTIF($C$5:C1327,C1327)=1,Settings!$C$13,0))+E1327*Settings!$C$15+IF(H1327="Yes",J1327*Settings!$C$16,0))</f>
        <v/>
      </c>
      <c r="L1327" s="21">
        <f>IF(B1327="","",IF(Settings!$C$5="Yes",0,K1327*Settings!$C$17))</f>
        <v/>
      </c>
      <c r="M1327" s="21">
        <f>IF(B1327="","",E1327*IFERROR(VLOOKUP(D1327,Products!$B$5:$F$204,5,FALSE),0))</f>
        <v/>
      </c>
      <c r="N1327" s="21">
        <f>IF(B1327="","",J1327-K1327-L1327-M1327-I1327)</f>
        <v/>
      </c>
    </row>
    <row r="1328">
      <c r="B1328" s="11" t="n"/>
      <c r="C1328" s="8" t="n"/>
      <c r="D1328" s="8" t="n"/>
      <c r="E1328" s="8" t="n"/>
      <c r="F1328" s="20" t="n"/>
      <c r="G1328" s="20" t="n"/>
      <c r="H1328" s="8" t="n"/>
      <c r="I1328" s="20" t="n"/>
      <c r="J1328" s="21">
        <f>IF(B1328="","",F1328+G1328)</f>
        <v/>
      </c>
      <c r="K1328" s="21">
        <f>IF(B1328="","",J1328*(Settings!$C$11+Settings!$C$12+Settings!$C$14)+IF(C1328="",Settings!$C$13,IF(COUNTIF($C$5:C1328,C1328)=1,Settings!$C$13,0))+E1328*Settings!$C$15+IF(H1328="Yes",J1328*Settings!$C$16,0))</f>
        <v/>
      </c>
      <c r="L1328" s="21">
        <f>IF(B1328="","",IF(Settings!$C$5="Yes",0,K1328*Settings!$C$17))</f>
        <v/>
      </c>
      <c r="M1328" s="21">
        <f>IF(B1328="","",E1328*IFERROR(VLOOKUP(D1328,Products!$B$5:$F$204,5,FALSE),0))</f>
        <v/>
      </c>
      <c r="N1328" s="21">
        <f>IF(B1328="","",J1328-K1328-L1328-M1328-I1328)</f>
        <v/>
      </c>
    </row>
    <row r="1329">
      <c r="B1329" s="11" t="n"/>
      <c r="C1329" s="8" t="n"/>
      <c r="D1329" s="8" t="n"/>
      <c r="E1329" s="8" t="n"/>
      <c r="F1329" s="20" t="n"/>
      <c r="G1329" s="20" t="n"/>
      <c r="H1329" s="8" t="n"/>
      <c r="I1329" s="20" t="n"/>
      <c r="J1329" s="21">
        <f>IF(B1329="","",F1329+G1329)</f>
        <v/>
      </c>
      <c r="K1329" s="21">
        <f>IF(B1329="","",J1329*(Settings!$C$11+Settings!$C$12+Settings!$C$14)+IF(C1329="",Settings!$C$13,IF(COUNTIF($C$5:C1329,C1329)=1,Settings!$C$13,0))+E1329*Settings!$C$15+IF(H1329="Yes",J1329*Settings!$C$16,0))</f>
        <v/>
      </c>
      <c r="L1329" s="21">
        <f>IF(B1329="","",IF(Settings!$C$5="Yes",0,K1329*Settings!$C$17))</f>
        <v/>
      </c>
      <c r="M1329" s="21">
        <f>IF(B1329="","",E1329*IFERROR(VLOOKUP(D1329,Products!$B$5:$F$204,5,FALSE),0))</f>
        <v/>
      </c>
      <c r="N1329" s="21">
        <f>IF(B1329="","",J1329-K1329-L1329-M1329-I1329)</f>
        <v/>
      </c>
    </row>
    <row r="1330">
      <c r="B1330" s="11" t="n"/>
      <c r="C1330" s="8" t="n"/>
      <c r="D1330" s="8" t="n"/>
      <c r="E1330" s="8" t="n"/>
      <c r="F1330" s="20" t="n"/>
      <c r="G1330" s="20" t="n"/>
      <c r="H1330" s="8" t="n"/>
      <c r="I1330" s="20" t="n"/>
      <c r="J1330" s="21">
        <f>IF(B1330="","",F1330+G1330)</f>
        <v/>
      </c>
      <c r="K1330" s="21">
        <f>IF(B1330="","",J1330*(Settings!$C$11+Settings!$C$12+Settings!$C$14)+IF(C1330="",Settings!$C$13,IF(COUNTIF($C$5:C1330,C1330)=1,Settings!$C$13,0))+E1330*Settings!$C$15+IF(H1330="Yes",J1330*Settings!$C$16,0))</f>
        <v/>
      </c>
      <c r="L1330" s="21">
        <f>IF(B1330="","",IF(Settings!$C$5="Yes",0,K1330*Settings!$C$17))</f>
        <v/>
      </c>
      <c r="M1330" s="21">
        <f>IF(B1330="","",E1330*IFERROR(VLOOKUP(D1330,Products!$B$5:$F$204,5,FALSE),0))</f>
        <v/>
      </c>
      <c r="N1330" s="21">
        <f>IF(B1330="","",J1330-K1330-L1330-M1330-I1330)</f>
        <v/>
      </c>
    </row>
    <row r="1331">
      <c r="B1331" s="11" t="n"/>
      <c r="C1331" s="8" t="n"/>
      <c r="D1331" s="8" t="n"/>
      <c r="E1331" s="8" t="n"/>
      <c r="F1331" s="20" t="n"/>
      <c r="G1331" s="20" t="n"/>
      <c r="H1331" s="8" t="n"/>
      <c r="I1331" s="20" t="n"/>
      <c r="J1331" s="21">
        <f>IF(B1331="","",F1331+G1331)</f>
        <v/>
      </c>
      <c r="K1331" s="21">
        <f>IF(B1331="","",J1331*(Settings!$C$11+Settings!$C$12+Settings!$C$14)+IF(C1331="",Settings!$C$13,IF(COUNTIF($C$5:C1331,C1331)=1,Settings!$C$13,0))+E1331*Settings!$C$15+IF(H1331="Yes",J1331*Settings!$C$16,0))</f>
        <v/>
      </c>
      <c r="L1331" s="21">
        <f>IF(B1331="","",IF(Settings!$C$5="Yes",0,K1331*Settings!$C$17))</f>
        <v/>
      </c>
      <c r="M1331" s="21">
        <f>IF(B1331="","",E1331*IFERROR(VLOOKUP(D1331,Products!$B$5:$F$204,5,FALSE),0))</f>
        <v/>
      </c>
      <c r="N1331" s="21">
        <f>IF(B1331="","",J1331-K1331-L1331-M1331-I1331)</f>
        <v/>
      </c>
    </row>
    <row r="1332">
      <c r="B1332" s="11" t="n"/>
      <c r="C1332" s="8" t="n"/>
      <c r="D1332" s="8" t="n"/>
      <c r="E1332" s="8" t="n"/>
      <c r="F1332" s="20" t="n"/>
      <c r="G1332" s="20" t="n"/>
      <c r="H1332" s="8" t="n"/>
      <c r="I1332" s="20" t="n"/>
      <c r="J1332" s="21">
        <f>IF(B1332="","",F1332+G1332)</f>
        <v/>
      </c>
      <c r="K1332" s="21">
        <f>IF(B1332="","",J1332*(Settings!$C$11+Settings!$C$12+Settings!$C$14)+IF(C1332="",Settings!$C$13,IF(COUNTIF($C$5:C1332,C1332)=1,Settings!$C$13,0))+E1332*Settings!$C$15+IF(H1332="Yes",J1332*Settings!$C$16,0))</f>
        <v/>
      </c>
      <c r="L1332" s="21">
        <f>IF(B1332="","",IF(Settings!$C$5="Yes",0,K1332*Settings!$C$17))</f>
        <v/>
      </c>
      <c r="M1332" s="21">
        <f>IF(B1332="","",E1332*IFERROR(VLOOKUP(D1332,Products!$B$5:$F$204,5,FALSE),0))</f>
        <v/>
      </c>
      <c r="N1332" s="21">
        <f>IF(B1332="","",J1332-K1332-L1332-M1332-I1332)</f>
        <v/>
      </c>
    </row>
    <row r="1333">
      <c r="B1333" s="11" t="n"/>
      <c r="C1333" s="8" t="n"/>
      <c r="D1333" s="8" t="n"/>
      <c r="E1333" s="8" t="n"/>
      <c r="F1333" s="20" t="n"/>
      <c r="G1333" s="20" t="n"/>
      <c r="H1333" s="8" t="n"/>
      <c r="I1333" s="20" t="n"/>
      <c r="J1333" s="21">
        <f>IF(B1333="","",F1333+G1333)</f>
        <v/>
      </c>
      <c r="K1333" s="21">
        <f>IF(B1333="","",J1333*(Settings!$C$11+Settings!$C$12+Settings!$C$14)+IF(C1333="",Settings!$C$13,IF(COUNTIF($C$5:C1333,C1333)=1,Settings!$C$13,0))+E1333*Settings!$C$15+IF(H1333="Yes",J1333*Settings!$C$16,0))</f>
        <v/>
      </c>
      <c r="L1333" s="21">
        <f>IF(B1333="","",IF(Settings!$C$5="Yes",0,K1333*Settings!$C$17))</f>
        <v/>
      </c>
      <c r="M1333" s="21">
        <f>IF(B1333="","",E1333*IFERROR(VLOOKUP(D1333,Products!$B$5:$F$204,5,FALSE),0))</f>
        <v/>
      </c>
      <c r="N1333" s="21">
        <f>IF(B1333="","",J1333-K1333-L1333-M1333-I1333)</f>
        <v/>
      </c>
    </row>
    <row r="1334">
      <c r="B1334" s="11" t="n"/>
      <c r="C1334" s="8" t="n"/>
      <c r="D1334" s="8" t="n"/>
      <c r="E1334" s="8" t="n"/>
      <c r="F1334" s="20" t="n"/>
      <c r="G1334" s="20" t="n"/>
      <c r="H1334" s="8" t="n"/>
      <c r="I1334" s="20" t="n"/>
      <c r="J1334" s="21">
        <f>IF(B1334="","",F1334+G1334)</f>
        <v/>
      </c>
      <c r="K1334" s="21">
        <f>IF(B1334="","",J1334*(Settings!$C$11+Settings!$C$12+Settings!$C$14)+IF(C1334="",Settings!$C$13,IF(COUNTIF($C$5:C1334,C1334)=1,Settings!$C$13,0))+E1334*Settings!$C$15+IF(H1334="Yes",J1334*Settings!$C$16,0))</f>
        <v/>
      </c>
      <c r="L1334" s="21">
        <f>IF(B1334="","",IF(Settings!$C$5="Yes",0,K1334*Settings!$C$17))</f>
        <v/>
      </c>
      <c r="M1334" s="21">
        <f>IF(B1334="","",E1334*IFERROR(VLOOKUP(D1334,Products!$B$5:$F$204,5,FALSE),0))</f>
        <v/>
      </c>
      <c r="N1334" s="21">
        <f>IF(B1334="","",J1334-K1334-L1334-M1334-I1334)</f>
        <v/>
      </c>
    </row>
    <row r="1335">
      <c r="B1335" s="11" t="n"/>
      <c r="C1335" s="8" t="n"/>
      <c r="D1335" s="8" t="n"/>
      <c r="E1335" s="8" t="n"/>
      <c r="F1335" s="20" t="n"/>
      <c r="G1335" s="20" t="n"/>
      <c r="H1335" s="8" t="n"/>
      <c r="I1335" s="20" t="n"/>
      <c r="J1335" s="21">
        <f>IF(B1335="","",F1335+G1335)</f>
        <v/>
      </c>
      <c r="K1335" s="21">
        <f>IF(B1335="","",J1335*(Settings!$C$11+Settings!$C$12+Settings!$C$14)+IF(C1335="",Settings!$C$13,IF(COUNTIF($C$5:C1335,C1335)=1,Settings!$C$13,0))+E1335*Settings!$C$15+IF(H1335="Yes",J1335*Settings!$C$16,0))</f>
        <v/>
      </c>
      <c r="L1335" s="21">
        <f>IF(B1335="","",IF(Settings!$C$5="Yes",0,K1335*Settings!$C$17))</f>
        <v/>
      </c>
      <c r="M1335" s="21">
        <f>IF(B1335="","",E1335*IFERROR(VLOOKUP(D1335,Products!$B$5:$F$204,5,FALSE),0))</f>
        <v/>
      </c>
      <c r="N1335" s="21">
        <f>IF(B1335="","",J1335-K1335-L1335-M1335-I1335)</f>
        <v/>
      </c>
    </row>
    <row r="1336">
      <c r="B1336" s="11" t="n"/>
      <c r="C1336" s="8" t="n"/>
      <c r="D1336" s="8" t="n"/>
      <c r="E1336" s="8" t="n"/>
      <c r="F1336" s="20" t="n"/>
      <c r="G1336" s="20" t="n"/>
      <c r="H1336" s="8" t="n"/>
      <c r="I1336" s="20" t="n"/>
      <c r="J1336" s="21">
        <f>IF(B1336="","",F1336+G1336)</f>
        <v/>
      </c>
      <c r="K1336" s="21">
        <f>IF(B1336="","",J1336*(Settings!$C$11+Settings!$C$12+Settings!$C$14)+IF(C1336="",Settings!$C$13,IF(COUNTIF($C$5:C1336,C1336)=1,Settings!$C$13,0))+E1336*Settings!$C$15+IF(H1336="Yes",J1336*Settings!$C$16,0))</f>
        <v/>
      </c>
      <c r="L1336" s="21">
        <f>IF(B1336="","",IF(Settings!$C$5="Yes",0,K1336*Settings!$C$17))</f>
        <v/>
      </c>
      <c r="M1336" s="21">
        <f>IF(B1336="","",E1336*IFERROR(VLOOKUP(D1336,Products!$B$5:$F$204,5,FALSE),0))</f>
        <v/>
      </c>
      <c r="N1336" s="21">
        <f>IF(B1336="","",J1336-K1336-L1336-M1336-I1336)</f>
        <v/>
      </c>
    </row>
    <row r="1337">
      <c r="B1337" s="11" t="n"/>
      <c r="C1337" s="8" t="n"/>
      <c r="D1337" s="8" t="n"/>
      <c r="E1337" s="8" t="n"/>
      <c r="F1337" s="20" t="n"/>
      <c r="G1337" s="20" t="n"/>
      <c r="H1337" s="8" t="n"/>
      <c r="I1337" s="20" t="n"/>
      <c r="J1337" s="21">
        <f>IF(B1337="","",F1337+G1337)</f>
        <v/>
      </c>
      <c r="K1337" s="21">
        <f>IF(B1337="","",J1337*(Settings!$C$11+Settings!$C$12+Settings!$C$14)+IF(C1337="",Settings!$C$13,IF(COUNTIF($C$5:C1337,C1337)=1,Settings!$C$13,0))+E1337*Settings!$C$15+IF(H1337="Yes",J1337*Settings!$C$16,0))</f>
        <v/>
      </c>
      <c r="L1337" s="21">
        <f>IF(B1337="","",IF(Settings!$C$5="Yes",0,K1337*Settings!$C$17))</f>
        <v/>
      </c>
      <c r="M1337" s="21">
        <f>IF(B1337="","",E1337*IFERROR(VLOOKUP(D1337,Products!$B$5:$F$204,5,FALSE),0))</f>
        <v/>
      </c>
      <c r="N1337" s="21">
        <f>IF(B1337="","",J1337-K1337-L1337-M1337-I1337)</f>
        <v/>
      </c>
    </row>
    <row r="1338">
      <c r="B1338" s="11" t="n"/>
      <c r="C1338" s="8" t="n"/>
      <c r="D1338" s="8" t="n"/>
      <c r="E1338" s="8" t="n"/>
      <c r="F1338" s="20" t="n"/>
      <c r="G1338" s="20" t="n"/>
      <c r="H1338" s="8" t="n"/>
      <c r="I1338" s="20" t="n"/>
      <c r="J1338" s="21">
        <f>IF(B1338="","",F1338+G1338)</f>
        <v/>
      </c>
      <c r="K1338" s="21">
        <f>IF(B1338="","",J1338*(Settings!$C$11+Settings!$C$12+Settings!$C$14)+IF(C1338="",Settings!$C$13,IF(COUNTIF($C$5:C1338,C1338)=1,Settings!$C$13,0))+E1338*Settings!$C$15+IF(H1338="Yes",J1338*Settings!$C$16,0))</f>
        <v/>
      </c>
      <c r="L1338" s="21">
        <f>IF(B1338="","",IF(Settings!$C$5="Yes",0,K1338*Settings!$C$17))</f>
        <v/>
      </c>
      <c r="M1338" s="21">
        <f>IF(B1338="","",E1338*IFERROR(VLOOKUP(D1338,Products!$B$5:$F$204,5,FALSE),0))</f>
        <v/>
      </c>
      <c r="N1338" s="21">
        <f>IF(B1338="","",J1338-K1338-L1338-M1338-I1338)</f>
        <v/>
      </c>
    </row>
    <row r="1339">
      <c r="B1339" s="11" t="n"/>
      <c r="C1339" s="8" t="n"/>
      <c r="D1339" s="8" t="n"/>
      <c r="E1339" s="8" t="n"/>
      <c r="F1339" s="20" t="n"/>
      <c r="G1339" s="20" t="n"/>
      <c r="H1339" s="8" t="n"/>
      <c r="I1339" s="20" t="n"/>
      <c r="J1339" s="21">
        <f>IF(B1339="","",F1339+G1339)</f>
        <v/>
      </c>
      <c r="K1339" s="21">
        <f>IF(B1339="","",J1339*(Settings!$C$11+Settings!$C$12+Settings!$C$14)+IF(C1339="",Settings!$C$13,IF(COUNTIF($C$5:C1339,C1339)=1,Settings!$C$13,0))+E1339*Settings!$C$15+IF(H1339="Yes",J1339*Settings!$C$16,0))</f>
        <v/>
      </c>
      <c r="L1339" s="21">
        <f>IF(B1339="","",IF(Settings!$C$5="Yes",0,K1339*Settings!$C$17))</f>
        <v/>
      </c>
      <c r="M1339" s="21">
        <f>IF(B1339="","",E1339*IFERROR(VLOOKUP(D1339,Products!$B$5:$F$204,5,FALSE),0))</f>
        <v/>
      </c>
      <c r="N1339" s="21">
        <f>IF(B1339="","",J1339-K1339-L1339-M1339-I1339)</f>
        <v/>
      </c>
    </row>
    <row r="1340">
      <c r="B1340" s="11" t="n"/>
      <c r="C1340" s="8" t="n"/>
      <c r="D1340" s="8" t="n"/>
      <c r="E1340" s="8" t="n"/>
      <c r="F1340" s="20" t="n"/>
      <c r="G1340" s="20" t="n"/>
      <c r="H1340" s="8" t="n"/>
      <c r="I1340" s="20" t="n"/>
      <c r="J1340" s="21">
        <f>IF(B1340="","",F1340+G1340)</f>
        <v/>
      </c>
      <c r="K1340" s="21">
        <f>IF(B1340="","",J1340*(Settings!$C$11+Settings!$C$12+Settings!$C$14)+IF(C1340="",Settings!$C$13,IF(COUNTIF($C$5:C1340,C1340)=1,Settings!$C$13,0))+E1340*Settings!$C$15+IF(H1340="Yes",J1340*Settings!$C$16,0))</f>
        <v/>
      </c>
      <c r="L1340" s="21">
        <f>IF(B1340="","",IF(Settings!$C$5="Yes",0,K1340*Settings!$C$17))</f>
        <v/>
      </c>
      <c r="M1340" s="21">
        <f>IF(B1340="","",E1340*IFERROR(VLOOKUP(D1340,Products!$B$5:$F$204,5,FALSE),0))</f>
        <v/>
      </c>
      <c r="N1340" s="21">
        <f>IF(B1340="","",J1340-K1340-L1340-M1340-I1340)</f>
        <v/>
      </c>
    </row>
    <row r="1341">
      <c r="B1341" s="11" t="n"/>
      <c r="C1341" s="8" t="n"/>
      <c r="D1341" s="8" t="n"/>
      <c r="E1341" s="8" t="n"/>
      <c r="F1341" s="20" t="n"/>
      <c r="G1341" s="20" t="n"/>
      <c r="H1341" s="8" t="n"/>
      <c r="I1341" s="20" t="n"/>
      <c r="J1341" s="21">
        <f>IF(B1341="","",F1341+G1341)</f>
        <v/>
      </c>
      <c r="K1341" s="21">
        <f>IF(B1341="","",J1341*(Settings!$C$11+Settings!$C$12+Settings!$C$14)+IF(C1341="",Settings!$C$13,IF(COUNTIF($C$5:C1341,C1341)=1,Settings!$C$13,0))+E1341*Settings!$C$15+IF(H1341="Yes",J1341*Settings!$C$16,0))</f>
        <v/>
      </c>
      <c r="L1341" s="21">
        <f>IF(B1341="","",IF(Settings!$C$5="Yes",0,K1341*Settings!$C$17))</f>
        <v/>
      </c>
      <c r="M1341" s="21">
        <f>IF(B1341="","",E1341*IFERROR(VLOOKUP(D1341,Products!$B$5:$F$204,5,FALSE),0))</f>
        <v/>
      </c>
      <c r="N1341" s="21">
        <f>IF(B1341="","",J1341-K1341-L1341-M1341-I1341)</f>
        <v/>
      </c>
    </row>
    <row r="1342">
      <c r="B1342" s="11" t="n"/>
      <c r="C1342" s="8" t="n"/>
      <c r="D1342" s="8" t="n"/>
      <c r="E1342" s="8" t="n"/>
      <c r="F1342" s="20" t="n"/>
      <c r="G1342" s="20" t="n"/>
      <c r="H1342" s="8" t="n"/>
      <c r="I1342" s="20" t="n"/>
      <c r="J1342" s="21">
        <f>IF(B1342="","",F1342+G1342)</f>
        <v/>
      </c>
      <c r="K1342" s="21">
        <f>IF(B1342="","",J1342*(Settings!$C$11+Settings!$C$12+Settings!$C$14)+IF(C1342="",Settings!$C$13,IF(COUNTIF($C$5:C1342,C1342)=1,Settings!$C$13,0))+E1342*Settings!$C$15+IF(H1342="Yes",J1342*Settings!$C$16,0))</f>
        <v/>
      </c>
      <c r="L1342" s="21">
        <f>IF(B1342="","",IF(Settings!$C$5="Yes",0,K1342*Settings!$C$17))</f>
        <v/>
      </c>
      <c r="M1342" s="21">
        <f>IF(B1342="","",E1342*IFERROR(VLOOKUP(D1342,Products!$B$5:$F$204,5,FALSE),0))</f>
        <v/>
      </c>
      <c r="N1342" s="21">
        <f>IF(B1342="","",J1342-K1342-L1342-M1342-I1342)</f>
        <v/>
      </c>
    </row>
    <row r="1343">
      <c r="B1343" s="11" t="n"/>
      <c r="C1343" s="8" t="n"/>
      <c r="D1343" s="8" t="n"/>
      <c r="E1343" s="8" t="n"/>
      <c r="F1343" s="20" t="n"/>
      <c r="G1343" s="20" t="n"/>
      <c r="H1343" s="8" t="n"/>
      <c r="I1343" s="20" t="n"/>
      <c r="J1343" s="21">
        <f>IF(B1343="","",F1343+G1343)</f>
        <v/>
      </c>
      <c r="K1343" s="21">
        <f>IF(B1343="","",J1343*(Settings!$C$11+Settings!$C$12+Settings!$C$14)+IF(C1343="",Settings!$C$13,IF(COUNTIF($C$5:C1343,C1343)=1,Settings!$C$13,0))+E1343*Settings!$C$15+IF(H1343="Yes",J1343*Settings!$C$16,0))</f>
        <v/>
      </c>
      <c r="L1343" s="21">
        <f>IF(B1343="","",IF(Settings!$C$5="Yes",0,K1343*Settings!$C$17))</f>
        <v/>
      </c>
      <c r="M1343" s="21">
        <f>IF(B1343="","",E1343*IFERROR(VLOOKUP(D1343,Products!$B$5:$F$204,5,FALSE),0))</f>
        <v/>
      </c>
      <c r="N1343" s="21">
        <f>IF(B1343="","",J1343-K1343-L1343-M1343-I1343)</f>
        <v/>
      </c>
    </row>
    <row r="1344">
      <c r="B1344" s="11" t="n"/>
      <c r="C1344" s="8" t="n"/>
      <c r="D1344" s="8" t="n"/>
      <c r="E1344" s="8" t="n"/>
      <c r="F1344" s="20" t="n"/>
      <c r="G1344" s="20" t="n"/>
      <c r="H1344" s="8" t="n"/>
      <c r="I1344" s="20" t="n"/>
      <c r="J1344" s="21">
        <f>IF(B1344="","",F1344+G1344)</f>
        <v/>
      </c>
      <c r="K1344" s="21">
        <f>IF(B1344="","",J1344*(Settings!$C$11+Settings!$C$12+Settings!$C$14)+IF(C1344="",Settings!$C$13,IF(COUNTIF($C$5:C1344,C1344)=1,Settings!$C$13,0))+E1344*Settings!$C$15+IF(H1344="Yes",J1344*Settings!$C$16,0))</f>
        <v/>
      </c>
      <c r="L1344" s="21">
        <f>IF(B1344="","",IF(Settings!$C$5="Yes",0,K1344*Settings!$C$17))</f>
        <v/>
      </c>
      <c r="M1344" s="21">
        <f>IF(B1344="","",E1344*IFERROR(VLOOKUP(D1344,Products!$B$5:$F$204,5,FALSE),0))</f>
        <v/>
      </c>
      <c r="N1344" s="21">
        <f>IF(B1344="","",J1344-K1344-L1344-M1344-I1344)</f>
        <v/>
      </c>
    </row>
    <row r="1345">
      <c r="B1345" s="11" t="n"/>
      <c r="C1345" s="8" t="n"/>
      <c r="D1345" s="8" t="n"/>
      <c r="E1345" s="8" t="n"/>
      <c r="F1345" s="20" t="n"/>
      <c r="G1345" s="20" t="n"/>
      <c r="H1345" s="8" t="n"/>
      <c r="I1345" s="20" t="n"/>
      <c r="J1345" s="21">
        <f>IF(B1345="","",F1345+G1345)</f>
        <v/>
      </c>
      <c r="K1345" s="21">
        <f>IF(B1345="","",J1345*(Settings!$C$11+Settings!$C$12+Settings!$C$14)+IF(C1345="",Settings!$C$13,IF(COUNTIF($C$5:C1345,C1345)=1,Settings!$C$13,0))+E1345*Settings!$C$15+IF(H1345="Yes",J1345*Settings!$C$16,0))</f>
        <v/>
      </c>
      <c r="L1345" s="21">
        <f>IF(B1345="","",IF(Settings!$C$5="Yes",0,K1345*Settings!$C$17))</f>
        <v/>
      </c>
      <c r="M1345" s="21">
        <f>IF(B1345="","",E1345*IFERROR(VLOOKUP(D1345,Products!$B$5:$F$204,5,FALSE),0))</f>
        <v/>
      </c>
      <c r="N1345" s="21">
        <f>IF(B1345="","",J1345-K1345-L1345-M1345-I1345)</f>
        <v/>
      </c>
    </row>
    <row r="1346">
      <c r="B1346" s="11" t="n"/>
      <c r="C1346" s="8" t="n"/>
      <c r="D1346" s="8" t="n"/>
      <c r="E1346" s="8" t="n"/>
      <c r="F1346" s="20" t="n"/>
      <c r="G1346" s="20" t="n"/>
      <c r="H1346" s="8" t="n"/>
      <c r="I1346" s="20" t="n"/>
      <c r="J1346" s="21">
        <f>IF(B1346="","",F1346+G1346)</f>
        <v/>
      </c>
      <c r="K1346" s="21">
        <f>IF(B1346="","",J1346*(Settings!$C$11+Settings!$C$12+Settings!$C$14)+IF(C1346="",Settings!$C$13,IF(COUNTIF($C$5:C1346,C1346)=1,Settings!$C$13,0))+E1346*Settings!$C$15+IF(H1346="Yes",J1346*Settings!$C$16,0))</f>
        <v/>
      </c>
      <c r="L1346" s="21">
        <f>IF(B1346="","",IF(Settings!$C$5="Yes",0,K1346*Settings!$C$17))</f>
        <v/>
      </c>
      <c r="M1346" s="21">
        <f>IF(B1346="","",E1346*IFERROR(VLOOKUP(D1346,Products!$B$5:$F$204,5,FALSE),0))</f>
        <v/>
      </c>
      <c r="N1346" s="21">
        <f>IF(B1346="","",J1346-K1346-L1346-M1346-I1346)</f>
        <v/>
      </c>
    </row>
    <row r="1347">
      <c r="B1347" s="11" t="n"/>
      <c r="C1347" s="8" t="n"/>
      <c r="D1347" s="8" t="n"/>
      <c r="E1347" s="8" t="n"/>
      <c r="F1347" s="20" t="n"/>
      <c r="G1347" s="20" t="n"/>
      <c r="H1347" s="8" t="n"/>
      <c r="I1347" s="20" t="n"/>
      <c r="J1347" s="21">
        <f>IF(B1347="","",F1347+G1347)</f>
        <v/>
      </c>
      <c r="K1347" s="21">
        <f>IF(B1347="","",J1347*(Settings!$C$11+Settings!$C$12+Settings!$C$14)+IF(C1347="",Settings!$C$13,IF(COUNTIF($C$5:C1347,C1347)=1,Settings!$C$13,0))+E1347*Settings!$C$15+IF(H1347="Yes",J1347*Settings!$C$16,0))</f>
        <v/>
      </c>
      <c r="L1347" s="21">
        <f>IF(B1347="","",IF(Settings!$C$5="Yes",0,K1347*Settings!$C$17))</f>
        <v/>
      </c>
      <c r="M1347" s="21">
        <f>IF(B1347="","",E1347*IFERROR(VLOOKUP(D1347,Products!$B$5:$F$204,5,FALSE),0))</f>
        <v/>
      </c>
      <c r="N1347" s="21">
        <f>IF(B1347="","",J1347-K1347-L1347-M1347-I1347)</f>
        <v/>
      </c>
    </row>
    <row r="1348">
      <c r="B1348" s="11" t="n"/>
      <c r="C1348" s="8" t="n"/>
      <c r="D1348" s="8" t="n"/>
      <c r="E1348" s="8" t="n"/>
      <c r="F1348" s="20" t="n"/>
      <c r="G1348" s="20" t="n"/>
      <c r="H1348" s="8" t="n"/>
      <c r="I1348" s="20" t="n"/>
      <c r="J1348" s="21">
        <f>IF(B1348="","",F1348+G1348)</f>
        <v/>
      </c>
      <c r="K1348" s="21">
        <f>IF(B1348="","",J1348*(Settings!$C$11+Settings!$C$12+Settings!$C$14)+IF(C1348="",Settings!$C$13,IF(COUNTIF($C$5:C1348,C1348)=1,Settings!$C$13,0))+E1348*Settings!$C$15+IF(H1348="Yes",J1348*Settings!$C$16,0))</f>
        <v/>
      </c>
      <c r="L1348" s="21">
        <f>IF(B1348="","",IF(Settings!$C$5="Yes",0,K1348*Settings!$C$17))</f>
        <v/>
      </c>
      <c r="M1348" s="21">
        <f>IF(B1348="","",E1348*IFERROR(VLOOKUP(D1348,Products!$B$5:$F$204,5,FALSE),0))</f>
        <v/>
      </c>
      <c r="N1348" s="21">
        <f>IF(B1348="","",J1348-K1348-L1348-M1348-I1348)</f>
        <v/>
      </c>
    </row>
    <row r="1349">
      <c r="B1349" s="11" t="n"/>
      <c r="C1349" s="8" t="n"/>
      <c r="D1349" s="8" t="n"/>
      <c r="E1349" s="8" t="n"/>
      <c r="F1349" s="20" t="n"/>
      <c r="G1349" s="20" t="n"/>
      <c r="H1349" s="8" t="n"/>
      <c r="I1349" s="20" t="n"/>
      <c r="J1349" s="21">
        <f>IF(B1349="","",F1349+G1349)</f>
        <v/>
      </c>
      <c r="K1349" s="21">
        <f>IF(B1349="","",J1349*(Settings!$C$11+Settings!$C$12+Settings!$C$14)+IF(C1349="",Settings!$C$13,IF(COUNTIF($C$5:C1349,C1349)=1,Settings!$C$13,0))+E1349*Settings!$C$15+IF(H1349="Yes",J1349*Settings!$C$16,0))</f>
        <v/>
      </c>
      <c r="L1349" s="21">
        <f>IF(B1349="","",IF(Settings!$C$5="Yes",0,K1349*Settings!$C$17))</f>
        <v/>
      </c>
      <c r="M1349" s="21">
        <f>IF(B1349="","",E1349*IFERROR(VLOOKUP(D1349,Products!$B$5:$F$204,5,FALSE),0))</f>
        <v/>
      </c>
      <c r="N1349" s="21">
        <f>IF(B1349="","",J1349-K1349-L1349-M1349-I1349)</f>
        <v/>
      </c>
    </row>
    <row r="1350">
      <c r="B1350" s="11" t="n"/>
      <c r="C1350" s="8" t="n"/>
      <c r="D1350" s="8" t="n"/>
      <c r="E1350" s="8" t="n"/>
      <c r="F1350" s="20" t="n"/>
      <c r="G1350" s="20" t="n"/>
      <c r="H1350" s="8" t="n"/>
      <c r="I1350" s="20" t="n"/>
      <c r="J1350" s="21">
        <f>IF(B1350="","",F1350+G1350)</f>
        <v/>
      </c>
      <c r="K1350" s="21">
        <f>IF(B1350="","",J1350*(Settings!$C$11+Settings!$C$12+Settings!$C$14)+IF(C1350="",Settings!$C$13,IF(COUNTIF($C$5:C1350,C1350)=1,Settings!$C$13,0))+E1350*Settings!$C$15+IF(H1350="Yes",J1350*Settings!$C$16,0))</f>
        <v/>
      </c>
      <c r="L1350" s="21">
        <f>IF(B1350="","",IF(Settings!$C$5="Yes",0,K1350*Settings!$C$17))</f>
        <v/>
      </c>
      <c r="M1350" s="21">
        <f>IF(B1350="","",E1350*IFERROR(VLOOKUP(D1350,Products!$B$5:$F$204,5,FALSE),0))</f>
        <v/>
      </c>
      <c r="N1350" s="21">
        <f>IF(B1350="","",J1350-K1350-L1350-M1350-I1350)</f>
        <v/>
      </c>
    </row>
    <row r="1351">
      <c r="B1351" s="11" t="n"/>
      <c r="C1351" s="8" t="n"/>
      <c r="D1351" s="8" t="n"/>
      <c r="E1351" s="8" t="n"/>
      <c r="F1351" s="20" t="n"/>
      <c r="G1351" s="20" t="n"/>
      <c r="H1351" s="8" t="n"/>
      <c r="I1351" s="20" t="n"/>
      <c r="J1351" s="21">
        <f>IF(B1351="","",F1351+G1351)</f>
        <v/>
      </c>
      <c r="K1351" s="21">
        <f>IF(B1351="","",J1351*(Settings!$C$11+Settings!$C$12+Settings!$C$14)+IF(C1351="",Settings!$C$13,IF(COUNTIF($C$5:C1351,C1351)=1,Settings!$C$13,0))+E1351*Settings!$C$15+IF(H1351="Yes",J1351*Settings!$C$16,0))</f>
        <v/>
      </c>
      <c r="L1351" s="21">
        <f>IF(B1351="","",IF(Settings!$C$5="Yes",0,K1351*Settings!$C$17))</f>
        <v/>
      </c>
      <c r="M1351" s="21">
        <f>IF(B1351="","",E1351*IFERROR(VLOOKUP(D1351,Products!$B$5:$F$204,5,FALSE),0))</f>
        <v/>
      </c>
      <c r="N1351" s="21">
        <f>IF(B1351="","",J1351-K1351-L1351-M1351-I1351)</f>
        <v/>
      </c>
    </row>
    <row r="1352">
      <c r="B1352" s="11" t="n"/>
      <c r="C1352" s="8" t="n"/>
      <c r="D1352" s="8" t="n"/>
      <c r="E1352" s="8" t="n"/>
      <c r="F1352" s="20" t="n"/>
      <c r="G1352" s="20" t="n"/>
      <c r="H1352" s="8" t="n"/>
      <c r="I1352" s="20" t="n"/>
      <c r="J1352" s="21">
        <f>IF(B1352="","",F1352+G1352)</f>
        <v/>
      </c>
      <c r="K1352" s="21">
        <f>IF(B1352="","",J1352*(Settings!$C$11+Settings!$C$12+Settings!$C$14)+IF(C1352="",Settings!$C$13,IF(COUNTIF($C$5:C1352,C1352)=1,Settings!$C$13,0))+E1352*Settings!$C$15+IF(H1352="Yes",J1352*Settings!$C$16,0))</f>
        <v/>
      </c>
      <c r="L1352" s="21">
        <f>IF(B1352="","",IF(Settings!$C$5="Yes",0,K1352*Settings!$C$17))</f>
        <v/>
      </c>
      <c r="M1352" s="21">
        <f>IF(B1352="","",E1352*IFERROR(VLOOKUP(D1352,Products!$B$5:$F$204,5,FALSE),0))</f>
        <v/>
      </c>
      <c r="N1352" s="21">
        <f>IF(B1352="","",J1352-K1352-L1352-M1352-I1352)</f>
        <v/>
      </c>
    </row>
    <row r="1353">
      <c r="B1353" s="11" t="n"/>
      <c r="C1353" s="8" t="n"/>
      <c r="D1353" s="8" t="n"/>
      <c r="E1353" s="8" t="n"/>
      <c r="F1353" s="20" t="n"/>
      <c r="G1353" s="20" t="n"/>
      <c r="H1353" s="8" t="n"/>
      <c r="I1353" s="20" t="n"/>
      <c r="J1353" s="21">
        <f>IF(B1353="","",F1353+G1353)</f>
        <v/>
      </c>
      <c r="K1353" s="21">
        <f>IF(B1353="","",J1353*(Settings!$C$11+Settings!$C$12+Settings!$C$14)+IF(C1353="",Settings!$C$13,IF(COUNTIF($C$5:C1353,C1353)=1,Settings!$C$13,0))+E1353*Settings!$C$15+IF(H1353="Yes",J1353*Settings!$C$16,0))</f>
        <v/>
      </c>
      <c r="L1353" s="21">
        <f>IF(B1353="","",IF(Settings!$C$5="Yes",0,K1353*Settings!$C$17))</f>
        <v/>
      </c>
      <c r="M1353" s="21">
        <f>IF(B1353="","",E1353*IFERROR(VLOOKUP(D1353,Products!$B$5:$F$204,5,FALSE),0))</f>
        <v/>
      </c>
      <c r="N1353" s="21">
        <f>IF(B1353="","",J1353-K1353-L1353-M1353-I1353)</f>
        <v/>
      </c>
    </row>
    <row r="1354">
      <c r="B1354" s="11" t="n"/>
      <c r="C1354" s="8" t="n"/>
      <c r="D1354" s="8" t="n"/>
      <c r="E1354" s="8" t="n"/>
      <c r="F1354" s="20" t="n"/>
      <c r="G1354" s="20" t="n"/>
      <c r="H1354" s="8" t="n"/>
      <c r="I1354" s="20" t="n"/>
      <c r="J1354" s="21">
        <f>IF(B1354="","",F1354+G1354)</f>
        <v/>
      </c>
      <c r="K1354" s="21">
        <f>IF(B1354="","",J1354*(Settings!$C$11+Settings!$C$12+Settings!$C$14)+IF(C1354="",Settings!$C$13,IF(COUNTIF($C$5:C1354,C1354)=1,Settings!$C$13,0))+E1354*Settings!$C$15+IF(H1354="Yes",J1354*Settings!$C$16,0))</f>
        <v/>
      </c>
      <c r="L1354" s="21">
        <f>IF(B1354="","",IF(Settings!$C$5="Yes",0,K1354*Settings!$C$17))</f>
        <v/>
      </c>
      <c r="M1354" s="21">
        <f>IF(B1354="","",E1354*IFERROR(VLOOKUP(D1354,Products!$B$5:$F$204,5,FALSE),0))</f>
        <v/>
      </c>
      <c r="N1354" s="21">
        <f>IF(B1354="","",J1354-K1354-L1354-M1354-I1354)</f>
        <v/>
      </c>
    </row>
    <row r="1355">
      <c r="B1355" s="11" t="n"/>
      <c r="C1355" s="8" t="n"/>
      <c r="D1355" s="8" t="n"/>
      <c r="E1355" s="8" t="n"/>
      <c r="F1355" s="20" t="n"/>
      <c r="G1355" s="20" t="n"/>
      <c r="H1355" s="8" t="n"/>
      <c r="I1355" s="20" t="n"/>
      <c r="J1355" s="21">
        <f>IF(B1355="","",F1355+G1355)</f>
        <v/>
      </c>
      <c r="K1355" s="21">
        <f>IF(B1355="","",J1355*(Settings!$C$11+Settings!$C$12+Settings!$C$14)+IF(C1355="",Settings!$C$13,IF(COUNTIF($C$5:C1355,C1355)=1,Settings!$C$13,0))+E1355*Settings!$C$15+IF(H1355="Yes",J1355*Settings!$C$16,0))</f>
        <v/>
      </c>
      <c r="L1355" s="21">
        <f>IF(B1355="","",IF(Settings!$C$5="Yes",0,K1355*Settings!$C$17))</f>
        <v/>
      </c>
      <c r="M1355" s="21">
        <f>IF(B1355="","",E1355*IFERROR(VLOOKUP(D1355,Products!$B$5:$F$204,5,FALSE),0))</f>
        <v/>
      </c>
      <c r="N1355" s="21">
        <f>IF(B1355="","",J1355-K1355-L1355-M1355-I1355)</f>
        <v/>
      </c>
    </row>
    <row r="1356">
      <c r="B1356" s="11" t="n"/>
      <c r="C1356" s="8" t="n"/>
      <c r="D1356" s="8" t="n"/>
      <c r="E1356" s="8" t="n"/>
      <c r="F1356" s="20" t="n"/>
      <c r="G1356" s="20" t="n"/>
      <c r="H1356" s="8" t="n"/>
      <c r="I1356" s="20" t="n"/>
      <c r="J1356" s="21">
        <f>IF(B1356="","",F1356+G1356)</f>
        <v/>
      </c>
      <c r="K1356" s="21">
        <f>IF(B1356="","",J1356*(Settings!$C$11+Settings!$C$12+Settings!$C$14)+IF(C1356="",Settings!$C$13,IF(COUNTIF($C$5:C1356,C1356)=1,Settings!$C$13,0))+E1356*Settings!$C$15+IF(H1356="Yes",J1356*Settings!$C$16,0))</f>
        <v/>
      </c>
      <c r="L1356" s="21">
        <f>IF(B1356="","",IF(Settings!$C$5="Yes",0,K1356*Settings!$C$17))</f>
        <v/>
      </c>
      <c r="M1356" s="21">
        <f>IF(B1356="","",E1356*IFERROR(VLOOKUP(D1356,Products!$B$5:$F$204,5,FALSE),0))</f>
        <v/>
      </c>
      <c r="N1356" s="21">
        <f>IF(B1356="","",J1356-K1356-L1356-M1356-I1356)</f>
        <v/>
      </c>
    </row>
    <row r="1357">
      <c r="B1357" s="11" t="n"/>
      <c r="C1357" s="8" t="n"/>
      <c r="D1357" s="8" t="n"/>
      <c r="E1357" s="8" t="n"/>
      <c r="F1357" s="20" t="n"/>
      <c r="G1357" s="20" t="n"/>
      <c r="H1357" s="8" t="n"/>
      <c r="I1357" s="20" t="n"/>
      <c r="J1357" s="21">
        <f>IF(B1357="","",F1357+G1357)</f>
        <v/>
      </c>
      <c r="K1357" s="21">
        <f>IF(B1357="","",J1357*(Settings!$C$11+Settings!$C$12+Settings!$C$14)+IF(C1357="",Settings!$C$13,IF(COUNTIF($C$5:C1357,C1357)=1,Settings!$C$13,0))+E1357*Settings!$C$15+IF(H1357="Yes",J1357*Settings!$C$16,0))</f>
        <v/>
      </c>
      <c r="L1357" s="21">
        <f>IF(B1357="","",IF(Settings!$C$5="Yes",0,K1357*Settings!$C$17))</f>
        <v/>
      </c>
      <c r="M1357" s="21">
        <f>IF(B1357="","",E1357*IFERROR(VLOOKUP(D1357,Products!$B$5:$F$204,5,FALSE),0))</f>
        <v/>
      </c>
      <c r="N1357" s="21">
        <f>IF(B1357="","",J1357-K1357-L1357-M1357-I1357)</f>
        <v/>
      </c>
    </row>
    <row r="1358">
      <c r="B1358" s="11" t="n"/>
      <c r="C1358" s="8" t="n"/>
      <c r="D1358" s="8" t="n"/>
      <c r="E1358" s="8" t="n"/>
      <c r="F1358" s="20" t="n"/>
      <c r="G1358" s="20" t="n"/>
      <c r="H1358" s="8" t="n"/>
      <c r="I1358" s="20" t="n"/>
      <c r="J1358" s="21">
        <f>IF(B1358="","",F1358+G1358)</f>
        <v/>
      </c>
      <c r="K1358" s="21">
        <f>IF(B1358="","",J1358*(Settings!$C$11+Settings!$C$12+Settings!$C$14)+IF(C1358="",Settings!$C$13,IF(COUNTIF($C$5:C1358,C1358)=1,Settings!$C$13,0))+E1358*Settings!$C$15+IF(H1358="Yes",J1358*Settings!$C$16,0))</f>
        <v/>
      </c>
      <c r="L1358" s="21">
        <f>IF(B1358="","",IF(Settings!$C$5="Yes",0,K1358*Settings!$C$17))</f>
        <v/>
      </c>
      <c r="M1358" s="21">
        <f>IF(B1358="","",E1358*IFERROR(VLOOKUP(D1358,Products!$B$5:$F$204,5,FALSE),0))</f>
        <v/>
      </c>
      <c r="N1358" s="21">
        <f>IF(B1358="","",J1358-K1358-L1358-M1358-I1358)</f>
        <v/>
      </c>
    </row>
    <row r="1359">
      <c r="B1359" s="11" t="n"/>
      <c r="C1359" s="8" t="n"/>
      <c r="D1359" s="8" t="n"/>
      <c r="E1359" s="8" t="n"/>
      <c r="F1359" s="20" t="n"/>
      <c r="G1359" s="20" t="n"/>
      <c r="H1359" s="8" t="n"/>
      <c r="I1359" s="20" t="n"/>
      <c r="J1359" s="21">
        <f>IF(B1359="","",F1359+G1359)</f>
        <v/>
      </c>
      <c r="K1359" s="21">
        <f>IF(B1359="","",J1359*(Settings!$C$11+Settings!$C$12+Settings!$C$14)+IF(C1359="",Settings!$C$13,IF(COUNTIF($C$5:C1359,C1359)=1,Settings!$C$13,0))+E1359*Settings!$C$15+IF(H1359="Yes",J1359*Settings!$C$16,0))</f>
        <v/>
      </c>
      <c r="L1359" s="21">
        <f>IF(B1359="","",IF(Settings!$C$5="Yes",0,K1359*Settings!$C$17))</f>
        <v/>
      </c>
      <c r="M1359" s="21">
        <f>IF(B1359="","",E1359*IFERROR(VLOOKUP(D1359,Products!$B$5:$F$204,5,FALSE),0))</f>
        <v/>
      </c>
      <c r="N1359" s="21">
        <f>IF(B1359="","",J1359-K1359-L1359-M1359-I1359)</f>
        <v/>
      </c>
    </row>
    <row r="1360">
      <c r="B1360" s="11" t="n"/>
      <c r="C1360" s="8" t="n"/>
      <c r="D1360" s="8" t="n"/>
      <c r="E1360" s="8" t="n"/>
      <c r="F1360" s="20" t="n"/>
      <c r="G1360" s="20" t="n"/>
      <c r="H1360" s="8" t="n"/>
      <c r="I1360" s="20" t="n"/>
      <c r="J1360" s="21">
        <f>IF(B1360="","",F1360+G1360)</f>
        <v/>
      </c>
      <c r="K1360" s="21">
        <f>IF(B1360="","",J1360*(Settings!$C$11+Settings!$C$12+Settings!$C$14)+IF(C1360="",Settings!$C$13,IF(COUNTIF($C$5:C1360,C1360)=1,Settings!$C$13,0))+E1360*Settings!$C$15+IF(H1360="Yes",J1360*Settings!$C$16,0))</f>
        <v/>
      </c>
      <c r="L1360" s="21">
        <f>IF(B1360="","",IF(Settings!$C$5="Yes",0,K1360*Settings!$C$17))</f>
        <v/>
      </c>
      <c r="M1360" s="21">
        <f>IF(B1360="","",E1360*IFERROR(VLOOKUP(D1360,Products!$B$5:$F$204,5,FALSE),0))</f>
        <v/>
      </c>
      <c r="N1360" s="21">
        <f>IF(B1360="","",J1360-K1360-L1360-M1360-I1360)</f>
        <v/>
      </c>
    </row>
    <row r="1361">
      <c r="B1361" s="11" t="n"/>
      <c r="C1361" s="8" t="n"/>
      <c r="D1361" s="8" t="n"/>
      <c r="E1361" s="8" t="n"/>
      <c r="F1361" s="20" t="n"/>
      <c r="G1361" s="20" t="n"/>
      <c r="H1361" s="8" t="n"/>
      <c r="I1361" s="20" t="n"/>
      <c r="J1361" s="21">
        <f>IF(B1361="","",F1361+G1361)</f>
        <v/>
      </c>
      <c r="K1361" s="21">
        <f>IF(B1361="","",J1361*(Settings!$C$11+Settings!$C$12+Settings!$C$14)+IF(C1361="",Settings!$C$13,IF(COUNTIF($C$5:C1361,C1361)=1,Settings!$C$13,0))+E1361*Settings!$C$15+IF(H1361="Yes",J1361*Settings!$C$16,0))</f>
        <v/>
      </c>
      <c r="L1361" s="21">
        <f>IF(B1361="","",IF(Settings!$C$5="Yes",0,K1361*Settings!$C$17))</f>
        <v/>
      </c>
      <c r="M1361" s="21">
        <f>IF(B1361="","",E1361*IFERROR(VLOOKUP(D1361,Products!$B$5:$F$204,5,FALSE),0))</f>
        <v/>
      </c>
      <c r="N1361" s="21">
        <f>IF(B1361="","",J1361-K1361-L1361-M1361-I1361)</f>
        <v/>
      </c>
    </row>
    <row r="1362">
      <c r="B1362" s="11" t="n"/>
      <c r="C1362" s="8" t="n"/>
      <c r="D1362" s="8" t="n"/>
      <c r="E1362" s="8" t="n"/>
      <c r="F1362" s="20" t="n"/>
      <c r="G1362" s="20" t="n"/>
      <c r="H1362" s="8" t="n"/>
      <c r="I1362" s="20" t="n"/>
      <c r="J1362" s="21">
        <f>IF(B1362="","",F1362+G1362)</f>
        <v/>
      </c>
      <c r="K1362" s="21">
        <f>IF(B1362="","",J1362*(Settings!$C$11+Settings!$C$12+Settings!$C$14)+IF(C1362="",Settings!$C$13,IF(COUNTIF($C$5:C1362,C1362)=1,Settings!$C$13,0))+E1362*Settings!$C$15+IF(H1362="Yes",J1362*Settings!$C$16,0))</f>
        <v/>
      </c>
      <c r="L1362" s="21">
        <f>IF(B1362="","",IF(Settings!$C$5="Yes",0,K1362*Settings!$C$17))</f>
        <v/>
      </c>
      <c r="M1362" s="21">
        <f>IF(B1362="","",E1362*IFERROR(VLOOKUP(D1362,Products!$B$5:$F$204,5,FALSE),0))</f>
        <v/>
      </c>
      <c r="N1362" s="21">
        <f>IF(B1362="","",J1362-K1362-L1362-M1362-I1362)</f>
        <v/>
      </c>
    </row>
    <row r="1363">
      <c r="B1363" s="11" t="n"/>
      <c r="C1363" s="8" t="n"/>
      <c r="D1363" s="8" t="n"/>
      <c r="E1363" s="8" t="n"/>
      <c r="F1363" s="20" t="n"/>
      <c r="G1363" s="20" t="n"/>
      <c r="H1363" s="8" t="n"/>
      <c r="I1363" s="20" t="n"/>
      <c r="J1363" s="21">
        <f>IF(B1363="","",F1363+G1363)</f>
        <v/>
      </c>
      <c r="K1363" s="21">
        <f>IF(B1363="","",J1363*(Settings!$C$11+Settings!$C$12+Settings!$C$14)+IF(C1363="",Settings!$C$13,IF(COUNTIF($C$5:C1363,C1363)=1,Settings!$C$13,0))+E1363*Settings!$C$15+IF(H1363="Yes",J1363*Settings!$C$16,0))</f>
        <v/>
      </c>
      <c r="L1363" s="21">
        <f>IF(B1363="","",IF(Settings!$C$5="Yes",0,K1363*Settings!$C$17))</f>
        <v/>
      </c>
      <c r="M1363" s="21">
        <f>IF(B1363="","",E1363*IFERROR(VLOOKUP(D1363,Products!$B$5:$F$204,5,FALSE),0))</f>
        <v/>
      </c>
      <c r="N1363" s="21">
        <f>IF(B1363="","",J1363-K1363-L1363-M1363-I1363)</f>
        <v/>
      </c>
    </row>
    <row r="1364">
      <c r="B1364" s="11" t="n"/>
      <c r="C1364" s="8" t="n"/>
      <c r="D1364" s="8" t="n"/>
      <c r="E1364" s="8" t="n"/>
      <c r="F1364" s="20" t="n"/>
      <c r="G1364" s="20" t="n"/>
      <c r="H1364" s="8" t="n"/>
      <c r="I1364" s="20" t="n"/>
      <c r="J1364" s="21">
        <f>IF(B1364="","",F1364+G1364)</f>
        <v/>
      </c>
      <c r="K1364" s="21">
        <f>IF(B1364="","",J1364*(Settings!$C$11+Settings!$C$12+Settings!$C$14)+IF(C1364="",Settings!$C$13,IF(COUNTIF($C$5:C1364,C1364)=1,Settings!$C$13,0))+E1364*Settings!$C$15+IF(H1364="Yes",J1364*Settings!$C$16,0))</f>
        <v/>
      </c>
      <c r="L1364" s="21">
        <f>IF(B1364="","",IF(Settings!$C$5="Yes",0,K1364*Settings!$C$17))</f>
        <v/>
      </c>
      <c r="M1364" s="21">
        <f>IF(B1364="","",E1364*IFERROR(VLOOKUP(D1364,Products!$B$5:$F$204,5,FALSE),0))</f>
        <v/>
      </c>
      <c r="N1364" s="21">
        <f>IF(B1364="","",J1364-K1364-L1364-M1364-I1364)</f>
        <v/>
      </c>
    </row>
    <row r="1365">
      <c r="B1365" s="11" t="n"/>
      <c r="C1365" s="8" t="n"/>
      <c r="D1365" s="8" t="n"/>
      <c r="E1365" s="8" t="n"/>
      <c r="F1365" s="20" t="n"/>
      <c r="G1365" s="20" t="n"/>
      <c r="H1365" s="8" t="n"/>
      <c r="I1365" s="20" t="n"/>
      <c r="J1365" s="21">
        <f>IF(B1365="","",F1365+G1365)</f>
        <v/>
      </c>
      <c r="K1365" s="21">
        <f>IF(B1365="","",J1365*(Settings!$C$11+Settings!$C$12+Settings!$C$14)+IF(C1365="",Settings!$C$13,IF(COUNTIF($C$5:C1365,C1365)=1,Settings!$C$13,0))+E1365*Settings!$C$15+IF(H1365="Yes",J1365*Settings!$C$16,0))</f>
        <v/>
      </c>
      <c r="L1365" s="21">
        <f>IF(B1365="","",IF(Settings!$C$5="Yes",0,K1365*Settings!$C$17))</f>
        <v/>
      </c>
      <c r="M1365" s="21">
        <f>IF(B1365="","",E1365*IFERROR(VLOOKUP(D1365,Products!$B$5:$F$204,5,FALSE),0))</f>
        <v/>
      </c>
      <c r="N1365" s="21">
        <f>IF(B1365="","",J1365-K1365-L1365-M1365-I1365)</f>
        <v/>
      </c>
    </row>
    <row r="1366">
      <c r="B1366" s="11" t="n"/>
      <c r="C1366" s="8" t="n"/>
      <c r="D1366" s="8" t="n"/>
      <c r="E1366" s="8" t="n"/>
      <c r="F1366" s="20" t="n"/>
      <c r="G1366" s="20" t="n"/>
      <c r="H1366" s="8" t="n"/>
      <c r="I1366" s="20" t="n"/>
      <c r="J1366" s="21">
        <f>IF(B1366="","",F1366+G1366)</f>
        <v/>
      </c>
      <c r="K1366" s="21">
        <f>IF(B1366="","",J1366*(Settings!$C$11+Settings!$C$12+Settings!$C$14)+IF(C1366="",Settings!$C$13,IF(COUNTIF($C$5:C1366,C1366)=1,Settings!$C$13,0))+E1366*Settings!$C$15+IF(H1366="Yes",J1366*Settings!$C$16,0))</f>
        <v/>
      </c>
      <c r="L1366" s="21">
        <f>IF(B1366="","",IF(Settings!$C$5="Yes",0,K1366*Settings!$C$17))</f>
        <v/>
      </c>
      <c r="M1366" s="21">
        <f>IF(B1366="","",E1366*IFERROR(VLOOKUP(D1366,Products!$B$5:$F$204,5,FALSE),0))</f>
        <v/>
      </c>
      <c r="N1366" s="21">
        <f>IF(B1366="","",J1366-K1366-L1366-M1366-I1366)</f>
        <v/>
      </c>
    </row>
    <row r="1367">
      <c r="B1367" s="11" t="n"/>
      <c r="C1367" s="8" t="n"/>
      <c r="D1367" s="8" t="n"/>
      <c r="E1367" s="8" t="n"/>
      <c r="F1367" s="20" t="n"/>
      <c r="G1367" s="20" t="n"/>
      <c r="H1367" s="8" t="n"/>
      <c r="I1367" s="20" t="n"/>
      <c r="J1367" s="21">
        <f>IF(B1367="","",F1367+G1367)</f>
        <v/>
      </c>
      <c r="K1367" s="21">
        <f>IF(B1367="","",J1367*(Settings!$C$11+Settings!$C$12+Settings!$C$14)+IF(C1367="",Settings!$C$13,IF(COUNTIF($C$5:C1367,C1367)=1,Settings!$C$13,0))+E1367*Settings!$C$15+IF(H1367="Yes",J1367*Settings!$C$16,0))</f>
        <v/>
      </c>
      <c r="L1367" s="21">
        <f>IF(B1367="","",IF(Settings!$C$5="Yes",0,K1367*Settings!$C$17))</f>
        <v/>
      </c>
      <c r="M1367" s="21">
        <f>IF(B1367="","",E1367*IFERROR(VLOOKUP(D1367,Products!$B$5:$F$204,5,FALSE),0))</f>
        <v/>
      </c>
      <c r="N1367" s="21">
        <f>IF(B1367="","",J1367-K1367-L1367-M1367-I1367)</f>
        <v/>
      </c>
    </row>
    <row r="1368">
      <c r="B1368" s="11" t="n"/>
      <c r="C1368" s="8" t="n"/>
      <c r="D1368" s="8" t="n"/>
      <c r="E1368" s="8" t="n"/>
      <c r="F1368" s="20" t="n"/>
      <c r="G1368" s="20" t="n"/>
      <c r="H1368" s="8" t="n"/>
      <c r="I1368" s="20" t="n"/>
      <c r="J1368" s="21">
        <f>IF(B1368="","",F1368+G1368)</f>
        <v/>
      </c>
      <c r="K1368" s="21">
        <f>IF(B1368="","",J1368*(Settings!$C$11+Settings!$C$12+Settings!$C$14)+IF(C1368="",Settings!$C$13,IF(COUNTIF($C$5:C1368,C1368)=1,Settings!$C$13,0))+E1368*Settings!$C$15+IF(H1368="Yes",J1368*Settings!$C$16,0))</f>
        <v/>
      </c>
      <c r="L1368" s="21">
        <f>IF(B1368="","",IF(Settings!$C$5="Yes",0,K1368*Settings!$C$17))</f>
        <v/>
      </c>
      <c r="M1368" s="21">
        <f>IF(B1368="","",E1368*IFERROR(VLOOKUP(D1368,Products!$B$5:$F$204,5,FALSE),0))</f>
        <v/>
      </c>
      <c r="N1368" s="21">
        <f>IF(B1368="","",J1368-K1368-L1368-M1368-I1368)</f>
        <v/>
      </c>
    </row>
    <row r="1369">
      <c r="B1369" s="11" t="n"/>
      <c r="C1369" s="8" t="n"/>
      <c r="D1369" s="8" t="n"/>
      <c r="E1369" s="8" t="n"/>
      <c r="F1369" s="20" t="n"/>
      <c r="G1369" s="20" t="n"/>
      <c r="H1369" s="8" t="n"/>
      <c r="I1369" s="20" t="n"/>
      <c r="J1369" s="21">
        <f>IF(B1369="","",F1369+G1369)</f>
        <v/>
      </c>
      <c r="K1369" s="21">
        <f>IF(B1369="","",J1369*(Settings!$C$11+Settings!$C$12+Settings!$C$14)+IF(C1369="",Settings!$C$13,IF(COUNTIF($C$5:C1369,C1369)=1,Settings!$C$13,0))+E1369*Settings!$C$15+IF(H1369="Yes",J1369*Settings!$C$16,0))</f>
        <v/>
      </c>
      <c r="L1369" s="21">
        <f>IF(B1369="","",IF(Settings!$C$5="Yes",0,K1369*Settings!$C$17))</f>
        <v/>
      </c>
      <c r="M1369" s="21">
        <f>IF(B1369="","",E1369*IFERROR(VLOOKUP(D1369,Products!$B$5:$F$204,5,FALSE),0))</f>
        <v/>
      </c>
      <c r="N1369" s="21">
        <f>IF(B1369="","",J1369-K1369-L1369-M1369-I1369)</f>
        <v/>
      </c>
    </row>
    <row r="1370">
      <c r="B1370" s="11" t="n"/>
      <c r="C1370" s="8" t="n"/>
      <c r="D1370" s="8" t="n"/>
      <c r="E1370" s="8" t="n"/>
      <c r="F1370" s="20" t="n"/>
      <c r="G1370" s="20" t="n"/>
      <c r="H1370" s="8" t="n"/>
      <c r="I1370" s="20" t="n"/>
      <c r="J1370" s="21">
        <f>IF(B1370="","",F1370+G1370)</f>
        <v/>
      </c>
      <c r="K1370" s="21">
        <f>IF(B1370="","",J1370*(Settings!$C$11+Settings!$C$12+Settings!$C$14)+IF(C1370="",Settings!$C$13,IF(COUNTIF($C$5:C1370,C1370)=1,Settings!$C$13,0))+E1370*Settings!$C$15+IF(H1370="Yes",J1370*Settings!$C$16,0))</f>
        <v/>
      </c>
      <c r="L1370" s="21">
        <f>IF(B1370="","",IF(Settings!$C$5="Yes",0,K1370*Settings!$C$17))</f>
        <v/>
      </c>
      <c r="M1370" s="21">
        <f>IF(B1370="","",E1370*IFERROR(VLOOKUP(D1370,Products!$B$5:$F$204,5,FALSE),0))</f>
        <v/>
      </c>
      <c r="N1370" s="21">
        <f>IF(B1370="","",J1370-K1370-L1370-M1370-I1370)</f>
        <v/>
      </c>
    </row>
    <row r="1371">
      <c r="B1371" s="11" t="n"/>
      <c r="C1371" s="8" t="n"/>
      <c r="D1371" s="8" t="n"/>
      <c r="E1371" s="8" t="n"/>
      <c r="F1371" s="20" t="n"/>
      <c r="G1371" s="20" t="n"/>
      <c r="H1371" s="8" t="n"/>
      <c r="I1371" s="20" t="n"/>
      <c r="J1371" s="21">
        <f>IF(B1371="","",F1371+G1371)</f>
        <v/>
      </c>
      <c r="K1371" s="21">
        <f>IF(B1371="","",J1371*(Settings!$C$11+Settings!$C$12+Settings!$C$14)+IF(C1371="",Settings!$C$13,IF(COUNTIF($C$5:C1371,C1371)=1,Settings!$C$13,0))+E1371*Settings!$C$15+IF(H1371="Yes",J1371*Settings!$C$16,0))</f>
        <v/>
      </c>
      <c r="L1371" s="21">
        <f>IF(B1371="","",IF(Settings!$C$5="Yes",0,K1371*Settings!$C$17))</f>
        <v/>
      </c>
      <c r="M1371" s="21">
        <f>IF(B1371="","",E1371*IFERROR(VLOOKUP(D1371,Products!$B$5:$F$204,5,FALSE),0))</f>
        <v/>
      </c>
      <c r="N1371" s="21">
        <f>IF(B1371="","",J1371-K1371-L1371-M1371-I1371)</f>
        <v/>
      </c>
    </row>
    <row r="1372">
      <c r="B1372" s="11" t="n"/>
      <c r="C1372" s="8" t="n"/>
      <c r="D1372" s="8" t="n"/>
      <c r="E1372" s="8" t="n"/>
      <c r="F1372" s="20" t="n"/>
      <c r="G1372" s="20" t="n"/>
      <c r="H1372" s="8" t="n"/>
      <c r="I1372" s="20" t="n"/>
      <c r="J1372" s="21">
        <f>IF(B1372="","",F1372+G1372)</f>
        <v/>
      </c>
      <c r="K1372" s="21">
        <f>IF(B1372="","",J1372*(Settings!$C$11+Settings!$C$12+Settings!$C$14)+IF(C1372="",Settings!$C$13,IF(COUNTIF($C$5:C1372,C1372)=1,Settings!$C$13,0))+E1372*Settings!$C$15+IF(H1372="Yes",J1372*Settings!$C$16,0))</f>
        <v/>
      </c>
      <c r="L1372" s="21">
        <f>IF(B1372="","",IF(Settings!$C$5="Yes",0,K1372*Settings!$C$17))</f>
        <v/>
      </c>
      <c r="M1372" s="21">
        <f>IF(B1372="","",E1372*IFERROR(VLOOKUP(D1372,Products!$B$5:$F$204,5,FALSE),0))</f>
        <v/>
      </c>
      <c r="N1372" s="21">
        <f>IF(B1372="","",J1372-K1372-L1372-M1372-I1372)</f>
        <v/>
      </c>
    </row>
    <row r="1373">
      <c r="B1373" s="11" t="n"/>
      <c r="C1373" s="8" t="n"/>
      <c r="D1373" s="8" t="n"/>
      <c r="E1373" s="8" t="n"/>
      <c r="F1373" s="20" t="n"/>
      <c r="G1373" s="20" t="n"/>
      <c r="H1373" s="8" t="n"/>
      <c r="I1373" s="20" t="n"/>
      <c r="J1373" s="21">
        <f>IF(B1373="","",F1373+G1373)</f>
        <v/>
      </c>
      <c r="K1373" s="21">
        <f>IF(B1373="","",J1373*(Settings!$C$11+Settings!$C$12+Settings!$C$14)+IF(C1373="",Settings!$C$13,IF(COUNTIF($C$5:C1373,C1373)=1,Settings!$C$13,0))+E1373*Settings!$C$15+IF(H1373="Yes",J1373*Settings!$C$16,0))</f>
        <v/>
      </c>
      <c r="L1373" s="21">
        <f>IF(B1373="","",IF(Settings!$C$5="Yes",0,K1373*Settings!$C$17))</f>
        <v/>
      </c>
      <c r="M1373" s="21">
        <f>IF(B1373="","",E1373*IFERROR(VLOOKUP(D1373,Products!$B$5:$F$204,5,FALSE),0))</f>
        <v/>
      </c>
      <c r="N1373" s="21">
        <f>IF(B1373="","",J1373-K1373-L1373-M1373-I1373)</f>
        <v/>
      </c>
    </row>
    <row r="1374">
      <c r="B1374" s="11" t="n"/>
      <c r="C1374" s="8" t="n"/>
      <c r="D1374" s="8" t="n"/>
      <c r="E1374" s="8" t="n"/>
      <c r="F1374" s="20" t="n"/>
      <c r="G1374" s="20" t="n"/>
      <c r="H1374" s="8" t="n"/>
      <c r="I1374" s="20" t="n"/>
      <c r="J1374" s="21">
        <f>IF(B1374="","",F1374+G1374)</f>
        <v/>
      </c>
      <c r="K1374" s="21">
        <f>IF(B1374="","",J1374*(Settings!$C$11+Settings!$C$12+Settings!$C$14)+IF(C1374="",Settings!$C$13,IF(COUNTIF($C$5:C1374,C1374)=1,Settings!$C$13,0))+E1374*Settings!$C$15+IF(H1374="Yes",J1374*Settings!$C$16,0))</f>
        <v/>
      </c>
      <c r="L1374" s="21">
        <f>IF(B1374="","",IF(Settings!$C$5="Yes",0,K1374*Settings!$C$17))</f>
        <v/>
      </c>
      <c r="M1374" s="21">
        <f>IF(B1374="","",E1374*IFERROR(VLOOKUP(D1374,Products!$B$5:$F$204,5,FALSE),0))</f>
        <v/>
      </c>
      <c r="N1374" s="21">
        <f>IF(B1374="","",J1374-K1374-L1374-M1374-I1374)</f>
        <v/>
      </c>
    </row>
    <row r="1375">
      <c r="B1375" s="11" t="n"/>
      <c r="C1375" s="8" t="n"/>
      <c r="D1375" s="8" t="n"/>
      <c r="E1375" s="8" t="n"/>
      <c r="F1375" s="20" t="n"/>
      <c r="G1375" s="20" t="n"/>
      <c r="H1375" s="8" t="n"/>
      <c r="I1375" s="20" t="n"/>
      <c r="J1375" s="21">
        <f>IF(B1375="","",F1375+G1375)</f>
        <v/>
      </c>
      <c r="K1375" s="21">
        <f>IF(B1375="","",J1375*(Settings!$C$11+Settings!$C$12+Settings!$C$14)+IF(C1375="",Settings!$C$13,IF(COUNTIF($C$5:C1375,C1375)=1,Settings!$C$13,0))+E1375*Settings!$C$15+IF(H1375="Yes",J1375*Settings!$C$16,0))</f>
        <v/>
      </c>
      <c r="L1375" s="21">
        <f>IF(B1375="","",IF(Settings!$C$5="Yes",0,K1375*Settings!$C$17))</f>
        <v/>
      </c>
      <c r="M1375" s="21">
        <f>IF(B1375="","",E1375*IFERROR(VLOOKUP(D1375,Products!$B$5:$F$204,5,FALSE),0))</f>
        <v/>
      </c>
      <c r="N1375" s="21">
        <f>IF(B1375="","",J1375-K1375-L1375-M1375-I1375)</f>
        <v/>
      </c>
    </row>
    <row r="1376">
      <c r="B1376" s="11" t="n"/>
      <c r="C1376" s="8" t="n"/>
      <c r="D1376" s="8" t="n"/>
      <c r="E1376" s="8" t="n"/>
      <c r="F1376" s="20" t="n"/>
      <c r="G1376" s="20" t="n"/>
      <c r="H1376" s="8" t="n"/>
      <c r="I1376" s="20" t="n"/>
      <c r="J1376" s="21">
        <f>IF(B1376="","",F1376+G1376)</f>
        <v/>
      </c>
      <c r="K1376" s="21">
        <f>IF(B1376="","",J1376*(Settings!$C$11+Settings!$C$12+Settings!$C$14)+IF(C1376="",Settings!$C$13,IF(COUNTIF($C$5:C1376,C1376)=1,Settings!$C$13,0))+E1376*Settings!$C$15+IF(H1376="Yes",J1376*Settings!$C$16,0))</f>
        <v/>
      </c>
      <c r="L1376" s="21">
        <f>IF(B1376="","",IF(Settings!$C$5="Yes",0,K1376*Settings!$C$17))</f>
        <v/>
      </c>
      <c r="M1376" s="21">
        <f>IF(B1376="","",E1376*IFERROR(VLOOKUP(D1376,Products!$B$5:$F$204,5,FALSE),0))</f>
        <v/>
      </c>
      <c r="N1376" s="21">
        <f>IF(B1376="","",J1376-K1376-L1376-M1376-I1376)</f>
        <v/>
      </c>
    </row>
    <row r="1377">
      <c r="B1377" s="11" t="n"/>
      <c r="C1377" s="8" t="n"/>
      <c r="D1377" s="8" t="n"/>
      <c r="E1377" s="8" t="n"/>
      <c r="F1377" s="20" t="n"/>
      <c r="G1377" s="20" t="n"/>
      <c r="H1377" s="8" t="n"/>
      <c r="I1377" s="20" t="n"/>
      <c r="J1377" s="21">
        <f>IF(B1377="","",F1377+G1377)</f>
        <v/>
      </c>
      <c r="K1377" s="21">
        <f>IF(B1377="","",J1377*(Settings!$C$11+Settings!$C$12+Settings!$C$14)+IF(C1377="",Settings!$C$13,IF(COUNTIF($C$5:C1377,C1377)=1,Settings!$C$13,0))+E1377*Settings!$C$15+IF(H1377="Yes",J1377*Settings!$C$16,0))</f>
        <v/>
      </c>
      <c r="L1377" s="21">
        <f>IF(B1377="","",IF(Settings!$C$5="Yes",0,K1377*Settings!$C$17))</f>
        <v/>
      </c>
      <c r="M1377" s="21">
        <f>IF(B1377="","",E1377*IFERROR(VLOOKUP(D1377,Products!$B$5:$F$204,5,FALSE),0))</f>
        <v/>
      </c>
      <c r="N1377" s="21">
        <f>IF(B1377="","",J1377-K1377-L1377-M1377-I1377)</f>
        <v/>
      </c>
    </row>
    <row r="1378">
      <c r="B1378" s="11" t="n"/>
      <c r="C1378" s="8" t="n"/>
      <c r="D1378" s="8" t="n"/>
      <c r="E1378" s="8" t="n"/>
      <c r="F1378" s="20" t="n"/>
      <c r="G1378" s="20" t="n"/>
      <c r="H1378" s="8" t="n"/>
      <c r="I1378" s="20" t="n"/>
      <c r="J1378" s="21">
        <f>IF(B1378="","",F1378+G1378)</f>
        <v/>
      </c>
      <c r="K1378" s="21">
        <f>IF(B1378="","",J1378*(Settings!$C$11+Settings!$C$12+Settings!$C$14)+IF(C1378="",Settings!$C$13,IF(COUNTIF($C$5:C1378,C1378)=1,Settings!$C$13,0))+E1378*Settings!$C$15+IF(H1378="Yes",J1378*Settings!$C$16,0))</f>
        <v/>
      </c>
      <c r="L1378" s="21">
        <f>IF(B1378="","",IF(Settings!$C$5="Yes",0,K1378*Settings!$C$17))</f>
        <v/>
      </c>
      <c r="M1378" s="21">
        <f>IF(B1378="","",E1378*IFERROR(VLOOKUP(D1378,Products!$B$5:$F$204,5,FALSE),0))</f>
        <v/>
      </c>
      <c r="N1378" s="21">
        <f>IF(B1378="","",J1378-K1378-L1378-M1378-I1378)</f>
        <v/>
      </c>
    </row>
    <row r="1379">
      <c r="B1379" s="11" t="n"/>
      <c r="C1379" s="8" t="n"/>
      <c r="D1379" s="8" t="n"/>
      <c r="E1379" s="8" t="n"/>
      <c r="F1379" s="20" t="n"/>
      <c r="G1379" s="20" t="n"/>
      <c r="H1379" s="8" t="n"/>
      <c r="I1379" s="20" t="n"/>
      <c r="J1379" s="21">
        <f>IF(B1379="","",F1379+G1379)</f>
        <v/>
      </c>
      <c r="K1379" s="21">
        <f>IF(B1379="","",J1379*(Settings!$C$11+Settings!$C$12+Settings!$C$14)+IF(C1379="",Settings!$C$13,IF(COUNTIF($C$5:C1379,C1379)=1,Settings!$C$13,0))+E1379*Settings!$C$15+IF(H1379="Yes",J1379*Settings!$C$16,0))</f>
        <v/>
      </c>
      <c r="L1379" s="21">
        <f>IF(B1379="","",IF(Settings!$C$5="Yes",0,K1379*Settings!$C$17))</f>
        <v/>
      </c>
      <c r="M1379" s="21">
        <f>IF(B1379="","",E1379*IFERROR(VLOOKUP(D1379,Products!$B$5:$F$204,5,FALSE),0))</f>
        <v/>
      </c>
      <c r="N1379" s="21">
        <f>IF(B1379="","",J1379-K1379-L1379-M1379-I1379)</f>
        <v/>
      </c>
    </row>
    <row r="1380">
      <c r="B1380" s="11" t="n"/>
      <c r="C1380" s="8" t="n"/>
      <c r="D1380" s="8" t="n"/>
      <c r="E1380" s="8" t="n"/>
      <c r="F1380" s="20" t="n"/>
      <c r="G1380" s="20" t="n"/>
      <c r="H1380" s="8" t="n"/>
      <c r="I1380" s="20" t="n"/>
      <c r="J1380" s="21">
        <f>IF(B1380="","",F1380+G1380)</f>
        <v/>
      </c>
      <c r="K1380" s="21">
        <f>IF(B1380="","",J1380*(Settings!$C$11+Settings!$C$12+Settings!$C$14)+IF(C1380="",Settings!$C$13,IF(COUNTIF($C$5:C1380,C1380)=1,Settings!$C$13,0))+E1380*Settings!$C$15+IF(H1380="Yes",J1380*Settings!$C$16,0))</f>
        <v/>
      </c>
      <c r="L1380" s="21">
        <f>IF(B1380="","",IF(Settings!$C$5="Yes",0,K1380*Settings!$C$17))</f>
        <v/>
      </c>
      <c r="M1380" s="21">
        <f>IF(B1380="","",E1380*IFERROR(VLOOKUP(D1380,Products!$B$5:$F$204,5,FALSE),0))</f>
        <v/>
      </c>
      <c r="N1380" s="21">
        <f>IF(B1380="","",J1380-K1380-L1380-M1380-I1380)</f>
        <v/>
      </c>
    </row>
    <row r="1381">
      <c r="B1381" s="11" t="n"/>
      <c r="C1381" s="8" t="n"/>
      <c r="D1381" s="8" t="n"/>
      <c r="E1381" s="8" t="n"/>
      <c r="F1381" s="20" t="n"/>
      <c r="G1381" s="20" t="n"/>
      <c r="H1381" s="8" t="n"/>
      <c r="I1381" s="20" t="n"/>
      <c r="J1381" s="21">
        <f>IF(B1381="","",F1381+G1381)</f>
        <v/>
      </c>
      <c r="K1381" s="21">
        <f>IF(B1381="","",J1381*(Settings!$C$11+Settings!$C$12+Settings!$C$14)+IF(C1381="",Settings!$C$13,IF(COUNTIF($C$5:C1381,C1381)=1,Settings!$C$13,0))+E1381*Settings!$C$15+IF(H1381="Yes",J1381*Settings!$C$16,0))</f>
        <v/>
      </c>
      <c r="L1381" s="21">
        <f>IF(B1381="","",IF(Settings!$C$5="Yes",0,K1381*Settings!$C$17))</f>
        <v/>
      </c>
      <c r="M1381" s="21">
        <f>IF(B1381="","",E1381*IFERROR(VLOOKUP(D1381,Products!$B$5:$F$204,5,FALSE),0))</f>
        <v/>
      </c>
      <c r="N1381" s="21">
        <f>IF(B1381="","",J1381-K1381-L1381-M1381-I1381)</f>
        <v/>
      </c>
    </row>
    <row r="1382">
      <c r="B1382" s="11" t="n"/>
      <c r="C1382" s="8" t="n"/>
      <c r="D1382" s="8" t="n"/>
      <c r="E1382" s="8" t="n"/>
      <c r="F1382" s="20" t="n"/>
      <c r="G1382" s="20" t="n"/>
      <c r="H1382" s="8" t="n"/>
      <c r="I1382" s="20" t="n"/>
      <c r="J1382" s="21">
        <f>IF(B1382="","",F1382+G1382)</f>
        <v/>
      </c>
      <c r="K1382" s="21">
        <f>IF(B1382="","",J1382*(Settings!$C$11+Settings!$C$12+Settings!$C$14)+IF(C1382="",Settings!$C$13,IF(COUNTIF($C$5:C1382,C1382)=1,Settings!$C$13,0))+E1382*Settings!$C$15+IF(H1382="Yes",J1382*Settings!$C$16,0))</f>
        <v/>
      </c>
      <c r="L1382" s="21">
        <f>IF(B1382="","",IF(Settings!$C$5="Yes",0,K1382*Settings!$C$17))</f>
        <v/>
      </c>
      <c r="M1382" s="21">
        <f>IF(B1382="","",E1382*IFERROR(VLOOKUP(D1382,Products!$B$5:$F$204,5,FALSE),0))</f>
        <v/>
      </c>
      <c r="N1382" s="21">
        <f>IF(B1382="","",J1382-K1382-L1382-M1382-I1382)</f>
        <v/>
      </c>
    </row>
    <row r="1383">
      <c r="B1383" s="11" t="n"/>
      <c r="C1383" s="8" t="n"/>
      <c r="D1383" s="8" t="n"/>
      <c r="E1383" s="8" t="n"/>
      <c r="F1383" s="20" t="n"/>
      <c r="G1383" s="20" t="n"/>
      <c r="H1383" s="8" t="n"/>
      <c r="I1383" s="20" t="n"/>
      <c r="J1383" s="21">
        <f>IF(B1383="","",F1383+G1383)</f>
        <v/>
      </c>
      <c r="K1383" s="21">
        <f>IF(B1383="","",J1383*(Settings!$C$11+Settings!$C$12+Settings!$C$14)+IF(C1383="",Settings!$C$13,IF(COUNTIF($C$5:C1383,C1383)=1,Settings!$C$13,0))+E1383*Settings!$C$15+IF(H1383="Yes",J1383*Settings!$C$16,0))</f>
        <v/>
      </c>
      <c r="L1383" s="21">
        <f>IF(B1383="","",IF(Settings!$C$5="Yes",0,K1383*Settings!$C$17))</f>
        <v/>
      </c>
      <c r="M1383" s="21">
        <f>IF(B1383="","",E1383*IFERROR(VLOOKUP(D1383,Products!$B$5:$F$204,5,FALSE),0))</f>
        <v/>
      </c>
      <c r="N1383" s="21">
        <f>IF(B1383="","",J1383-K1383-L1383-M1383-I1383)</f>
        <v/>
      </c>
    </row>
    <row r="1384">
      <c r="B1384" s="11" t="n"/>
      <c r="C1384" s="8" t="n"/>
      <c r="D1384" s="8" t="n"/>
      <c r="E1384" s="8" t="n"/>
      <c r="F1384" s="20" t="n"/>
      <c r="G1384" s="20" t="n"/>
      <c r="H1384" s="8" t="n"/>
      <c r="I1384" s="20" t="n"/>
      <c r="J1384" s="21">
        <f>IF(B1384="","",F1384+G1384)</f>
        <v/>
      </c>
      <c r="K1384" s="21">
        <f>IF(B1384="","",J1384*(Settings!$C$11+Settings!$C$12+Settings!$C$14)+IF(C1384="",Settings!$C$13,IF(COUNTIF($C$5:C1384,C1384)=1,Settings!$C$13,0))+E1384*Settings!$C$15+IF(H1384="Yes",J1384*Settings!$C$16,0))</f>
        <v/>
      </c>
      <c r="L1384" s="21">
        <f>IF(B1384="","",IF(Settings!$C$5="Yes",0,K1384*Settings!$C$17))</f>
        <v/>
      </c>
      <c r="M1384" s="21">
        <f>IF(B1384="","",E1384*IFERROR(VLOOKUP(D1384,Products!$B$5:$F$204,5,FALSE),0))</f>
        <v/>
      </c>
      <c r="N1384" s="21">
        <f>IF(B1384="","",J1384-K1384-L1384-M1384-I1384)</f>
        <v/>
      </c>
    </row>
    <row r="1385">
      <c r="B1385" s="11" t="n"/>
      <c r="C1385" s="8" t="n"/>
      <c r="D1385" s="8" t="n"/>
      <c r="E1385" s="8" t="n"/>
      <c r="F1385" s="20" t="n"/>
      <c r="G1385" s="20" t="n"/>
      <c r="H1385" s="8" t="n"/>
      <c r="I1385" s="20" t="n"/>
      <c r="J1385" s="21">
        <f>IF(B1385="","",F1385+G1385)</f>
        <v/>
      </c>
      <c r="K1385" s="21">
        <f>IF(B1385="","",J1385*(Settings!$C$11+Settings!$C$12+Settings!$C$14)+IF(C1385="",Settings!$C$13,IF(COUNTIF($C$5:C1385,C1385)=1,Settings!$C$13,0))+E1385*Settings!$C$15+IF(H1385="Yes",J1385*Settings!$C$16,0))</f>
        <v/>
      </c>
      <c r="L1385" s="21">
        <f>IF(B1385="","",IF(Settings!$C$5="Yes",0,K1385*Settings!$C$17))</f>
        <v/>
      </c>
      <c r="M1385" s="21">
        <f>IF(B1385="","",E1385*IFERROR(VLOOKUP(D1385,Products!$B$5:$F$204,5,FALSE),0))</f>
        <v/>
      </c>
      <c r="N1385" s="21">
        <f>IF(B1385="","",J1385-K1385-L1385-M1385-I1385)</f>
        <v/>
      </c>
    </row>
    <row r="1386">
      <c r="B1386" s="11" t="n"/>
      <c r="C1386" s="8" t="n"/>
      <c r="D1386" s="8" t="n"/>
      <c r="E1386" s="8" t="n"/>
      <c r="F1386" s="20" t="n"/>
      <c r="G1386" s="20" t="n"/>
      <c r="H1386" s="8" t="n"/>
      <c r="I1386" s="20" t="n"/>
      <c r="J1386" s="21">
        <f>IF(B1386="","",F1386+G1386)</f>
        <v/>
      </c>
      <c r="K1386" s="21">
        <f>IF(B1386="","",J1386*(Settings!$C$11+Settings!$C$12+Settings!$C$14)+IF(C1386="",Settings!$C$13,IF(COUNTIF($C$5:C1386,C1386)=1,Settings!$C$13,0))+E1386*Settings!$C$15+IF(H1386="Yes",J1386*Settings!$C$16,0))</f>
        <v/>
      </c>
      <c r="L1386" s="21">
        <f>IF(B1386="","",IF(Settings!$C$5="Yes",0,K1386*Settings!$C$17))</f>
        <v/>
      </c>
      <c r="M1386" s="21">
        <f>IF(B1386="","",E1386*IFERROR(VLOOKUP(D1386,Products!$B$5:$F$204,5,FALSE),0))</f>
        <v/>
      </c>
      <c r="N1386" s="21">
        <f>IF(B1386="","",J1386-K1386-L1386-M1386-I1386)</f>
        <v/>
      </c>
    </row>
    <row r="1387">
      <c r="B1387" s="11" t="n"/>
      <c r="C1387" s="8" t="n"/>
      <c r="D1387" s="8" t="n"/>
      <c r="E1387" s="8" t="n"/>
      <c r="F1387" s="20" t="n"/>
      <c r="G1387" s="20" t="n"/>
      <c r="H1387" s="8" t="n"/>
      <c r="I1387" s="20" t="n"/>
      <c r="J1387" s="21">
        <f>IF(B1387="","",F1387+G1387)</f>
        <v/>
      </c>
      <c r="K1387" s="21">
        <f>IF(B1387="","",J1387*(Settings!$C$11+Settings!$C$12+Settings!$C$14)+IF(C1387="",Settings!$C$13,IF(COUNTIF($C$5:C1387,C1387)=1,Settings!$C$13,0))+E1387*Settings!$C$15+IF(H1387="Yes",J1387*Settings!$C$16,0))</f>
        <v/>
      </c>
      <c r="L1387" s="21">
        <f>IF(B1387="","",IF(Settings!$C$5="Yes",0,K1387*Settings!$C$17))</f>
        <v/>
      </c>
      <c r="M1387" s="21">
        <f>IF(B1387="","",E1387*IFERROR(VLOOKUP(D1387,Products!$B$5:$F$204,5,FALSE),0))</f>
        <v/>
      </c>
      <c r="N1387" s="21">
        <f>IF(B1387="","",J1387-K1387-L1387-M1387-I1387)</f>
        <v/>
      </c>
    </row>
    <row r="1388">
      <c r="B1388" s="11" t="n"/>
      <c r="C1388" s="8" t="n"/>
      <c r="D1388" s="8" t="n"/>
      <c r="E1388" s="8" t="n"/>
      <c r="F1388" s="20" t="n"/>
      <c r="G1388" s="20" t="n"/>
      <c r="H1388" s="8" t="n"/>
      <c r="I1388" s="20" t="n"/>
      <c r="J1388" s="21">
        <f>IF(B1388="","",F1388+G1388)</f>
        <v/>
      </c>
      <c r="K1388" s="21">
        <f>IF(B1388="","",J1388*(Settings!$C$11+Settings!$C$12+Settings!$C$14)+IF(C1388="",Settings!$C$13,IF(COUNTIF($C$5:C1388,C1388)=1,Settings!$C$13,0))+E1388*Settings!$C$15+IF(H1388="Yes",J1388*Settings!$C$16,0))</f>
        <v/>
      </c>
      <c r="L1388" s="21">
        <f>IF(B1388="","",IF(Settings!$C$5="Yes",0,K1388*Settings!$C$17))</f>
        <v/>
      </c>
      <c r="M1388" s="21">
        <f>IF(B1388="","",E1388*IFERROR(VLOOKUP(D1388,Products!$B$5:$F$204,5,FALSE),0))</f>
        <v/>
      </c>
      <c r="N1388" s="21">
        <f>IF(B1388="","",J1388-K1388-L1388-M1388-I1388)</f>
        <v/>
      </c>
    </row>
    <row r="1389">
      <c r="B1389" s="11" t="n"/>
      <c r="C1389" s="8" t="n"/>
      <c r="D1389" s="8" t="n"/>
      <c r="E1389" s="8" t="n"/>
      <c r="F1389" s="20" t="n"/>
      <c r="G1389" s="20" t="n"/>
      <c r="H1389" s="8" t="n"/>
      <c r="I1389" s="20" t="n"/>
      <c r="J1389" s="21">
        <f>IF(B1389="","",F1389+G1389)</f>
        <v/>
      </c>
      <c r="K1389" s="21">
        <f>IF(B1389="","",J1389*(Settings!$C$11+Settings!$C$12+Settings!$C$14)+IF(C1389="",Settings!$C$13,IF(COUNTIF($C$5:C1389,C1389)=1,Settings!$C$13,0))+E1389*Settings!$C$15+IF(H1389="Yes",J1389*Settings!$C$16,0))</f>
        <v/>
      </c>
      <c r="L1389" s="21">
        <f>IF(B1389="","",IF(Settings!$C$5="Yes",0,K1389*Settings!$C$17))</f>
        <v/>
      </c>
      <c r="M1389" s="21">
        <f>IF(B1389="","",E1389*IFERROR(VLOOKUP(D1389,Products!$B$5:$F$204,5,FALSE),0))</f>
        <v/>
      </c>
      <c r="N1389" s="21">
        <f>IF(B1389="","",J1389-K1389-L1389-M1389-I1389)</f>
        <v/>
      </c>
    </row>
    <row r="1390">
      <c r="B1390" s="11" t="n"/>
      <c r="C1390" s="8" t="n"/>
      <c r="D1390" s="8" t="n"/>
      <c r="E1390" s="8" t="n"/>
      <c r="F1390" s="20" t="n"/>
      <c r="G1390" s="20" t="n"/>
      <c r="H1390" s="8" t="n"/>
      <c r="I1390" s="20" t="n"/>
      <c r="J1390" s="21">
        <f>IF(B1390="","",F1390+G1390)</f>
        <v/>
      </c>
      <c r="K1390" s="21">
        <f>IF(B1390="","",J1390*(Settings!$C$11+Settings!$C$12+Settings!$C$14)+IF(C1390="",Settings!$C$13,IF(COUNTIF($C$5:C1390,C1390)=1,Settings!$C$13,0))+E1390*Settings!$C$15+IF(H1390="Yes",J1390*Settings!$C$16,0))</f>
        <v/>
      </c>
      <c r="L1390" s="21">
        <f>IF(B1390="","",IF(Settings!$C$5="Yes",0,K1390*Settings!$C$17))</f>
        <v/>
      </c>
      <c r="M1390" s="21">
        <f>IF(B1390="","",E1390*IFERROR(VLOOKUP(D1390,Products!$B$5:$F$204,5,FALSE),0))</f>
        <v/>
      </c>
      <c r="N1390" s="21">
        <f>IF(B1390="","",J1390-K1390-L1390-M1390-I1390)</f>
        <v/>
      </c>
    </row>
    <row r="1391">
      <c r="B1391" s="11" t="n"/>
      <c r="C1391" s="8" t="n"/>
      <c r="D1391" s="8" t="n"/>
      <c r="E1391" s="8" t="n"/>
      <c r="F1391" s="20" t="n"/>
      <c r="G1391" s="20" t="n"/>
      <c r="H1391" s="8" t="n"/>
      <c r="I1391" s="20" t="n"/>
      <c r="J1391" s="21">
        <f>IF(B1391="","",F1391+G1391)</f>
        <v/>
      </c>
      <c r="K1391" s="21">
        <f>IF(B1391="","",J1391*(Settings!$C$11+Settings!$C$12+Settings!$C$14)+IF(C1391="",Settings!$C$13,IF(COUNTIF($C$5:C1391,C1391)=1,Settings!$C$13,0))+E1391*Settings!$C$15+IF(H1391="Yes",J1391*Settings!$C$16,0))</f>
        <v/>
      </c>
      <c r="L1391" s="21">
        <f>IF(B1391="","",IF(Settings!$C$5="Yes",0,K1391*Settings!$C$17))</f>
        <v/>
      </c>
      <c r="M1391" s="21">
        <f>IF(B1391="","",E1391*IFERROR(VLOOKUP(D1391,Products!$B$5:$F$204,5,FALSE),0))</f>
        <v/>
      </c>
      <c r="N1391" s="21">
        <f>IF(B1391="","",J1391-K1391-L1391-M1391-I1391)</f>
        <v/>
      </c>
    </row>
    <row r="1392">
      <c r="B1392" s="11" t="n"/>
      <c r="C1392" s="8" t="n"/>
      <c r="D1392" s="8" t="n"/>
      <c r="E1392" s="8" t="n"/>
      <c r="F1392" s="20" t="n"/>
      <c r="G1392" s="20" t="n"/>
      <c r="H1392" s="8" t="n"/>
      <c r="I1392" s="20" t="n"/>
      <c r="J1392" s="21">
        <f>IF(B1392="","",F1392+G1392)</f>
        <v/>
      </c>
      <c r="K1392" s="21">
        <f>IF(B1392="","",J1392*(Settings!$C$11+Settings!$C$12+Settings!$C$14)+IF(C1392="",Settings!$C$13,IF(COUNTIF($C$5:C1392,C1392)=1,Settings!$C$13,0))+E1392*Settings!$C$15+IF(H1392="Yes",J1392*Settings!$C$16,0))</f>
        <v/>
      </c>
      <c r="L1392" s="21">
        <f>IF(B1392="","",IF(Settings!$C$5="Yes",0,K1392*Settings!$C$17))</f>
        <v/>
      </c>
      <c r="M1392" s="21">
        <f>IF(B1392="","",E1392*IFERROR(VLOOKUP(D1392,Products!$B$5:$F$204,5,FALSE),0))</f>
        <v/>
      </c>
      <c r="N1392" s="21">
        <f>IF(B1392="","",J1392-K1392-L1392-M1392-I1392)</f>
        <v/>
      </c>
    </row>
    <row r="1393">
      <c r="B1393" s="11" t="n"/>
      <c r="C1393" s="8" t="n"/>
      <c r="D1393" s="8" t="n"/>
      <c r="E1393" s="8" t="n"/>
      <c r="F1393" s="20" t="n"/>
      <c r="G1393" s="20" t="n"/>
      <c r="H1393" s="8" t="n"/>
      <c r="I1393" s="20" t="n"/>
      <c r="J1393" s="21">
        <f>IF(B1393="","",F1393+G1393)</f>
        <v/>
      </c>
      <c r="K1393" s="21">
        <f>IF(B1393="","",J1393*(Settings!$C$11+Settings!$C$12+Settings!$C$14)+IF(C1393="",Settings!$C$13,IF(COUNTIF($C$5:C1393,C1393)=1,Settings!$C$13,0))+E1393*Settings!$C$15+IF(H1393="Yes",J1393*Settings!$C$16,0))</f>
        <v/>
      </c>
      <c r="L1393" s="21">
        <f>IF(B1393="","",IF(Settings!$C$5="Yes",0,K1393*Settings!$C$17))</f>
        <v/>
      </c>
      <c r="M1393" s="21">
        <f>IF(B1393="","",E1393*IFERROR(VLOOKUP(D1393,Products!$B$5:$F$204,5,FALSE),0))</f>
        <v/>
      </c>
      <c r="N1393" s="21">
        <f>IF(B1393="","",J1393-K1393-L1393-M1393-I1393)</f>
        <v/>
      </c>
    </row>
    <row r="1394">
      <c r="B1394" s="11" t="n"/>
      <c r="C1394" s="8" t="n"/>
      <c r="D1394" s="8" t="n"/>
      <c r="E1394" s="8" t="n"/>
      <c r="F1394" s="20" t="n"/>
      <c r="G1394" s="20" t="n"/>
      <c r="H1394" s="8" t="n"/>
      <c r="I1394" s="20" t="n"/>
      <c r="J1394" s="21">
        <f>IF(B1394="","",F1394+G1394)</f>
        <v/>
      </c>
      <c r="K1394" s="21">
        <f>IF(B1394="","",J1394*(Settings!$C$11+Settings!$C$12+Settings!$C$14)+IF(C1394="",Settings!$C$13,IF(COUNTIF($C$5:C1394,C1394)=1,Settings!$C$13,0))+E1394*Settings!$C$15+IF(H1394="Yes",J1394*Settings!$C$16,0))</f>
        <v/>
      </c>
      <c r="L1394" s="21">
        <f>IF(B1394="","",IF(Settings!$C$5="Yes",0,K1394*Settings!$C$17))</f>
        <v/>
      </c>
      <c r="M1394" s="21">
        <f>IF(B1394="","",E1394*IFERROR(VLOOKUP(D1394,Products!$B$5:$F$204,5,FALSE),0))</f>
        <v/>
      </c>
      <c r="N1394" s="21">
        <f>IF(B1394="","",J1394-K1394-L1394-M1394-I1394)</f>
        <v/>
      </c>
    </row>
    <row r="1395">
      <c r="B1395" s="11" t="n"/>
      <c r="C1395" s="8" t="n"/>
      <c r="D1395" s="8" t="n"/>
      <c r="E1395" s="8" t="n"/>
      <c r="F1395" s="20" t="n"/>
      <c r="G1395" s="20" t="n"/>
      <c r="H1395" s="8" t="n"/>
      <c r="I1395" s="20" t="n"/>
      <c r="J1395" s="21">
        <f>IF(B1395="","",F1395+G1395)</f>
        <v/>
      </c>
      <c r="K1395" s="21">
        <f>IF(B1395="","",J1395*(Settings!$C$11+Settings!$C$12+Settings!$C$14)+IF(C1395="",Settings!$C$13,IF(COUNTIF($C$5:C1395,C1395)=1,Settings!$C$13,0))+E1395*Settings!$C$15+IF(H1395="Yes",J1395*Settings!$C$16,0))</f>
        <v/>
      </c>
      <c r="L1395" s="21">
        <f>IF(B1395="","",IF(Settings!$C$5="Yes",0,K1395*Settings!$C$17))</f>
        <v/>
      </c>
      <c r="M1395" s="21">
        <f>IF(B1395="","",E1395*IFERROR(VLOOKUP(D1395,Products!$B$5:$F$204,5,FALSE),0))</f>
        <v/>
      </c>
      <c r="N1395" s="21">
        <f>IF(B1395="","",J1395-K1395-L1395-M1395-I1395)</f>
        <v/>
      </c>
    </row>
    <row r="1396">
      <c r="B1396" s="11" t="n"/>
      <c r="C1396" s="8" t="n"/>
      <c r="D1396" s="8" t="n"/>
      <c r="E1396" s="8" t="n"/>
      <c r="F1396" s="20" t="n"/>
      <c r="G1396" s="20" t="n"/>
      <c r="H1396" s="8" t="n"/>
      <c r="I1396" s="20" t="n"/>
      <c r="J1396" s="21">
        <f>IF(B1396="","",F1396+G1396)</f>
        <v/>
      </c>
      <c r="K1396" s="21">
        <f>IF(B1396="","",J1396*(Settings!$C$11+Settings!$C$12+Settings!$C$14)+IF(C1396="",Settings!$C$13,IF(COUNTIF($C$5:C1396,C1396)=1,Settings!$C$13,0))+E1396*Settings!$C$15+IF(H1396="Yes",J1396*Settings!$C$16,0))</f>
        <v/>
      </c>
      <c r="L1396" s="21">
        <f>IF(B1396="","",IF(Settings!$C$5="Yes",0,K1396*Settings!$C$17))</f>
        <v/>
      </c>
      <c r="M1396" s="21">
        <f>IF(B1396="","",E1396*IFERROR(VLOOKUP(D1396,Products!$B$5:$F$204,5,FALSE),0))</f>
        <v/>
      </c>
      <c r="N1396" s="21">
        <f>IF(B1396="","",J1396-K1396-L1396-M1396-I1396)</f>
        <v/>
      </c>
    </row>
    <row r="1397">
      <c r="B1397" s="11" t="n"/>
      <c r="C1397" s="8" t="n"/>
      <c r="D1397" s="8" t="n"/>
      <c r="E1397" s="8" t="n"/>
      <c r="F1397" s="20" t="n"/>
      <c r="G1397" s="20" t="n"/>
      <c r="H1397" s="8" t="n"/>
      <c r="I1397" s="20" t="n"/>
      <c r="J1397" s="21">
        <f>IF(B1397="","",F1397+G1397)</f>
        <v/>
      </c>
      <c r="K1397" s="21">
        <f>IF(B1397="","",J1397*(Settings!$C$11+Settings!$C$12+Settings!$C$14)+IF(C1397="",Settings!$C$13,IF(COUNTIF($C$5:C1397,C1397)=1,Settings!$C$13,0))+E1397*Settings!$C$15+IF(H1397="Yes",J1397*Settings!$C$16,0))</f>
        <v/>
      </c>
      <c r="L1397" s="21">
        <f>IF(B1397="","",IF(Settings!$C$5="Yes",0,K1397*Settings!$C$17))</f>
        <v/>
      </c>
      <c r="M1397" s="21">
        <f>IF(B1397="","",E1397*IFERROR(VLOOKUP(D1397,Products!$B$5:$F$204,5,FALSE),0))</f>
        <v/>
      </c>
      <c r="N1397" s="21">
        <f>IF(B1397="","",J1397-K1397-L1397-M1397-I1397)</f>
        <v/>
      </c>
    </row>
    <row r="1398">
      <c r="B1398" s="11" t="n"/>
      <c r="C1398" s="8" t="n"/>
      <c r="D1398" s="8" t="n"/>
      <c r="E1398" s="8" t="n"/>
      <c r="F1398" s="20" t="n"/>
      <c r="G1398" s="20" t="n"/>
      <c r="H1398" s="8" t="n"/>
      <c r="I1398" s="20" t="n"/>
      <c r="J1398" s="21">
        <f>IF(B1398="","",F1398+G1398)</f>
        <v/>
      </c>
      <c r="K1398" s="21">
        <f>IF(B1398="","",J1398*(Settings!$C$11+Settings!$C$12+Settings!$C$14)+IF(C1398="",Settings!$C$13,IF(COUNTIF($C$5:C1398,C1398)=1,Settings!$C$13,0))+E1398*Settings!$C$15+IF(H1398="Yes",J1398*Settings!$C$16,0))</f>
        <v/>
      </c>
      <c r="L1398" s="21">
        <f>IF(B1398="","",IF(Settings!$C$5="Yes",0,K1398*Settings!$C$17))</f>
        <v/>
      </c>
      <c r="M1398" s="21">
        <f>IF(B1398="","",E1398*IFERROR(VLOOKUP(D1398,Products!$B$5:$F$204,5,FALSE),0))</f>
        <v/>
      </c>
      <c r="N1398" s="21">
        <f>IF(B1398="","",J1398-K1398-L1398-M1398-I1398)</f>
        <v/>
      </c>
    </row>
    <row r="1399">
      <c r="B1399" s="11" t="n"/>
      <c r="C1399" s="8" t="n"/>
      <c r="D1399" s="8" t="n"/>
      <c r="E1399" s="8" t="n"/>
      <c r="F1399" s="20" t="n"/>
      <c r="G1399" s="20" t="n"/>
      <c r="H1399" s="8" t="n"/>
      <c r="I1399" s="20" t="n"/>
      <c r="J1399" s="21">
        <f>IF(B1399="","",F1399+G1399)</f>
        <v/>
      </c>
      <c r="K1399" s="21">
        <f>IF(B1399="","",J1399*(Settings!$C$11+Settings!$C$12+Settings!$C$14)+IF(C1399="",Settings!$C$13,IF(COUNTIF($C$5:C1399,C1399)=1,Settings!$C$13,0))+E1399*Settings!$C$15+IF(H1399="Yes",J1399*Settings!$C$16,0))</f>
        <v/>
      </c>
      <c r="L1399" s="21">
        <f>IF(B1399="","",IF(Settings!$C$5="Yes",0,K1399*Settings!$C$17))</f>
        <v/>
      </c>
      <c r="M1399" s="21">
        <f>IF(B1399="","",E1399*IFERROR(VLOOKUP(D1399,Products!$B$5:$F$204,5,FALSE),0))</f>
        <v/>
      </c>
      <c r="N1399" s="21">
        <f>IF(B1399="","",J1399-K1399-L1399-M1399-I1399)</f>
        <v/>
      </c>
    </row>
    <row r="1400">
      <c r="B1400" s="11" t="n"/>
      <c r="C1400" s="8" t="n"/>
      <c r="D1400" s="8" t="n"/>
      <c r="E1400" s="8" t="n"/>
      <c r="F1400" s="20" t="n"/>
      <c r="G1400" s="20" t="n"/>
      <c r="H1400" s="8" t="n"/>
      <c r="I1400" s="20" t="n"/>
      <c r="J1400" s="21">
        <f>IF(B1400="","",F1400+G1400)</f>
        <v/>
      </c>
      <c r="K1400" s="21">
        <f>IF(B1400="","",J1400*(Settings!$C$11+Settings!$C$12+Settings!$C$14)+IF(C1400="",Settings!$C$13,IF(COUNTIF($C$5:C1400,C1400)=1,Settings!$C$13,0))+E1400*Settings!$C$15+IF(H1400="Yes",J1400*Settings!$C$16,0))</f>
        <v/>
      </c>
      <c r="L1400" s="21">
        <f>IF(B1400="","",IF(Settings!$C$5="Yes",0,K1400*Settings!$C$17))</f>
        <v/>
      </c>
      <c r="M1400" s="21">
        <f>IF(B1400="","",E1400*IFERROR(VLOOKUP(D1400,Products!$B$5:$F$204,5,FALSE),0))</f>
        <v/>
      </c>
      <c r="N1400" s="21">
        <f>IF(B1400="","",J1400-K1400-L1400-M1400-I1400)</f>
        <v/>
      </c>
    </row>
    <row r="1401">
      <c r="B1401" s="11" t="n"/>
      <c r="C1401" s="8" t="n"/>
      <c r="D1401" s="8" t="n"/>
      <c r="E1401" s="8" t="n"/>
      <c r="F1401" s="20" t="n"/>
      <c r="G1401" s="20" t="n"/>
      <c r="H1401" s="8" t="n"/>
      <c r="I1401" s="20" t="n"/>
      <c r="J1401" s="21">
        <f>IF(B1401="","",F1401+G1401)</f>
        <v/>
      </c>
      <c r="K1401" s="21">
        <f>IF(B1401="","",J1401*(Settings!$C$11+Settings!$C$12+Settings!$C$14)+IF(C1401="",Settings!$C$13,IF(COUNTIF($C$5:C1401,C1401)=1,Settings!$C$13,0))+E1401*Settings!$C$15+IF(H1401="Yes",J1401*Settings!$C$16,0))</f>
        <v/>
      </c>
      <c r="L1401" s="21">
        <f>IF(B1401="","",IF(Settings!$C$5="Yes",0,K1401*Settings!$C$17))</f>
        <v/>
      </c>
      <c r="M1401" s="21">
        <f>IF(B1401="","",E1401*IFERROR(VLOOKUP(D1401,Products!$B$5:$F$204,5,FALSE),0))</f>
        <v/>
      </c>
      <c r="N1401" s="21">
        <f>IF(B1401="","",J1401-K1401-L1401-M1401-I1401)</f>
        <v/>
      </c>
    </row>
    <row r="1402">
      <c r="B1402" s="11" t="n"/>
      <c r="C1402" s="8" t="n"/>
      <c r="D1402" s="8" t="n"/>
      <c r="E1402" s="8" t="n"/>
      <c r="F1402" s="20" t="n"/>
      <c r="G1402" s="20" t="n"/>
      <c r="H1402" s="8" t="n"/>
      <c r="I1402" s="20" t="n"/>
      <c r="J1402" s="21">
        <f>IF(B1402="","",F1402+G1402)</f>
        <v/>
      </c>
      <c r="K1402" s="21">
        <f>IF(B1402="","",J1402*(Settings!$C$11+Settings!$C$12+Settings!$C$14)+IF(C1402="",Settings!$C$13,IF(COUNTIF($C$5:C1402,C1402)=1,Settings!$C$13,0))+E1402*Settings!$C$15+IF(H1402="Yes",J1402*Settings!$C$16,0))</f>
        <v/>
      </c>
      <c r="L1402" s="21">
        <f>IF(B1402="","",IF(Settings!$C$5="Yes",0,K1402*Settings!$C$17))</f>
        <v/>
      </c>
      <c r="M1402" s="21">
        <f>IF(B1402="","",E1402*IFERROR(VLOOKUP(D1402,Products!$B$5:$F$204,5,FALSE),0))</f>
        <v/>
      </c>
      <c r="N1402" s="21">
        <f>IF(B1402="","",J1402-K1402-L1402-M1402-I1402)</f>
        <v/>
      </c>
    </row>
    <row r="1403">
      <c r="B1403" s="11" t="n"/>
      <c r="C1403" s="8" t="n"/>
      <c r="D1403" s="8" t="n"/>
      <c r="E1403" s="8" t="n"/>
      <c r="F1403" s="20" t="n"/>
      <c r="G1403" s="20" t="n"/>
      <c r="H1403" s="8" t="n"/>
      <c r="I1403" s="20" t="n"/>
      <c r="J1403" s="21">
        <f>IF(B1403="","",F1403+G1403)</f>
        <v/>
      </c>
      <c r="K1403" s="21">
        <f>IF(B1403="","",J1403*(Settings!$C$11+Settings!$C$12+Settings!$C$14)+IF(C1403="",Settings!$C$13,IF(COUNTIF($C$5:C1403,C1403)=1,Settings!$C$13,0))+E1403*Settings!$C$15+IF(H1403="Yes",J1403*Settings!$C$16,0))</f>
        <v/>
      </c>
      <c r="L1403" s="21">
        <f>IF(B1403="","",IF(Settings!$C$5="Yes",0,K1403*Settings!$C$17))</f>
        <v/>
      </c>
      <c r="M1403" s="21">
        <f>IF(B1403="","",E1403*IFERROR(VLOOKUP(D1403,Products!$B$5:$F$204,5,FALSE),0))</f>
        <v/>
      </c>
      <c r="N1403" s="21">
        <f>IF(B1403="","",J1403-K1403-L1403-M1403-I1403)</f>
        <v/>
      </c>
    </row>
    <row r="1404">
      <c r="B1404" s="11" t="n"/>
      <c r="C1404" s="8" t="n"/>
      <c r="D1404" s="8" t="n"/>
      <c r="E1404" s="8" t="n"/>
      <c r="F1404" s="20" t="n"/>
      <c r="G1404" s="20" t="n"/>
      <c r="H1404" s="8" t="n"/>
      <c r="I1404" s="20" t="n"/>
      <c r="J1404" s="21">
        <f>IF(B1404="","",F1404+G1404)</f>
        <v/>
      </c>
      <c r="K1404" s="21">
        <f>IF(B1404="","",J1404*(Settings!$C$11+Settings!$C$12+Settings!$C$14)+IF(C1404="",Settings!$C$13,IF(COUNTIF($C$5:C1404,C1404)=1,Settings!$C$13,0))+E1404*Settings!$C$15+IF(H1404="Yes",J1404*Settings!$C$16,0))</f>
        <v/>
      </c>
      <c r="L1404" s="21">
        <f>IF(B1404="","",IF(Settings!$C$5="Yes",0,K1404*Settings!$C$17))</f>
        <v/>
      </c>
      <c r="M1404" s="21">
        <f>IF(B1404="","",E1404*IFERROR(VLOOKUP(D1404,Products!$B$5:$F$204,5,FALSE),0))</f>
        <v/>
      </c>
      <c r="N1404" s="21">
        <f>IF(B1404="","",J1404-K1404-L1404-M1404-I1404)</f>
        <v/>
      </c>
    </row>
    <row r="1405">
      <c r="B1405" s="11" t="n"/>
      <c r="C1405" s="8" t="n"/>
      <c r="D1405" s="8" t="n"/>
      <c r="E1405" s="8" t="n"/>
      <c r="F1405" s="20" t="n"/>
      <c r="G1405" s="20" t="n"/>
      <c r="H1405" s="8" t="n"/>
      <c r="I1405" s="20" t="n"/>
      <c r="J1405" s="21">
        <f>IF(B1405="","",F1405+G1405)</f>
        <v/>
      </c>
      <c r="K1405" s="21">
        <f>IF(B1405="","",J1405*(Settings!$C$11+Settings!$C$12+Settings!$C$14)+IF(C1405="",Settings!$C$13,IF(COUNTIF($C$5:C1405,C1405)=1,Settings!$C$13,0))+E1405*Settings!$C$15+IF(H1405="Yes",J1405*Settings!$C$16,0))</f>
        <v/>
      </c>
      <c r="L1405" s="21">
        <f>IF(B1405="","",IF(Settings!$C$5="Yes",0,K1405*Settings!$C$17))</f>
        <v/>
      </c>
      <c r="M1405" s="21">
        <f>IF(B1405="","",E1405*IFERROR(VLOOKUP(D1405,Products!$B$5:$F$204,5,FALSE),0))</f>
        <v/>
      </c>
      <c r="N1405" s="21">
        <f>IF(B1405="","",J1405-K1405-L1405-M1405-I1405)</f>
        <v/>
      </c>
    </row>
    <row r="1406">
      <c r="B1406" s="11" t="n"/>
      <c r="C1406" s="8" t="n"/>
      <c r="D1406" s="8" t="n"/>
      <c r="E1406" s="8" t="n"/>
      <c r="F1406" s="20" t="n"/>
      <c r="G1406" s="20" t="n"/>
      <c r="H1406" s="8" t="n"/>
      <c r="I1406" s="20" t="n"/>
      <c r="J1406" s="21">
        <f>IF(B1406="","",F1406+G1406)</f>
        <v/>
      </c>
      <c r="K1406" s="21">
        <f>IF(B1406="","",J1406*(Settings!$C$11+Settings!$C$12+Settings!$C$14)+IF(C1406="",Settings!$C$13,IF(COUNTIF($C$5:C1406,C1406)=1,Settings!$C$13,0))+E1406*Settings!$C$15+IF(H1406="Yes",J1406*Settings!$C$16,0))</f>
        <v/>
      </c>
      <c r="L1406" s="21">
        <f>IF(B1406="","",IF(Settings!$C$5="Yes",0,K1406*Settings!$C$17))</f>
        <v/>
      </c>
      <c r="M1406" s="21">
        <f>IF(B1406="","",E1406*IFERROR(VLOOKUP(D1406,Products!$B$5:$F$204,5,FALSE),0))</f>
        <v/>
      </c>
      <c r="N1406" s="21">
        <f>IF(B1406="","",J1406-K1406-L1406-M1406-I1406)</f>
        <v/>
      </c>
    </row>
    <row r="1407">
      <c r="B1407" s="11" t="n"/>
      <c r="C1407" s="8" t="n"/>
      <c r="D1407" s="8" t="n"/>
      <c r="E1407" s="8" t="n"/>
      <c r="F1407" s="20" t="n"/>
      <c r="G1407" s="20" t="n"/>
      <c r="H1407" s="8" t="n"/>
      <c r="I1407" s="20" t="n"/>
      <c r="J1407" s="21">
        <f>IF(B1407="","",F1407+G1407)</f>
        <v/>
      </c>
      <c r="K1407" s="21">
        <f>IF(B1407="","",J1407*(Settings!$C$11+Settings!$C$12+Settings!$C$14)+IF(C1407="",Settings!$C$13,IF(COUNTIF($C$5:C1407,C1407)=1,Settings!$C$13,0))+E1407*Settings!$C$15+IF(H1407="Yes",J1407*Settings!$C$16,0))</f>
        <v/>
      </c>
      <c r="L1407" s="21">
        <f>IF(B1407="","",IF(Settings!$C$5="Yes",0,K1407*Settings!$C$17))</f>
        <v/>
      </c>
      <c r="M1407" s="21">
        <f>IF(B1407="","",E1407*IFERROR(VLOOKUP(D1407,Products!$B$5:$F$204,5,FALSE),0))</f>
        <v/>
      </c>
      <c r="N1407" s="21">
        <f>IF(B1407="","",J1407-K1407-L1407-M1407-I1407)</f>
        <v/>
      </c>
    </row>
    <row r="1408">
      <c r="B1408" s="11" t="n"/>
      <c r="C1408" s="8" t="n"/>
      <c r="D1408" s="8" t="n"/>
      <c r="E1408" s="8" t="n"/>
      <c r="F1408" s="20" t="n"/>
      <c r="G1408" s="20" t="n"/>
      <c r="H1408" s="8" t="n"/>
      <c r="I1408" s="20" t="n"/>
      <c r="J1408" s="21">
        <f>IF(B1408="","",F1408+G1408)</f>
        <v/>
      </c>
      <c r="K1408" s="21">
        <f>IF(B1408="","",J1408*(Settings!$C$11+Settings!$C$12+Settings!$C$14)+IF(C1408="",Settings!$C$13,IF(COUNTIF($C$5:C1408,C1408)=1,Settings!$C$13,0))+E1408*Settings!$C$15+IF(H1408="Yes",J1408*Settings!$C$16,0))</f>
        <v/>
      </c>
      <c r="L1408" s="21">
        <f>IF(B1408="","",IF(Settings!$C$5="Yes",0,K1408*Settings!$C$17))</f>
        <v/>
      </c>
      <c r="M1408" s="21">
        <f>IF(B1408="","",E1408*IFERROR(VLOOKUP(D1408,Products!$B$5:$F$204,5,FALSE),0))</f>
        <v/>
      </c>
      <c r="N1408" s="21">
        <f>IF(B1408="","",J1408-K1408-L1408-M1408-I1408)</f>
        <v/>
      </c>
    </row>
    <row r="1409">
      <c r="B1409" s="11" t="n"/>
      <c r="C1409" s="8" t="n"/>
      <c r="D1409" s="8" t="n"/>
      <c r="E1409" s="8" t="n"/>
      <c r="F1409" s="20" t="n"/>
      <c r="G1409" s="20" t="n"/>
      <c r="H1409" s="8" t="n"/>
      <c r="I1409" s="20" t="n"/>
      <c r="J1409" s="21">
        <f>IF(B1409="","",F1409+G1409)</f>
        <v/>
      </c>
      <c r="K1409" s="21">
        <f>IF(B1409="","",J1409*(Settings!$C$11+Settings!$C$12+Settings!$C$14)+IF(C1409="",Settings!$C$13,IF(COUNTIF($C$5:C1409,C1409)=1,Settings!$C$13,0))+E1409*Settings!$C$15+IF(H1409="Yes",J1409*Settings!$C$16,0))</f>
        <v/>
      </c>
      <c r="L1409" s="21">
        <f>IF(B1409="","",IF(Settings!$C$5="Yes",0,K1409*Settings!$C$17))</f>
        <v/>
      </c>
      <c r="M1409" s="21">
        <f>IF(B1409="","",E1409*IFERROR(VLOOKUP(D1409,Products!$B$5:$F$204,5,FALSE),0))</f>
        <v/>
      </c>
      <c r="N1409" s="21">
        <f>IF(B1409="","",J1409-K1409-L1409-M1409-I1409)</f>
        <v/>
      </c>
    </row>
    <row r="1410">
      <c r="B1410" s="11" t="n"/>
      <c r="C1410" s="8" t="n"/>
      <c r="D1410" s="8" t="n"/>
      <c r="E1410" s="8" t="n"/>
      <c r="F1410" s="20" t="n"/>
      <c r="G1410" s="20" t="n"/>
      <c r="H1410" s="8" t="n"/>
      <c r="I1410" s="20" t="n"/>
      <c r="J1410" s="21">
        <f>IF(B1410="","",F1410+G1410)</f>
        <v/>
      </c>
      <c r="K1410" s="21">
        <f>IF(B1410="","",J1410*(Settings!$C$11+Settings!$C$12+Settings!$C$14)+IF(C1410="",Settings!$C$13,IF(COUNTIF($C$5:C1410,C1410)=1,Settings!$C$13,0))+E1410*Settings!$C$15+IF(H1410="Yes",J1410*Settings!$C$16,0))</f>
        <v/>
      </c>
      <c r="L1410" s="21">
        <f>IF(B1410="","",IF(Settings!$C$5="Yes",0,K1410*Settings!$C$17))</f>
        <v/>
      </c>
      <c r="M1410" s="21">
        <f>IF(B1410="","",E1410*IFERROR(VLOOKUP(D1410,Products!$B$5:$F$204,5,FALSE),0))</f>
        <v/>
      </c>
      <c r="N1410" s="21">
        <f>IF(B1410="","",J1410-K1410-L1410-M1410-I1410)</f>
        <v/>
      </c>
    </row>
    <row r="1411">
      <c r="B1411" s="11" t="n"/>
      <c r="C1411" s="8" t="n"/>
      <c r="D1411" s="8" t="n"/>
      <c r="E1411" s="8" t="n"/>
      <c r="F1411" s="20" t="n"/>
      <c r="G1411" s="20" t="n"/>
      <c r="H1411" s="8" t="n"/>
      <c r="I1411" s="20" t="n"/>
      <c r="J1411" s="21">
        <f>IF(B1411="","",F1411+G1411)</f>
        <v/>
      </c>
      <c r="K1411" s="21">
        <f>IF(B1411="","",J1411*(Settings!$C$11+Settings!$C$12+Settings!$C$14)+IF(C1411="",Settings!$C$13,IF(COUNTIF($C$5:C1411,C1411)=1,Settings!$C$13,0))+E1411*Settings!$C$15+IF(H1411="Yes",J1411*Settings!$C$16,0))</f>
        <v/>
      </c>
      <c r="L1411" s="21">
        <f>IF(B1411="","",IF(Settings!$C$5="Yes",0,K1411*Settings!$C$17))</f>
        <v/>
      </c>
      <c r="M1411" s="21">
        <f>IF(B1411="","",E1411*IFERROR(VLOOKUP(D1411,Products!$B$5:$F$204,5,FALSE),0))</f>
        <v/>
      </c>
      <c r="N1411" s="21">
        <f>IF(B1411="","",J1411-K1411-L1411-M1411-I1411)</f>
        <v/>
      </c>
    </row>
    <row r="1412">
      <c r="B1412" s="11" t="n"/>
      <c r="C1412" s="8" t="n"/>
      <c r="D1412" s="8" t="n"/>
      <c r="E1412" s="8" t="n"/>
      <c r="F1412" s="20" t="n"/>
      <c r="G1412" s="20" t="n"/>
      <c r="H1412" s="8" t="n"/>
      <c r="I1412" s="20" t="n"/>
      <c r="J1412" s="21">
        <f>IF(B1412="","",F1412+G1412)</f>
        <v/>
      </c>
      <c r="K1412" s="21">
        <f>IF(B1412="","",J1412*(Settings!$C$11+Settings!$C$12+Settings!$C$14)+IF(C1412="",Settings!$C$13,IF(COUNTIF($C$5:C1412,C1412)=1,Settings!$C$13,0))+E1412*Settings!$C$15+IF(H1412="Yes",J1412*Settings!$C$16,0))</f>
        <v/>
      </c>
      <c r="L1412" s="21">
        <f>IF(B1412="","",IF(Settings!$C$5="Yes",0,K1412*Settings!$C$17))</f>
        <v/>
      </c>
      <c r="M1412" s="21">
        <f>IF(B1412="","",E1412*IFERROR(VLOOKUP(D1412,Products!$B$5:$F$204,5,FALSE),0))</f>
        <v/>
      </c>
      <c r="N1412" s="21">
        <f>IF(B1412="","",J1412-K1412-L1412-M1412-I1412)</f>
        <v/>
      </c>
    </row>
    <row r="1413">
      <c r="B1413" s="11" t="n"/>
      <c r="C1413" s="8" t="n"/>
      <c r="D1413" s="8" t="n"/>
      <c r="E1413" s="8" t="n"/>
      <c r="F1413" s="20" t="n"/>
      <c r="G1413" s="20" t="n"/>
      <c r="H1413" s="8" t="n"/>
      <c r="I1413" s="20" t="n"/>
      <c r="J1413" s="21">
        <f>IF(B1413="","",F1413+G1413)</f>
        <v/>
      </c>
      <c r="K1413" s="21">
        <f>IF(B1413="","",J1413*(Settings!$C$11+Settings!$C$12+Settings!$C$14)+IF(C1413="",Settings!$C$13,IF(COUNTIF($C$5:C1413,C1413)=1,Settings!$C$13,0))+E1413*Settings!$C$15+IF(H1413="Yes",J1413*Settings!$C$16,0))</f>
        <v/>
      </c>
      <c r="L1413" s="21">
        <f>IF(B1413="","",IF(Settings!$C$5="Yes",0,K1413*Settings!$C$17))</f>
        <v/>
      </c>
      <c r="M1413" s="21">
        <f>IF(B1413="","",E1413*IFERROR(VLOOKUP(D1413,Products!$B$5:$F$204,5,FALSE),0))</f>
        <v/>
      </c>
      <c r="N1413" s="21">
        <f>IF(B1413="","",J1413-K1413-L1413-M1413-I1413)</f>
        <v/>
      </c>
    </row>
    <row r="1414">
      <c r="B1414" s="11" t="n"/>
      <c r="C1414" s="8" t="n"/>
      <c r="D1414" s="8" t="n"/>
      <c r="E1414" s="8" t="n"/>
      <c r="F1414" s="20" t="n"/>
      <c r="G1414" s="20" t="n"/>
      <c r="H1414" s="8" t="n"/>
      <c r="I1414" s="20" t="n"/>
      <c r="J1414" s="21">
        <f>IF(B1414="","",F1414+G1414)</f>
        <v/>
      </c>
      <c r="K1414" s="21">
        <f>IF(B1414="","",J1414*(Settings!$C$11+Settings!$C$12+Settings!$C$14)+IF(C1414="",Settings!$C$13,IF(COUNTIF($C$5:C1414,C1414)=1,Settings!$C$13,0))+E1414*Settings!$C$15+IF(H1414="Yes",J1414*Settings!$C$16,0))</f>
        <v/>
      </c>
      <c r="L1414" s="21">
        <f>IF(B1414="","",IF(Settings!$C$5="Yes",0,K1414*Settings!$C$17))</f>
        <v/>
      </c>
      <c r="M1414" s="21">
        <f>IF(B1414="","",E1414*IFERROR(VLOOKUP(D1414,Products!$B$5:$F$204,5,FALSE),0))</f>
        <v/>
      </c>
      <c r="N1414" s="21">
        <f>IF(B1414="","",J1414-K1414-L1414-M1414-I1414)</f>
        <v/>
      </c>
    </row>
    <row r="1415">
      <c r="B1415" s="11" t="n"/>
      <c r="C1415" s="8" t="n"/>
      <c r="D1415" s="8" t="n"/>
      <c r="E1415" s="8" t="n"/>
      <c r="F1415" s="20" t="n"/>
      <c r="G1415" s="20" t="n"/>
      <c r="H1415" s="8" t="n"/>
      <c r="I1415" s="20" t="n"/>
      <c r="J1415" s="21">
        <f>IF(B1415="","",F1415+G1415)</f>
        <v/>
      </c>
      <c r="K1415" s="21">
        <f>IF(B1415="","",J1415*(Settings!$C$11+Settings!$C$12+Settings!$C$14)+IF(C1415="",Settings!$C$13,IF(COUNTIF($C$5:C1415,C1415)=1,Settings!$C$13,0))+E1415*Settings!$C$15+IF(H1415="Yes",J1415*Settings!$C$16,0))</f>
        <v/>
      </c>
      <c r="L1415" s="21">
        <f>IF(B1415="","",IF(Settings!$C$5="Yes",0,K1415*Settings!$C$17))</f>
        <v/>
      </c>
      <c r="M1415" s="21">
        <f>IF(B1415="","",E1415*IFERROR(VLOOKUP(D1415,Products!$B$5:$F$204,5,FALSE),0))</f>
        <v/>
      </c>
      <c r="N1415" s="21">
        <f>IF(B1415="","",J1415-K1415-L1415-M1415-I1415)</f>
        <v/>
      </c>
    </row>
    <row r="1416">
      <c r="B1416" s="11" t="n"/>
      <c r="C1416" s="8" t="n"/>
      <c r="D1416" s="8" t="n"/>
      <c r="E1416" s="8" t="n"/>
      <c r="F1416" s="20" t="n"/>
      <c r="G1416" s="20" t="n"/>
      <c r="H1416" s="8" t="n"/>
      <c r="I1416" s="20" t="n"/>
      <c r="J1416" s="21">
        <f>IF(B1416="","",F1416+G1416)</f>
        <v/>
      </c>
      <c r="K1416" s="21">
        <f>IF(B1416="","",J1416*(Settings!$C$11+Settings!$C$12+Settings!$C$14)+IF(C1416="",Settings!$C$13,IF(COUNTIF($C$5:C1416,C1416)=1,Settings!$C$13,0))+E1416*Settings!$C$15+IF(H1416="Yes",J1416*Settings!$C$16,0))</f>
        <v/>
      </c>
      <c r="L1416" s="21">
        <f>IF(B1416="","",IF(Settings!$C$5="Yes",0,K1416*Settings!$C$17))</f>
        <v/>
      </c>
      <c r="M1416" s="21">
        <f>IF(B1416="","",E1416*IFERROR(VLOOKUP(D1416,Products!$B$5:$F$204,5,FALSE),0))</f>
        <v/>
      </c>
      <c r="N1416" s="21">
        <f>IF(B1416="","",J1416-K1416-L1416-M1416-I1416)</f>
        <v/>
      </c>
    </row>
    <row r="1417">
      <c r="B1417" s="11" t="n"/>
      <c r="C1417" s="8" t="n"/>
      <c r="D1417" s="8" t="n"/>
      <c r="E1417" s="8" t="n"/>
      <c r="F1417" s="20" t="n"/>
      <c r="G1417" s="20" t="n"/>
      <c r="H1417" s="8" t="n"/>
      <c r="I1417" s="20" t="n"/>
      <c r="J1417" s="21">
        <f>IF(B1417="","",F1417+G1417)</f>
        <v/>
      </c>
      <c r="K1417" s="21">
        <f>IF(B1417="","",J1417*(Settings!$C$11+Settings!$C$12+Settings!$C$14)+IF(C1417="",Settings!$C$13,IF(COUNTIF($C$5:C1417,C1417)=1,Settings!$C$13,0))+E1417*Settings!$C$15+IF(H1417="Yes",J1417*Settings!$C$16,0))</f>
        <v/>
      </c>
      <c r="L1417" s="21">
        <f>IF(B1417="","",IF(Settings!$C$5="Yes",0,K1417*Settings!$C$17))</f>
        <v/>
      </c>
      <c r="M1417" s="21">
        <f>IF(B1417="","",E1417*IFERROR(VLOOKUP(D1417,Products!$B$5:$F$204,5,FALSE),0))</f>
        <v/>
      </c>
      <c r="N1417" s="21">
        <f>IF(B1417="","",J1417-K1417-L1417-M1417-I1417)</f>
        <v/>
      </c>
    </row>
    <row r="1418">
      <c r="B1418" s="11" t="n"/>
      <c r="C1418" s="8" t="n"/>
      <c r="D1418" s="8" t="n"/>
      <c r="E1418" s="8" t="n"/>
      <c r="F1418" s="20" t="n"/>
      <c r="G1418" s="20" t="n"/>
      <c r="H1418" s="8" t="n"/>
      <c r="I1418" s="20" t="n"/>
      <c r="J1418" s="21">
        <f>IF(B1418="","",F1418+G1418)</f>
        <v/>
      </c>
      <c r="K1418" s="21">
        <f>IF(B1418="","",J1418*(Settings!$C$11+Settings!$C$12+Settings!$C$14)+IF(C1418="",Settings!$C$13,IF(COUNTIF($C$5:C1418,C1418)=1,Settings!$C$13,0))+E1418*Settings!$C$15+IF(H1418="Yes",J1418*Settings!$C$16,0))</f>
        <v/>
      </c>
      <c r="L1418" s="21">
        <f>IF(B1418="","",IF(Settings!$C$5="Yes",0,K1418*Settings!$C$17))</f>
        <v/>
      </c>
      <c r="M1418" s="21">
        <f>IF(B1418="","",E1418*IFERROR(VLOOKUP(D1418,Products!$B$5:$F$204,5,FALSE),0))</f>
        <v/>
      </c>
      <c r="N1418" s="21">
        <f>IF(B1418="","",J1418-K1418-L1418-M1418-I1418)</f>
        <v/>
      </c>
    </row>
    <row r="1419">
      <c r="B1419" s="11" t="n"/>
      <c r="C1419" s="8" t="n"/>
      <c r="D1419" s="8" t="n"/>
      <c r="E1419" s="8" t="n"/>
      <c r="F1419" s="20" t="n"/>
      <c r="G1419" s="20" t="n"/>
      <c r="H1419" s="8" t="n"/>
      <c r="I1419" s="20" t="n"/>
      <c r="J1419" s="21">
        <f>IF(B1419="","",F1419+G1419)</f>
        <v/>
      </c>
      <c r="K1419" s="21">
        <f>IF(B1419="","",J1419*(Settings!$C$11+Settings!$C$12+Settings!$C$14)+IF(C1419="",Settings!$C$13,IF(COUNTIF($C$5:C1419,C1419)=1,Settings!$C$13,0))+E1419*Settings!$C$15+IF(H1419="Yes",J1419*Settings!$C$16,0))</f>
        <v/>
      </c>
      <c r="L1419" s="21">
        <f>IF(B1419="","",IF(Settings!$C$5="Yes",0,K1419*Settings!$C$17))</f>
        <v/>
      </c>
      <c r="M1419" s="21">
        <f>IF(B1419="","",E1419*IFERROR(VLOOKUP(D1419,Products!$B$5:$F$204,5,FALSE),0))</f>
        <v/>
      </c>
      <c r="N1419" s="21">
        <f>IF(B1419="","",J1419-K1419-L1419-M1419-I1419)</f>
        <v/>
      </c>
    </row>
    <row r="1420">
      <c r="B1420" s="11" t="n"/>
      <c r="C1420" s="8" t="n"/>
      <c r="D1420" s="8" t="n"/>
      <c r="E1420" s="8" t="n"/>
      <c r="F1420" s="20" t="n"/>
      <c r="G1420" s="20" t="n"/>
      <c r="H1420" s="8" t="n"/>
      <c r="I1420" s="20" t="n"/>
      <c r="J1420" s="21">
        <f>IF(B1420="","",F1420+G1420)</f>
        <v/>
      </c>
      <c r="K1420" s="21">
        <f>IF(B1420="","",J1420*(Settings!$C$11+Settings!$C$12+Settings!$C$14)+IF(C1420="",Settings!$C$13,IF(COUNTIF($C$5:C1420,C1420)=1,Settings!$C$13,0))+E1420*Settings!$C$15+IF(H1420="Yes",J1420*Settings!$C$16,0))</f>
        <v/>
      </c>
      <c r="L1420" s="21">
        <f>IF(B1420="","",IF(Settings!$C$5="Yes",0,K1420*Settings!$C$17))</f>
        <v/>
      </c>
      <c r="M1420" s="21">
        <f>IF(B1420="","",E1420*IFERROR(VLOOKUP(D1420,Products!$B$5:$F$204,5,FALSE),0))</f>
        <v/>
      </c>
      <c r="N1420" s="21">
        <f>IF(B1420="","",J1420-K1420-L1420-M1420-I1420)</f>
        <v/>
      </c>
    </row>
    <row r="1421">
      <c r="B1421" s="11" t="n"/>
      <c r="C1421" s="8" t="n"/>
      <c r="D1421" s="8" t="n"/>
      <c r="E1421" s="8" t="n"/>
      <c r="F1421" s="20" t="n"/>
      <c r="G1421" s="20" t="n"/>
      <c r="H1421" s="8" t="n"/>
      <c r="I1421" s="20" t="n"/>
      <c r="J1421" s="21">
        <f>IF(B1421="","",F1421+G1421)</f>
        <v/>
      </c>
      <c r="K1421" s="21">
        <f>IF(B1421="","",J1421*(Settings!$C$11+Settings!$C$12+Settings!$C$14)+IF(C1421="",Settings!$C$13,IF(COUNTIF($C$5:C1421,C1421)=1,Settings!$C$13,0))+E1421*Settings!$C$15+IF(H1421="Yes",J1421*Settings!$C$16,0))</f>
        <v/>
      </c>
      <c r="L1421" s="21">
        <f>IF(B1421="","",IF(Settings!$C$5="Yes",0,K1421*Settings!$C$17))</f>
        <v/>
      </c>
      <c r="M1421" s="21">
        <f>IF(B1421="","",E1421*IFERROR(VLOOKUP(D1421,Products!$B$5:$F$204,5,FALSE),0))</f>
        <v/>
      </c>
      <c r="N1421" s="21">
        <f>IF(B1421="","",J1421-K1421-L1421-M1421-I1421)</f>
        <v/>
      </c>
    </row>
    <row r="1422">
      <c r="B1422" s="11" t="n"/>
      <c r="C1422" s="8" t="n"/>
      <c r="D1422" s="8" t="n"/>
      <c r="E1422" s="8" t="n"/>
      <c r="F1422" s="20" t="n"/>
      <c r="G1422" s="20" t="n"/>
      <c r="H1422" s="8" t="n"/>
      <c r="I1422" s="20" t="n"/>
      <c r="J1422" s="21">
        <f>IF(B1422="","",F1422+G1422)</f>
        <v/>
      </c>
      <c r="K1422" s="21">
        <f>IF(B1422="","",J1422*(Settings!$C$11+Settings!$C$12+Settings!$C$14)+IF(C1422="",Settings!$C$13,IF(COUNTIF($C$5:C1422,C1422)=1,Settings!$C$13,0))+E1422*Settings!$C$15+IF(H1422="Yes",J1422*Settings!$C$16,0))</f>
        <v/>
      </c>
      <c r="L1422" s="21">
        <f>IF(B1422="","",IF(Settings!$C$5="Yes",0,K1422*Settings!$C$17))</f>
        <v/>
      </c>
      <c r="M1422" s="21">
        <f>IF(B1422="","",E1422*IFERROR(VLOOKUP(D1422,Products!$B$5:$F$204,5,FALSE),0))</f>
        <v/>
      </c>
      <c r="N1422" s="21">
        <f>IF(B1422="","",J1422-K1422-L1422-M1422-I1422)</f>
        <v/>
      </c>
    </row>
    <row r="1423">
      <c r="B1423" s="11" t="n"/>
      <c r="C1423" s="8" t="n"/>
      <c r="D1423" s="8" t="n"/>
      <c r="E1423" s="8" t="n"/>
      <c r="F1423" s="20" t="n"/>
      <c r="G1423" s="20" t="n"/>
      <c r="H1423" s="8" t="n"/>
      <c r="I1423" s="20" t="n"/>
      <c r="J1423" s="21">
        <f>IF(B1423="","",F1423+G1423)</f>
        <v/>
      </c>
      <c r="K1423" s="21">
        <f>IF(B1423="","",J1423*(Settings!$C$11+Settings!$C$12+Settings!$C$14)+IF(C1423="",Settings!$C$13,IF(COUNTIF($C$5:C1423,C1423)=1,Settings!$C$13,0))+E1423*Settings!$C$15+IF(H1423="Yes",J1423*Settings!$C$16,0))</f>
        <v/>
      </c>
      <c r="L1423" s="21">
        <f>IF(B1423="","",IF(Settings!$C$5="Yes",0,K1423*Settings!$C$17))</f>
        <v/>
      </c>
      <c r="M1423" s="21">
        <f>IF(B1423="","",E1423*IFERROR(VLOOKUP(D1423,Products!$B$5:$F$204,5,FALSE),0))</f>
        <v/>
      </c>
      <c r="N1423" s="21">
        <f>IF(B1423="","",J1423-K1423-L1423-M1423-I1423)</f>
        <v/>
      </c>
    </row>
    <row r="1424">
      <c r="B1424" s="11" t="n"/>
      <c r="C1424" s="8" t="n"/>
      <c r="D1424" s="8" t="n"/>
      <c r="E1424" s="8" t="n"/>
      <c r="F1424" s="20" t="n"/>
      <c r="G1424" s="20" t="n"/>
      <c r="H1424" s="8" t="n"/>
      <c r="I1424" s="20" t="n"/>
      <c r="J1424" s="21">
        <f>IF(B1424="","",F1424+G1424)</f>
        <v/>
      </c>
      <c r="K1424" s="21">
        <f>IF(B1424="","",J1424*(Settings!$C$11+Settings!$C$12+Settings!$C$14)+IF(C1424="",Settings!$C$13,IF(COUNTIF($C$5:C1424,C1424)=1,Settings!$C$13,0))+E1424*Settings!$C$15+IF(H1424="Yes",J1424*Settings!$C$16,0))</f>
        <v/>
      </c>
      <c r="L1424" s="21">
        <f>IF(B1424="","",IF(Settings!$C$5="Yes",0,K1424*Settings!$C$17))</f>
        <v/>
      </c>
      <c r="M1424" s="21">
        <f>IF(B1424="","",E1424*IFERROR(VLOOKUP(D1424,Products!$B$5:$F$204,5,FALSE),0))</f>
        <v/>
      </c>
      <c r="N1424" s="21">
        <f>IF(B1424="","",J1424-K1424-L1424-M1424-I1424)</f>
        <v/>
      </c>
    </row>
    <row r="1425">
      <c r="B1425" s="11" t="n"/>
      <c r="C1425" s="8" t="n"/>
      <c r="D1425" s="8" t="n"/>
      <c r="E1425" s="8" t="n"/>
      <c r="F1425" s="20" t="n"/>
      <c r="G1425" s="20" t="n"/>
      <c r="H1425" s="8" t="n"/>
      <c r="I1425" s="20" t="n"/>
      <c r="J1425" s="21">
        <f>IF(B1425="","",F1425+G1425)</f>
        <v/>
      </c>
      <c r="K1425" s="21">
        <f>IF(B1425="","",J1425*(Settings!$C$11+Settings!$C$12+Settings!$C$14)+IF(C1425="",Settings!$C$13,IF(COUNTIF($C$5:C1425,C1425)=1,Settings!$C$13,0))+E1425*Settings!$C$15+IF(H1425="Yes",J1425*Settings!$C$16,0))</f>
        <v/>
      </c>
      <c r="L1425" s="21">
        <f>IF(B1425="","",IF(Settings!$C$5="Yes",0,K1425*Settings!$C$17))</f>
        <v/>
      </c>
      <c r="M1425" s="21">
        <f>IF(B1425="","",E1425*IFERROR(VLOOKUP(D1425,Products!$B$5:$F$204,5,FALSE),0))</f>
        <v/>
      </c>
      <c r="N1425" s="21">
        <f>IF(B1425="","",J1425-K1425-L1425-M1425-I1425)</f>
        <v/>
      </c>
    </row>
    <row r="1426">
      <c r="B1426" s="11" t="n"/>
      <c r="C1426" s="8" t="n"/>
      <c r="D1426" s="8" t="n"/>
      <c r="E1426" s="8" t="n"/>
      <c r="F1426" s="20" t="n"/>
      <c r="G1426" s="20" t="n"/>
      <c r="H1426" s="8" t="n"/>
      <c r="I1426" s="20" t="n"/>
      <c r="J1426" s="21">
        <f>IF(B1426="","",F1426+G1426)</f>
        <v/>
      </c>
      <c r="K1426" s="21">
        <f>IF(B1426="","",J1426*(Settings!$C$11+Settings!$C$12+Settings!$C$14)+IF(C1426="",Settings!$C$13,IF(COUNTIF($C$5:C1426,C1426)=1,Settings!$C$13,0))+E1426*Settings!$C$15+IF(H1426="Yes",J1426*Settings!$C$16,0))</f>
        <v/>
      </c>
      <c r="L1426" s="21">
        <f>IF(B1426="","",IF(Settings!$C$5="Yes",0,K1426*Settings!$C$17))</f>
        <v/>
      </c>
      <c r="M1426" s="21">
        <f>IF(B1426="","",E1426*IFERROR(VLOOKUP(D1426,Products!$B$5:$F$204,5,FALSE),0))</f>
        <v/>
      </c>
      <c r="N1426" s="21">
        <f>IF(B1426="","",J1426-K1426-L1426-M1426-I1426)</f>
        <v/>
      </c>
    </row>
    <row r="1427">
      <c r="B1427" s="11" t="n"/>
      <c r="C1427" s="8" t="n"/>
      <c r="D1427" s="8" t="n"/>
      <c r="E1427" s="8" t="n"/>
      <c r="F1427" s="20" t="n"/>
      <c r="G1427" s="20" t="n"/>
      <c r="H1427" s="8" t="n"/>
      <c r="I1427" s="20" t="n"/>
      <c r="J1427" s="21">
        <f>IF(B1427="","",F1427+G1427)</f>
        <v/>
      </c>
      <c r="K1427" s="21">
        <f>IF(B1427="","",J1427*(Settings!$C$11+Settings!$C$12+Settings!$C$14)+IF(C1427="",Settings!$C$13,IF(COUNTIF($C$5:C1427,C1427)=1,Settings!$C$13,0))+E1427*Settings!$C$15+IF(H1427="Yes",J1427*Settings!$C$16,0))</f>
        <v/>
      </c>
      <c r="L1427" s="21">
        <f>IF(B1427="","",IF(Settings!$C$5="Yes",0,K1427*Settings!$C$17))</f>
        <v/>
      </c>
      <c r="M1427" s="21">
        <f>IF(B1427="","",E1427*IFERROR(VLOOKUP(D1427,Products!$B$5:$F$204,5,FALSE),0))</f>
        <v/>
      </c>
      <c r="N1427" s="21">
        <f>IF(B1427="","",J1427-K1427-L1427-M1427-I1427)</f>
        <v/>
      </c>
    </row>
    <row r="1428">
      <c r="B1428" s="11" t="n"/>
      <c r="C1428" s="8" t="n"/>
      <c r="D1428" s="8" t="n"/>
      <c r="E1428" s="8" t="n"/>
      <c r="F1428" s="20" t="n"/>
      <c r="G1428" s="20" t="n"/>
      <c r="H1428" s="8" t="n"/>
      <c r="I1428" s="20" t="n"/>
      <c r="J1428" s="21">
        <f>IF(B1428="","",F1428+G1428)</f>
        <v/>
      </c>
      <c r="K1428" s="21">
        <f>IF(B1428="","",J1428*(Settings!$C$11+Settings!$C$12+Settings!$C$14)+IF(C1428="",Settings!$C$13,IF(COUNTIF($C$5:C1428,C1428)=1,Settings!$C$13,0))+E1428*Settings!$C$15+IF(H1428="Yes",J1428*Settings!$C$16,0))</f>
        <v/>
      </c>
      <c r="L1428" s="21">
        <f>IF(B1428="","",IF(Settings!$C$5="Yes",0,K1428*Settings!$C$17))</f>
        <v/>
      </c>
      <c r="M1428" s="21">
        <f>IF(B1428="","",E1428*IFERROR(VLOOKUP(D1428,Products!$B$5:$F$204,5,FALSE),0))</f>
        <v/>
      </c>
      <c r="N1428" s="21">
        <f>IF(B1428="","",J1428-K1428-L1428-M1428-I1428)</f>
        <v/>
      </c>
    </row>
    <row r="1429">
      <c r="B1429" s="11" t="n"/>
      <c r="C1429" s="8" t="n"/>
      <c r="D1429" s="8" t="n"/>
      <c r="E1429" s="8" t="n"/>
      <c r="F1429" s="20" t="n"/>
      <c r="G1429" s="20" t="n"/>
      <c r="H1429" s="8" t="n"/>
      <c r="I1429" s="20" t="n"/>
      <c r="J1429" s="21">
        <f>IF(B1429="","",F1429+G1429)</f>
        <v/>
      </c>
      <c r="K1429" s="21">
        <f>IF(B1429="","",J1429*(Settings!$C$11+Settings!$C$12+Settings!$C$14)+IF(C1429="",Settings!$C$13,IF(COUNTIF($C$5:C1429,C1429)=1,Settings!$C$13,0))+E1429*Settings!$C$15+IF(H1429="Yes",J1429*Settings!$C$16,0))</f>
        <v/>
      </c>
      <c r="L1429" s="21">
        <f>IF(B1429="","",IF(Settings!$C$5="Yes",0,K1429*Settings!$C$17))</f>
        <v/>
      </c>
      <c r="M1429" s="21">
        <f>IF(B1429="","",E1429*IFERROR(VLOOKUP(D1429,Products!$B$5:$F$204,5,FALSE),0))</f>
        <v/>
      </c>
      <c r="N1429" s="21">
        <f>IF(B1429="","",J1429-K1429-L1429-M1429-I1429)</f>
        <v/>
      </c>
    </row>
    <row r="1430">
      <c r="B1430" s="11" t="n"/>
      <c r="C1430" s="8" t="n"/>
      <c r="D1430" s="8" t="n"/>
      <c r="E1430" s="8" t="n"/>
      <c r="F1430" s="20" t="n"/>
      <c r="G1430" s="20" t="n"/>
      <c r="H1430" s="8" t="n"/>
      <c r="I1430" s="20" t="n"/>
      <c r="J1430" s="21">
        <f>IF(B1430="","",F1430+G1430)</f>
        <v/>
      </c>
      <c r="K1430" s="21">
        <f>IF(B1430="","",J1430*(Settings!$C$11+Settings!$C$12+Settings!$C$14)+IF(C1430="",Settings!$C$13,IF(COUNTIF($C$5:C1430,C1430)=1,Settings!$C$13,0))+E1430*Settings!$C$15+IF(H1430="Yes",J1430*Settings!$C$16,0))</f>
        <v/>
      </c>
      <c r="L1430" s="21">
        <f>IF(B1430="","",IF(Settings!$C$5="Yes",0,K1430*Settings!$C$17))</f>
        <v/>
      </c>
      <c r="M1430" s="21">
        <f>IF(B1430="","",E1430*IFERROR(VLOOKUP(D1430,Products!$B$5:$F$204,5,FALSE),0))</f>
        <v/>
      </c>
      <c r="N1430" s="21">
        <f>IF(B1430="","",J1430-K1430-L1430-M1430-I1430)</f>
        <v/>
      </c>
    </row>
    <row r="1431">
      <c r="B1431" s="11" t="n"/>
      <c r="C1431" s="8" t="n"/>
      <c r="D1431" s="8" t="n"/>
      <c r="E1431" s="8" t="n"/>
      <c r="F1431" s="20" t="n"/>
      <c r="G1431" s="20" t="n"/>
      <c r="H1431" s="8" t="n"/>
      <c r="I1431" s="20" t="n"/>
      <c r="J1431" s="21">
        <f>IF(B1431="","",F1431+G1431)</f>
        <v/>
      </c>
      <c r="K1431" s="21">
        <f>IF(B1431="","",J1431*(Settings!$C$11+Settings!$C$12+Settings!$C$14)+IF(C1431="",Settings!$C$13,IF(COUNTIF($C$5:C1431,C1431)=1,Settings!$C$13,0))+E1431*Settings!$C$15+IF(H1431="Yes",J1431*Settings!$C$16,0))</f>
        <v/>
      </c>
      <c r="L1431" s="21">
        <f>IF(B1431="","",IF(Settings!$C$5="Yes",0,K1431*Settings!$C$17))</f>
        <v/>
      </c>
      <c r="M1431" s="21">
        <f>IF(B1431="","",E1431*IFERROR(VLOOKUP(D1431,Products!$B$5:$F$204,5,FALSE),0))</f>
        <v/>
      </c>
      <c r="N1431" s="21">
        <f>IF(B1431="","",J1431-K1431-L1431-M1431-I1431)</f>
        <v/>
      </c>
    </row>
    <row r="1432">
      <c r="B1432" s="11" t="n"/>
      <c r="C1432" s="8" t="n"/>
      <c r="D1432" s="8" t="n"/>
      <c r="E1432" s="8" t="n"/>
      <c r="F1432" s="20" t="n"/>
      <c r="G1432" s="20" t="n"/>
      <c r="H1432" s="8" t="n"/>
      <c r="I1432" s="20" t="n"/>
      <c r="J1432" s="21">
        <f>IF(B1432="","",F1432+G1432)</f>
        <v/>
      </c>
      <c r="K1432" s="21">
        <f>IF(B1432="","",J1432*(Settings!$C$11+Settings!$C$12+Settings!$C$14)+IF(C1432="",Settings!$C$13,IF(COUNTIF($C$5:C1432,C1432)=1,Settings!$C$13,0))+E1432*Settings!$C$15+IF(H1432="Yes",J1432*Settings!$C$16,0))</f>
        <v/>
      </c>
      <c r="L1432" s="21">
        <f>IF(B1432="","",IF(Settings!$C$5="Yes",0,K1432*Settings!$C$17))</f>
        <v/>
      </c>
      <c r="M1432" s="21">
        <f>IF(B1432="","",E1432*IFERROR(VLOOKUP(D1432,Products!$B$5:$F$204,5,FALSE),0))</f>
        <v/>
      </c>
      <c r="N1432" s="21">
        <f>IF(B1432="","",J1432-K1432-L1432-M1432-I1432)</f>
        <v/>
      </c>
    </row>
    <row r="1433">
      <c r="B1433" s="11" t="n"/>
      <c r="C1433" s="8" t="n"/>
      <c r="D1433" s="8" t="n"/>
      <c r="E1433" s="8" t="n"/>
      <c r="F1433" s="20" t="n"/>
      <c r="G1433" s="20" t="n"/>
      <c r="H1433" s="8" t="n"/>
      <c r="I1433" s="20" t="n"/>
      <c r="J1433" s="21">
        <f>IF(B1433="","",F1433+G1433)</f>
        <v/>
      </c>
      <c r="K1433" s="21">
        <f>IF(B1433="","",J1433*(Settings!$C$11+Settings!$C$12+Settings!$C$14)+IF(C1433="",Settings!$C$13,IF(COUNTIF($C$5:C1433,C1433)=1,Settings!$C$13,0))+E1433*Settings!$C$15+IF(H1433="Yes",J1433*Settings!$C$16,0))</f>
        <v/>
      </c>
      <c r="L1433" s="21">
        <f>IF(B1433="","",IF(Settings!$C$5="Yes",0,K1433*Settings!$C$17))</f>
        <v/>
      </c>
      <c r="M1433" s="21">
        <f>IF(B1433="","",E1433*IFERROR(VLOOKUP(D1433,Products!$B$5:$F$204,5,FALSE),0))</f>
        <v/>
      </c>
      <c r="N1433" s="21">
        <f>IF(B1433="","",J1433-K1433-L1433-M1433-I1433)</f>
        <v/>
      </c>
    </row>
    <row r="1434">
      <c r="B1434" s="11" t="n"/>
      <c r="C1434" s="8" t="n"/>
      <c r="D1434" s="8" t="n"/>
      <c r="E1434" s="8" t="n"/>
      <c r="F1434" s="20" t="n"/>
      <c r="G1434" s="20" t="n"/>
      <c r="H1434" s="8" t="n"/>
      <c r="I1434" s="20" t="n"/>
      <c r="J1434" s="21">
        <f>IF(B1434="","",F1434+G1434)</f>
        <v/>
      </c>
      <c r="K1434" s="21">
        <f>IF(B1434="","",J1434*(Settings!$C$11+Settings!$C$12+Settings!$C$14)+IF(C1434="",Settings!$C$13,IF(COUNTIF($C$5:C1434,C1434)=1,Settings!$C$13,0))+E1434*Settings!$C$15+IF(H1434="Yes",J1434*Settings!$C$16,0))</f>
        <v/>
      </c>
      <c r="L1434" s="21">
        <f>IF(B1434="","",IF(Settings!$C$5="Yes",0,K1434*Settings!$C$17))</f>
        <v/>
      </c>
      <c r="M1434" s="21">
        <f>IF(B1434="","",E1434*IFERROR(VLOOKUP(D1434,Products!$B$5:$F$204,5,FALSE),0))</f>
        <v/>
      </c>
      <c r="N1434" s="21">
        <f>IF(B1434="","",J1434-K1434-L1434-M1434-I1434)</f>
        <v/>
      </c>
    </row>
    <row r="1435">
      <c r="B1435" s="11" t="n"/>
      <c r="C1435" s="8" t="n"/>
      <c r="D1435" s="8" t="n"/>
      <c r="E1435" s="8" t="n"/>
      <c r="F1435" s="20" t="n"/>
      <c r="G1435" s="20" t="n"/>
      <c r="H1435" s="8" t="n"/>
      <c r="I1435" s="20" t="n"/>
      <c r="J1435" s="21">
        <f>IF(B1435="","",F1435+G1435)</f>
        <v/>
      </c>
      <c r="K1435" s="21">
        <f>IF(B1435="","",J1435*(Settings!$C$11+Settings!$C$12+Settings!$C$14)+IF(C1435="",Settings!$C$13,IF(COUNTIF($C$5:C1435,C1435)=1,Settings!$C$13,0))+E1435*Settings!$C$15+IF(H1435="Yes",J1435*Settings!$C$16,0))</f>
        <v/>
      </c>
      <c r="L1435" s="21">
        <f>IF(B1435="","",IF(Settings!$C$5="Yes",0,K1435*Settings!$C$17))</f>
        <v/>
      </c>
      <c r="M1435" s="21">
        <f>IF(B1435="","",E1435*IFERROR(VLOOKUP(D1435,Products!$B$5:$F$204,5,FALSE),0))</f>
        <v/>
      </c>
      <c r="N1435" s="21">
        <f>IF(B1435="","",J1435-K1435-L1435-M1435-I1435)</f>
        <v/>
      </c>
    </row>
    <row r="1436">
      <c r="B1436" s="11" t="n"/>
      <c r="C1436" s="8" t="n"/>
      <c r="D1436" s="8" t="n"/>
      <c r="E1436" s="8" t="n"/>
      <c r="F1436" s="20" t="n"/>
      <c r="G1436" s="20" t="n"/>
      <c r="H1436" s="8" t="n"/>
      <c r="I1436" s="20" t="n"/>
      <c r="J1436" s="21">
        <f>IF(B1436="","",F1436+G1436)</f>
        <v/>
      </c>
      <c r="K1436" s="21">
        <f>IF(B1436="","",J1436*(Settings!$C$11+Settings!$C$12+Settings!$C$14)+IF(C1436="",Settings!$C$13,IF(COUNTIF($C$5:C1436,C1436)=1,Settings!$C$13,0))+E1436*Settings!$C$15+IF(H1436="Yes",J1436*Settings!$C$16,0))</f>
        <v/>
      </c>
      <c r="L1436" s="21">
        <f>IF(B1436="","",IF(Settings!$C$5="Yes",0,K1436*Settings!$C$17))</f>
        <v/>
      </c>
      <c r="M1436" s="21">
        <f>IF(B1436="","",E1436*IFERROR(VLOOKUP(D1436,Products!$B$5:$F$204,5,FALSE),0))</f>
        <v/>
      </c>
      <c r="N1436" s="21">
        <f>IF(B1436="","",J1436-K1436-L1436-M1436-I1436)</f>
        <v/>
      </c>
    </row>
    <row r="1437">
      <c r="B1437" s="11" t="n"/>
      <c r="C1437" s="8" t="n"/>
      <c r="D1437" s="8" t="n"/>
      <c r="E1437" s="8" t="n"/>
      <c r="F1437" s="20" t="n"/>
      <c r="G1437" s="20" t="n"/>
      <c r="H1437" s="8" t="n"/>
      <c r="I1437" s="20" t="n"/>
      <c r="J1437" s="21">
        <f>IF(B1437="","",F1437+G1437)</f>
        <v/>
      </c>
      <c r="K1437" s="21">
        <f>IF(B1437="","",J1437*(Settings!$C$11+Settings!$C$12+Settings!$C$14)+IF(C1437="",Settings!$C$13,IF(COUNTIF($C$5:C1437,C1437)=1,Settings!$C$13,0))+E1437*Settings!$C$15+IF(H1437="Yes",J1437*Settings!$C$16,0))</f>
        <v/>
      </c>
      <c r="L1437" s="21">
        <f>IF(B1437="","",IF(Settings!$C$5="Yes",0,K1437*Settings!$C$17))</f>
        <v/>
      </c>
      <c r="M1437" s="21">
        <f>IF(B1437="","",E1437*IFERROR(VLOOKUP(D1437,Products!$B$5:$F$204,5,FALSE),0))</f>
        <v/>
      </c>
      <c r="N1437" s="21">
        <f>IF(B1437="","",J1437-K1437-L1437-M1437-I1437)</f>
        <v/>
      </c>
    </row>
    <row r="1438">
      <c r="B1438" s="11" t="n"/>
      <c r="C1438" s="8" t="n"/>
      <c r="D1438" s="8" t="n"/>
      <c r="E1438" s="8" t="n"/>
      <c r="F1438" s="20" t="n"/>
      <c r="G1438" s="20" t="n"/>
      <c r="H1438" s="8" t="n"/>
      <c r="I1438" s="20" t="n"/>
      <c r="J1438" s="21">
        <f>IF(B1438="","",F1438+G1438)</f>
        <v/>
      </c>
      <c r="K1438" s="21">
        <f>IF(B1438="","",J1438*(Settings!$C$11+Settings!$C$12+Settings!$C$14)+IF(C1438="",Settings!$C$13,IF(COUNTIF($C$5:C1438,C1438)=1,Settings!$C$13,0))+E1438*Settings!$C$15+IF(H1438="Yes",J1438*Settings!$C$16,0))</f>
        <v/>
      </c>
      <c r="L1438" s="21">
        <f>IF(B1438="","",IF(Settings!$C$5="Yes",0,K1438*Settings!$C$17))</f>
        <v/>
      </c>
      <c r="M1438" s="21">
        <f>IF(B1438="","",E1438*IFERROR(VLOOKUP(D1438,Products!$B$5:$F$204,5,FALSE),0))</f>
        <v/>
      </c>
      <c r="N1438" s="21">
        <f>IF(B1438="","",J1438-K1438-L1438-M1438-I1438)</f>
        <v/>
      </c>
    </row>
    <row r="1439">
      <c r="B1439" s="11" t="n"/>
      <c r="C1439" s="8" t="n"/>
      <c r="D1439" s="8" t="n"/>
      <c r="E1439" s="8" t="n"/>
      <c r="F1439" s="20" t="n"/>
      <c r="G1439" s="20" t="n"/>
      <c r="H1439" s="8" t="n"/>
      <c r="I1439" s="20" t="n"/>
      <c r="J1439" s="21">
        <f>IF(B1439="","",F1439+G1439)</f>
        <v/>
      </c>
      <c r="K1439" s="21">
        <f>IF(B1439="","",J1439*(Settings!$C$11+Settings!$C$12+Settings!$C$14)+IF(C1439="",Settings!$C$13,IF(COUNTIF($C$5:C1439,C1439)=1,Settings!$C$13,0))+E1439*Settings!$C$15+IF(H1439="Yes",J1439*Settings!$C$16,0))</f>
        <v/>
      </c>
      <c r="L1439" s="21">
        <f>IF(B1439="","",IF(Settings!$C$5="Yes",0,K1439*Settings!$C$17))</f>
        <v/>
      </c>
      <c r="M1439" s="21">
        <f>IF(B1439="","",E1439*IFERROR(VLOOKUP(D1439,Products!$B$5:$F$204,5,FALSE),0))</f>
        <v/>
      </c>
      <c r="N1439" s="21">
        <f>IF(B1439="","",J1439-K1439-L1439-M1439-I1439)</f>
        <v/>
      </c>
    </row>
    <row r="1440">
      <c r="B1440" s="11" t="n"/>
      <c r="C1440" s="8" t="n"/>
      <c r="D1440" s="8" t="n"/>
      <c r="E1440" s="8" t="n"/>
      <c r="F1440" s="20" t="n"/>
      <c r="G1440" s="20" t="n"/>
      <c r="H1440" s="8" t="n"/>
      <c r="I1440" s="20" t="n"/>
      <c r="J1440" s="21">
        <f>IF(B1440="","",F1440+G1440)</f>
        <v/>
      </c>
      <c r="K1440" s="21">
        <f>IF(B1440="","",J1440*(Settings!$C$11+Settings!$C$12+Settings!$C$14)+IF(C1440="",Settings!$C$13,IF(COUNTIF($C$5:C1440,C1440)=1,Settings!$C$13,0))+E1440*Settings!$C$15+IF(H1440="Yes",J1440*Settings!$C$16,0))</f>
        <v/>
      </c>
      <c r="L1440" s="21">
        <f>IF(B1440="","",IF(Settings!$C$5="Yes",0,K1440*Settings!$C$17))</f>
        <v/>
      </c>
      <c r="M1440" s="21">
        <f>IF(B1440="","",E1440*IFERROR(VLOOKUP(D1440,Products!$B$5:$F$204,5,FALSE),0))</f>
        <v/>
      </c>
      <c r="N1440" s="21">
        <f>IF(B1440="","",J1440-K1440-L1440-M1440-I1440)</f>
        <v/>
      </c>
    </row>
    <row r="1441">
      <c r="B1441" s="11" t="n"/>
      <c r="C1441" s="8" t="n"/>
      <c r="D1441" s="8" t="n"/>
      <c r="E1441" s="8" t="n"/>
      <c r="F1441" s="20" t="n"/>
      <c r="G1441" s="20" t="n"/>
      <c r="H1441" s="8" t="n"/>
      <c r="I1441" s="20" t="n"/>
      <c r="J1441" s="21">
        <f>IF(B1441="","",F1441+G1441)</f>
        <v/>
      </c>
      <c r="K1441" s="21">
        <f>IF(B1441="","",J1441*(Settings!$C$11+Settings!$C$12+Settings!$C$14)+IF(C1441="",Settings!$C$13,IF(COUNTIF($C$5:C1441,C1441)=1,Settings!$C$13,0))+E1441*Settings!$C$15+IF(H1441="Yes",J1441*Settings!$C$16,0))</f>
        <v/>
      </c>
      <c r="L1441" s="21">
        <f>IF(B1441="","",IF(Settings!$C$5="Yes",0,K1441*Settings!$C$17))</f>
        <v/>
      </c>
      <c r="M1441" s="21">
        <f>IF(B1441="","",E1441*IFERROR(VLOOKUP(D1441,Products!$B$5:$F$204,5,FALSE),0))</f>
        <v/>
      </c>
      <c r="N1441" s="21">
        <f>IF(B1441="","",J1441-K1441-L1441-M1441-I1441)</f>
        <v/>
      </c>
    </row>
    <row r="1442">
      <c r="B1442" s="11" t="n"/>
      <c r="C1442" s="8" t="n"/>
      <c r="D1442" s="8" t="n"/>
      <c r="E1442" s="8" t="n"/>
      <c r="F1442" s="20" t="n"/>
      <c r="G1442" s="20" t="n"/>
      <c r="H1442" s="8" t="n"/>
      <c r="I1442" s="20" t="n"/>
      <c r="J1442" s="21">
        <f>IF(B1442="","",F1442+G1442)</f>
        <v/>
      </c>
      <c r="K1442" s="21">
        <f>IF(B1442="","",J1442*(Settings!$C$11+Settings!$C$12+Settings!$C$14)+IF(C1442="",Settings!$C$13,IF(COUNTIF($C$5:C1442,C1442)=1,Settings!$C$13,0))+E1442*Settings!$C$15+IF(H1442="Yes",J1442*Settings!$C$16,0))</f>
        <v/>
      </c>
      <c r="L1442" s="21">
        <f>IF(B1442="","",IF(Settings!$C$5="Yes",0,K1442*Settings!$C$17))</f>
        <v/>
      </c>
      <c r="M1442" s="21">
        <f>IF(B1442="","",E1442*IFERROR(VLOOKUP(D1442,Products!$B$5:$F$204,5,FALSE),0))</f>
        <v/>
      </c>
      <c r="N1442" s="21">
        <f>IF(B1442="","",J1442-K1442-L1442-M1442-I1442)</f>
        <v/>
      </c>
    </row>
    <row r="1443">
      <c r="B1443" s="11" t="n"/>
      <c r="C1443" s="8" t="n"/>
      <c r="D1443" s="8" t="n"/>
      <c r="E1443" s="8" t="n"/>
      <c r="F1443" s="20" t="n"/>
      <c r="G1443" s="20" t="n"/>
      <c r="H1443" s="8" t="n"/>
      <c r="I1443" s="20" t="n"/>
      <c r="J1443" s="21">
        <f>IF(B1443="","",F1443+G1443)</f>
        <v/>
      </c>
      <c r="K1443" s="21">
        <f>IF(B1443="","",J1443*(Settings!$C$11+Settings!$C$12+Settings!$C$14)+IF(C1443="",Settings!$C$13,IF(COUNTIF($C$5:C1443,C1443)=1,Settings!$C$13,0))+E1443*Settings!$C$15+IF(H1443="Yes",J1443*Settings!$C$16,0))</f>
        <v/>
      </c>
      <c r="L1443" s="21">
        <f>IF(B1443="","",IF(Settings!$C$5="Yes",0,K1443*Settings!$C$17))</f>
        <v/>
      </c>
      <c r="M1443" s="21">
        <f>IF(B1443="","",E1443*IFERROR(VLOOKUP(D1443,Products!$B$5:$F$204,5,FALSE),0))</f>
        <v/>
      </c>
      <c r="N1443" s="21">
        <f>IF(B1443="","",J1443-K1443-L1443-M1443-I1443)</f>
        <v/>
      </c>
    </row>
    <row r="1444">
      <c r="B1444" s="11" t="n"/>
      <c r="C1444" s="8" t="n"/>
      <c r="D1444" s="8" t="n"/>
      <c r="E1444" s="8" t="n"/>
      <c r="F1444" s="20" t="n"/>
      <c r="G1444" s="20" t="n"/>
      <c r="H1444" s="8" t="n"/>
      <c r="I1444" s="20" t="n"/>
      <c r="J1444" s="21">
        <f>IF(B1444="","",F1444+G1444)</f>
        <v/>
      </c>
      <c r="K1444" s="21">
        <f>IF(B1444="","",J1444*(Settings!$C$11+Settings!$C$12+Settings!$C$14)+IF(C1444="",Settings!$C$13,IF(COUNTIF($C$5:C1444,C1444)=1,Settings!$C$13,0))+E1444*Settings!$C$15+IF(H1444="Yes",J1444*Settings!$C$16,0))</f>
        <v/>
      </c>
      <c r="L1444" s="21">
        <f>IF(B1444="","",IF(Settings!$C$5="Yes",0,K1444*Settings!$C$17))</f>
        <v/>
      </c>
      <c r="M1444" s="21">
        <f>IF(B1444="","",E1444*IFERROR(VLOOKUP(D1444,Products!$B$5:$F$204,5,FALSE),0))</f>
        <v/>
      </c>
      <c r="N1444" s="21">
        <f>IF(B1444="","",J1444-K1444-L1444-M1444-I1444)</f>
        <v/>
      </c>
    </row>
    <row r="1445">
      <c r="B1445" s="11" t="n"/>
      <c r="C1445" s="8" t="n"/>
      <c r="D1445" s="8" t="n"/>
      <c r="E1445" s="8" t="n"/>
      <c r="F1445" s="20" t="n"/>
      <c r="G1445" s="20" t="n"/>
      <c r="H1445" s="8" t="n"/>
      <c r="I1445" s="20" t="n"/>
      <c r="J1445" s="21">
        <f>IF(B1445="","",F1445+G1445)</f>
        <v/>
      </c>
      <c r="K1445" s="21">
        <f>IF(B1445="","",J1445*(Settings!$C$11+Settings!$C$12+Settings!$C$14)+IF(C1445="",Settings!$C$13,IF(COUNTIF($C$5:C1445,C1445)=1,Settings!$C$13,0))+E1445*Settings!$C$15+IF(H1445="Yes",J1445*Settings!$C$16,0))</f>
        <v/>
      </c>
      <c r="L1445" s="21">
        <f>IF(B1445="","",IF(Settings!$C$5="Yes",0,K1445*Settings!$C$17))</f>
        <v/>
      </c>
      <c r="M1445" s="21">
        <f>IF(B1445="","",E1445*IFERROR(VLOOKUP(D1445,Products!$B$5:$F$204,5,FALSE),0))</f>
        <v/>
      </c>
      <c r="N1445" s="21">
        <f>IF(B1445="","",J1445-K1445-L1445-M1445-I1445)</f>
        <v/>
      </c>
    </row>
    <row r="1446">
      <c r="B1446" s="11" t="n"/>
      <c r="C1446" s="8" t="n"/>
      <c r="D1446" s="8" t="n"/>
      <c r="E1446" s="8" t="n"/>
      <c r="F1446" s="20" t="n"/>
      <c r="G1446" s="20" t="n"/>
      <c r="H1446" s="8" t="n"/>
      <c r="I1446" s="20" t="n"/>
      <c r="J1446" s="21">
        <f>IF(B1446="","",F1446+G1446)</f>
        <v/>
      </c>
      <c r="K1446" s="21">
        <f>IF(B1446="","",J1446*(Settings!$C$11+Settings!$C$12+Settings!$C$14)+IF(C1446="",Settings!$C$13,IF(COUNTIF($C$5:C1446,C1446)=1,Settings!$C$13,0))+E1446*Settings!$C$15+IF(H1446="Yes",J1446*Settings!$C$16,0))</f>
        <v/>
      </c>
      <c r="L1446" s="21">
        <f>IF(B1446="","",IF(Settings!$C$5="Yes",0,K1446*Settings!$C$17))</f>
        <v/>
      </c>
      <c r="M1446" s="21">
        <f>IF(B1446="","",E1446*IFERROR(VLOOKUP(D1446,Products!$B$5:$F$204,5,FALSE),0))</f>
        <v/>
      </c>
      <c r="N1446" s="21">
        <f>IF(B1446="","",J1446-K1446-L1446-M1446-I1446)</f>
        <v/>
      </c>
    </row>
    <row r="1447">
      <c r="B1447" s="11" t="n"/>
      <c r="C1447" s="8" t="n"/>
      <c r="D1447" s="8" t="n"/>
      <c r="E1447" s="8" t="n"/>
      <c r="F1447" s="20" t="n"/>
      <c r="G1447" s="20" t="n"/>
      <c r="H1447" s="8" t="n"/>
      <c r="I1447" s="20" t="n"/>
      <c r="J1447" s="21">
        <f>IF(B1447="","",F1447+G1447)</f>
        <v/>
      </c>
      <c r="K1447" s="21">
        <f>IF(B1447="","",J1447*(Settings!$C$11+Settings!$C$12+Settings!$C$14)+IF(C1447="",Settings!$C$13,IF(COUNTIF($C$5:C1447,C1447)=1,Settings!$C$13,0))+E1447*Settings!$C$15+IF(H1447="Yes",J1447*Settings!$C$16,0))</f>
        <v/>
      </c>
      <c r="L1447" s="21">
        <f>IF(B1447="","",IF(Settings!$C$5="Yes",0,K1447*Settings!$C$17))</f>
        <v/>
      </c>
      <c r="M1447" s="21">
        <f>IF(B1447="","",E1447*IFERROR(VLOOKUP(D1447,Products!$B$5:$F$204,5,FALSE),0))</f>
        <v/>
      </c>
      <c r="N1447" s="21">
        <f>IF(B1447="","",J1447-K1447-L1447-M1447-I1447)</f>
        <v/>
      </c>
    </row>
    <row r="1448">
      <c r="B1448" s="11" t="n"/>
      <c r="C1448" s="8" t="n"/>
      <c r="D1448" s="8" t="n"/>
      <c r="E1448" s="8" t="n"/>
      <c r="F1448" s="20" t="n"/>
      <c r="G1448" s="20" t="n"/>
      <c r="H1448" s="8" t="n"/>
      <c r="I1448" s="20" t="n"/>
      <c r="J1448" s="21">
        <f>IF(B1448="","",F1448+G1448)</f>
        <v/>
      </c>
      <c r="K1448" s="21">
        <f>IF(B1448="","",J1448*(Settings!$C$11+Settings!$C$12+Settings!$C$14)+IF(C1448="",Settings!$C$13,IF(COUNTIF($C$5:C1448,C1448)=1,Settings!$C$13,0))+E1448*Settings!$C$15+IF(H1448="Yes",J1448*Settings!$C$16,0))</f>
        <v/>
      </c>
      <c r="L1448" s="21">
        <f>IF(B1448="","",IF(Settings!$C$5="Yes",0,K1448*Settings!$C$17))</f>
        <v/>
      </c>
      <c r="M1448" s="21">
        <f>IF(B1448="","",E1448*IFERROR(VLOOKUP(D1448,Products!$B$5:$F$204,5,FALSE),0))</f>
        <v/>
      </c>
      <c r="N1448" s="21">
        <f>IF(B1448="","",J1448-K1448-L1448-M1448-I1448)</f>
        <v/>
      </c>
    </row>
    <row r="1449">
      <c r="B1449" s="11" t="n"/>
      <c r="C1449" s="8" t="n"/>
      <c r="D1449" s="8" t="n"/>
      <c r="E1449" s="8" t="n"/>
      <c r="F1449" s="20" t="n"/>
      <c r="G1449" s="20" t="n"/>
      <c r="H1449" s="8" t="n"/>
      <c r="I1449" s="20" t="n"/>
      <c r="J1449" s="21">
        <f>IF(B1449="","",F1449+G1449)</f>
        <v/>
      </c>
      <c r="K1449" s="21">
        <f>IF(B1449="","",J1449*(Settings!$C$11+Settings!$C$12+Settings!$C$14)+IF(C1449="",Settings!$C$13,IF(COUNTIF($C$5:C1449,C1449)=1,Settings!$C$13,0))+E1449*Settings!$C$15+IF(H1449="Yes",J1449*Settings!$C$16,0))</f>
        <v/>
      </c>
      <c r="L1449" s="21">
        <f>IF(B1449="","",IF(Settings!$C$5="Yes",0,K1449*Settings!$C$17))</f>
        <v/>
      </c>
      <c r="M1449" s="21">
        <f>IF(B1449="","",E1449*IFERROR(VLOOKUP(D1449,Products!$B$5:$F$204,5,FALSE),0))</f>
        <v/>
      </c>
      <c r="N1449" s="21">
        <f>IF(B1449="","",J1449-K1449-L1449-M1449-I1449)</f>
        <v/>
      </c>
    </row>
    <row r="1450">
      <c r="B1450" s="11" t="n"/>
      <c r="C1450" s="8" t="n"/>
      <c r="D1450" s="8" t="n"/>
      <c r="E1450" s="8" t="n"/>
      <c r="F1450" s="20" t="n"/>
      <c r="G1450" s="20" t="n"/>
      <c r="H1450" s="8" t="n"/>
      <c r="I1450" s="20" t="n"/>
      <c r="J1450" s="21">
        <f>IF(B1450="","",F1450+G1450)</f>
        <v/>
      </c>
      <c r="K1450" s="21">
        <f>IF(B1450="","",J1450*(Settings!$C$11+Settings!$C$12+Settings!$C$14)+IF(C1450="",Settings!$C$13,IF(COUNTIF($C$5:C1450,C1450)=1,Settings!$C$13,0))+E1450*Settings!$C$15+IF(H1450="Yes",J1450*Settings!$C$16,0))</f>
        <v/>
      </c>
      <c r="L1450" s="21">
        <f>IF(B1450="","",IF(Settings!$C$5="Yes",0,K1450*Settings!$C$17))</f>
        <v/>
      </c>
      <c r="M1450" s="21">
        <f>IF(B1450="","",E1450*IFERROR(VLOOKUP(D1450,Products!$B$5:$F$204,5,FALSE),0))</f>
        <v/>
      </c>
      <c r="N1450" s="21">
        <f>IF(B1450="","",J1450-K1450-L1450-M1450-I1450)</f>
        <v/>
      </c>
    </row>
    <row r="1451">
      <c r="B1451" s="11" t="n"/>
      <c r="C1451" s="8" t="n"/>
      <c r="D1451" s="8" t="n"/>
      <c r="E1451" s="8" t="n"/>
      <c r="F1451" s="20" t="n"/>
      <c r="G1451" s="20" t="n"/>
      <c r="H1451" s="8" t="n"/>
      <c r="I1451" s="20" t="n"/>
      <c r="J1451" s="21">
        <f>IF(B1451="","",F1451+G1451)</f>
        <v/>
      </c>
      <c r="K1451" s="21">
        <f>IF(B1451="","",J1451*(Settings!$C$11+Settings!$C$12+Settings!$C$14)+IF(C1451="",Settings!$C$13,IF(COUNTIF($C$5:C1451,C1451)=1,Settings!$C$13,0))+E1451*Settings!$C$15+IF(H1451="Yes",J1451*Settings!$C$16,0))</f>
        <v/>
      </c>
      <c r="L1451" s="21">
        <f>IF(B1451="","",IF(Settings!$C$5="Yes",0,K1451*Settings!$C$17))</f>
        <v/>
      </c>
      <c r="M1451" s="21">
        <f>IF(B1451="","",E1451*IFERROR(VLOOKUP(D1451,Products!$B$5:$F$204,5,FALSE),0))</f>
        <v/>
      </c>
      <c r="N1451" s="21">
        <f>IF(B1451="","",J1451-K1451-L1451-M1451-I1451)</f>
        <v/>
      </c>
    </row>
    <row r="1452">
      <c r="B1452" s="11" t="n"/>
      <c r="C1452" s="8" t="n"/>
      <c r="D1452" s="8" t="n"/>
      <c r="E1452" s="8" t="n"/>
      <c r="F1452" s="20" t="n"/>
      <c r="G1452" s="20" t="n"/>
      <c r="H1452" s="8" t="n"/>
      <c r="I1452" s="20" t="n"/>
      <c r="J1452" s="21">
        <f>IF(B1452="","",F1452+G1452)</f>
        <v/>
      </c>
      <c r="K1452" s="21">
        <f>IF(B1452="","",J1452*(Settings!$C$11+Settings!$C$12+Settings!$C$14)+IF(C1452="",Settings!$C$13,IF(COUNTIF($C$5:C1452,C1452)=1,Settings!$C$13,0))+E1452*Settings!$C$15+IF(H1452="Yes",J1452*Settings!$C$16,0))</f>
        <v/>
      </c>
      <c r="L1452" s="21">
        <f>IF(B1452="","",IF(Settings!$C$5="Yes",0,K1452*Settings!$C$17))</f>
        <v/>
      </c>
      <c r="M1452" s="21">
        <f>IF(B1452="","",E1452*IFERROR(VLOOKUP(D1452,Products!$B$5:$F$204,5,FALSE),0))</f>
        <v/>
      </c>
      <c r="N1452" s="21">
        <f>IF(B1452="","",J1452-K1452-L1452-M1452-I1452)</f>
        <v/>
      </c>
    </row>
    <row r="1453">
      <c r="B1453" s="11" t="n"/>
      <c r="C1453" s="8" t="n"/>
      <c r="D1453" s="8" t="n"/>
      <c r="E1453" s="8" t="n"/>
      <c r="F1453" s="20" t="n"/>
      <c r="G1453" s="20" t="n"/>
      <c r="H1453" s="8" t="n"/>
      <c r="I1453" s="20" t="n"/>
      <c r="J1453" s="21">
        <f>IF(B1453="","",F1453+G1453)</f>
        <v/>
      </c>
      <c r="K1453" s="21">
        <f>IF(B1453="","",J1453*(Settings!$C$11+Settings!$C$12+Settings!$C$14)+IF(C1453="",Settings!$C$13,IF(COUNTIF($C$5:C1453,C1453)=1,Settings!$C$13,0))+E1453*Settings!$C$15+IF(H1453="Yes",J1453*Settings!$C$16,0))</f>
        <v/>
      </c>
      <c r="L1453" s="21">
        <f>IF(B1453="","",IF(Settings!$C$5="Yes",0,K1453*Settings!$C$17))</f>
        <v/>
      </c>
      <c r="M1453" s="21">
        <f>IF(B1453="","",E1453*IFERROR(VLOOKUP(D1453,Products!$B$5:$F$204,5,FALSE),0))</f>
        <v/>
      </c>
      <c r="N1453" s="21">
        <f>IF(B1453="","",J1453-K1453-L1453-M1453-I1453)</f>
        <v/>
      </c>
    </row>
    <row r="1454">
      <c r="B1454" s="11" t="n"/>
      <c r="C1454" s="8" t="n"/>
      <c r="D1454" s="8" t="n"/>
      <c r="E1454" s="8" t="n"/>
      <c r="F1454" s="20" t="n"/>
      <c r="G1454" s="20" t="n"/>
      <c r="H1454" s="8" t="n"/>
      <c r="I1454" s="20" t="n"/>
      <c r="J1454" s="21">
        <f>IF(B1454="","",F1454+G1454)</f>
        <v/>
      </c>
      <c r="K1454" s="21">
        <f>IF(B1454="","",J1454*(Settings!$C$11+Settings!$C$12+Settings!$C$14)+IF(C1454="",Settings!$C$13,IF(COUNTIF($C$5:C1454,C1454)=1,Settings!$C$13,0))+E1454*Settings!$C$15+IF(H1454="Yes",J1454*Settings!$C$16,0))</f>
        <v/>
      </c>
      <c r="L1454" s="21">
        <f>IF(B1454="","",IF(Settings!$C$5="Yes",0,K1454*Settings!$C$17))</f>
        <v/>
      </c>
      <c r="M1454" s="21">
        <f>IF(B1454="","",E1454*IFERROR(VLOOKUP(D1454,Products!$B$5:$F$204,5,FALSE),0))</f>
        <v/>
      </c>
      <c r="N1454" s="21">
        <f>IF(B1454="","",J1454-K1454-L1454-M1454-I1454)</f>
        <v/>
      </c>
    </row>
    <row r="1455">
      <c r="B1455" s="11" t="n"/>
      <c r="C1455" s="8" t="n"/>
      <c r="D1455" s="8" t="n"/>
      <c r="E1455" s="8" t="n"/>
      <c r="F1455" s="20" t="n"/>
      <c r="G1455" s="20" t="n"/>
      <c r="H1455" s="8" t="n"/>
      <c r="I1455" s="20" t="n"/>
      <c r="J1455" s="21">
        <f>IF(B1455="","",F1455+G1455)</f>
        <v/>
      </c>
      <c r="K1455" s="21">
        <f>IF(B1455="","",J1455*(Settings!$C$11+Settings!$C$12+Settings!$C$14)+IF(C1455="",Settings!$C$13,IF(COUNTIF($C$5:C1455,C1455)=1,Settings!$C$13,0))+E1455*Settings!$C$15+IF(H1455="Yes",J1455*Settings!$C$16,0))</f>
        <v/>
      </c>
      <c r="L1455" s="21">
        <f>IF(B1455="","",IF(Settings!$C$5="Yes",0,K1455*Settings!$C$17))</f>
        <v/>
      </c>
      <c r="M1455" s="21">
        <f>IF(B1455="","",E1455*IFERROR(VLOOKUP(D1455,Products!$B$5:$F$204,5,FALSE),0))</f>
        <v/>
      </c>
      <c r="N1455" s="21">
        <f>IF(B1455="","",J1455-K1455-L1455-M1455-I1455)</f>
        <v/>
      </c>
    </row>
    <row r="1456">
      <c r="B1456" s="11" t="n"/>
      <c r="C1456" s="8" t="n"/>
      <c r="D1456" s="8" t="n"/>
      <c r="E1456" s="8" t="n"/>
      <c r="F1456" s="20" t="n"/>
      <c r="G1456" s="20" t="n"/>
      <c r="H1456" s="8" t="n"/>
      <c r="I1456" s="20" t="n"/>
      <c r="J1456" s="21">
        <f>IF(B1456="","",F1456+G1456)</f>
        <v/>
      </c>
      <c r="K1456" s="21">
        <f>IF(B1456="","",J1456*(Settings!$C$11+Settings!$C$12+Settings!$C$14)+IF(C1456="",Settings!$C$13,IF(COUNTIF($C$5:C1456,C1456)=1,Settings!$C$13,0))+E1456*Settings!$C$15+IF(H1456="Yes",J1456*Settings!$C$16,0))</f>
        <v/>
      </c>
      <c r="L1456" s="21">
        <f>IF(B1456="","",IF(Settings!$C$5="Yes",0,K1456*Settings!$C$17))</f>
        <v/>
      </c>
      <c r="M1456" s="21">
        <f>IF(B1456="","",E1456*IFERROR(VLOOKUP(D1456,Products!$B$5:$F$204,5,FALSE),0))</f>
        <v/>
      </c>
      <c r="N1456" s="21">
        <f>IF(B1456="","",J1456-K1456-L1456-M1456-I1456)</f>
        <v/>
      </c>
    </row>
    <row r="1457">
      <c r="B1457" s="11" t="n"/>
      <c r="C1457" s="8" t="n"/>
      <c r="D1457" s="8" t="n"/>
      <c r="E1457" s="8" t="n"/>
      <c r="F1457" s="20" t="n"/>
      <c r="G1457" s="20" t="n"/>
      <c r="H1457" s="8" t="n"/>
      <c r="I1457" s="20" t="n"/>
      <c r="J1457" s="21">
        <f>IF(B1457="","",F1457+G1457)</f>
        <v/>
      </c>
      <c r="K1457" s="21">
        <f>IF(B1457="","",J1457*(Settings!$C$11+Settings!$C$12+Settings!$C$14)+IF(C1457="",Settings!$C$13,IF(COUNTIF($C$5:C1457,C1457)=1,Settings!$C$13,0))+E1457*Settings!$C$15+IF(H1457="Yes",J1457*Settings!$C$16,0))</f>
        <v/>
      </c>
      <c r="L1457" s="21">
        <f>IF(B1457="","",IF(Settings!$C$5="Yes",0,K1457*Settings!$C$17))</f>
        <v/>
      </c>
      <c r="M1457" s="21">
        <f>IF(B1457="","",E1457*IFERROR(VLOOKUP(D1457,Products!$B$5:$F$204,5,FALSE),0))</f>
        <v/>
      </c>
      <c r="N1457" s="21">
        <f>IF(B1457="","",J1457-K1457-L1457-M1457-I1457)</f>
        <v/>
      </c>
    </row>
    <row r="1458">
      <c r="B1458" s="11" t="n"/>
      <c r="C1458" s="8" t="n"/>
      <c r="D1458" s="8" t="n"/>
      <c r="E1458" s="8" t="n"/>
      <c r="F1458" s="20" t="n"/>
      <c r="G1458" s="20" t="n"/>
      <c r="H1458" s="8" t="n"/>
      <c r="I1458" s="20" t="n"/>
      <c r="J1458" s="21">
        <f>IF(B1458="","",F1458+G1458)</f>
        <v/>
      </c>
      <c r="K1458" s="21">
        <f>IF(B1458="","",J1458*(Settings!$C$11+Settings!$C$12+Settings!$C$14)+IF(C1458="",Settings!$C$13,IF(COUNTIF($C$5:C1458,C1458)=1,Settings!$C$13,0))+E1458*Settings!$C$15+IF(H1458="Yes",J1458*Settings!$C$16,0))</f>
        <v/>
      </c>
      <c r="L1458" s="21">
        <f>IF(B1458="","",IF(Settings!$C$5="Yes",0,K1458*Settings!$C$17))</f>
        <v/>
      </c>
      <c r="M1458" s="21">
        <f>IF(B1458="","",E1458*IFERROR(VLOOKUP(D1458,Products!$B$5:$F$204,5,FALSE),0))</f>
        <v/>
      </c>
      <c r="N1458" s="21">
        <f>IF(B1458="","",J1458-K1458-L1458-M1458-I1458)</f>
        <v/>
      </c>
    </row>
    <row r="1459">
      <c r="B1459" s="11" t="n"/>
      <c r="C1459" s="8" t="n"/>
      <c r="D1459" s="8" t="n"/>
      <c r="E1459" s="8" t="n"/>
      <c r="F1459" s="20" t="n"/>
      <c r="G1459" s="20" t="n"/>
      <c r="H1459" s="8" t="n"/>
      <c r="I1459" s="20" t="n"/>
      <c r="J1459" s="21">
        <f>IF(B1459="","",F1459+G1459)</f>
        <v/>
      </c>
      <c r="K1459" s="21">
        <f>IF(B1459="","",J1459*(Settings!$C$11+Settings!$C$12+Settings!$C$14)+IF(C1459="",Settings!$C$13,IF(COUNTIF($C$5:C1459,C1459)=1,Settings!$C$13,0))+E1459*Settings!$C$15+IF(H1459="Yes",J1459*Settings!$C$16,0))</f>
        <v/>
      </c>
      <c r="L1459" s="21">
        <f>IF(B1459="","",IF(Settings!$C$5="Yes",0,K1459*Settings!$C$17))</f>
        <v/>
      </c>
      <c r="M1459" s="21">
        <f>IF(B1459="","",E1459*IFERROR(VLOOKUP(D1459,Products!$B$5:$F$204,5,FALSE),0))</f>
        <v/>
      </c>
      <c r="N1459" s="21">
        <f>IF(B1459="","",J1459-K1459-L1459-M1459-I1459)</f>
        <v/>
      </c>
    </row>
    <row r="1460">
      <c r="B1460" s="11" t="n"/>
      <c r="C1460" s="8" t="n"/>
      <c r="D1460" s="8" t="n"/>
      <c r="E1460" s="8" t="n"/>
      <c r="F1460" s="20" t="n"/>
      <c r="G1460" s="20" t="n"/>
      <c r="H1460" s="8" t="n"/>
      <c r="I1460" s="20" t="n"/>
      <c r="J1460" s="21">
        <f>IF(B1460="","",F1460+G1460)</f>
        <v/>
      </c>
      <c r="K1460" s="21">
        <f>IF(B1460="","",J1460*(Settings!$C$11+Settings!$C$12+Settings!$C$14)+IF(C1460="",Settings!$C$13,IF(COUNTIF($C$5:C1460,C1460)=1,Settings!$C$13,0))+E1460*Settings!$C$15+IF(H1460="Yes",J1460*Settings!$C$16,0))</f>
        <v/>
      </c>
      <c r="L1460" s="21">
        <f>IF(B1460="","",IF(Settings!$C$5="Yes",0,K1460*Settings!$C$17))</f>
        <v/>
      </c>
      <c r="M1460" s="21">
        <f>IF(B1460="","",E1460*IFERROR(VLOOKUP(D1460,Products!$B$5:$F$204,5,FALSE),0))</f>
        <v/>
      </c>
      <c r="N1460" s="21">
        <f>IF(B1460="","",J1460-K1460-L1460-M1460-I1460)</f>
        <v/>
      </c>
    </row>
    <row r="1461">
      <c r="B1461" s="11" t="n"/>
      <c r="C1461" s="8" t="n"/>
      <c r="D1461" s="8" t="n"/>
      <c r="E1461" s="8" t="n"/>
      <c r="F1461" s="20" t="n"/>
      <c r="G1461" s="20" t="n"/>
      <c r="H1461" s="8" t="n"/>
      <c r="I1461" s="20" t="n"/>
      <c r="J1461" s="21">
        <f>IF(B1461="","",F1461+G1461)</f>
        <v/>
      </c>
      <c r="K1461" s="21">
        <f>IF(B1461="","",J1461*(Settings!$C$11+Settings!$C$12+Settings!$C$14)+IF(C1461="",Settings!$C$13,IF(COUNTIF($C$5:C1461,C1461)=1,Settings!$C$13,0))+E1461*Settings!$C$15+IF(H1461="Yes",J1461*Settings!$C$16,0))</f>
        <v/>
      </c>
      <c r="L1461" s="21">
        <f>IF(B1461="","",IF(Settings!$C$5="Yes",0,K1461*Settings!$C$17))</f>
        <v/>
      </c>
      <c r="M1461" s="21">
        <f>IF(B1461="","",E1461*IFERROR(VLOOKUP(D1461,Products!$B$5:$F$204,5,FALSE),0))</f>
        <v/>
      </c>
      <c r="N1461" s="21">
        <f>IF(B1461="","",J1461-K1461-L1461-M1461-I1461)</f>
        <v/>
      </c>
    </row>
    <row r="1462">
      <c r="B1462" s="11" t="n"/>
      <c r="C1462" s="8" t="n"/>
      <c r="D1462" s="8" t="n"/>
      <c r="E1462" s="8" t="n"/>
      <c r="F1462" s="20" t="n"/>
      <c r="G1462" s="20" t="n"/>
      <c r="H1462" s="8" t="n"/>
      <c r="I1462" s="20" t="n"/>
      <c r="J1462" s="21">
        <f>IF(B1462="","",F1462+G1462)</f>
        <v/>
      </c>
      <c r="K1462" s="21">
        <f>IF(B1462="","",J1462*(Settings!$C$11+Settings!$C$12+Settings!$C$14)+IF(C1462="",Settings!$C$13,IF(COUNTIF($C$5:C1462,C1462)=1,Settings!$C$13,0))+E1462*Settings!$C$15+IF(H1462="Yes",J1462*Settings!$C$16,0))</f>
        <v/>
      </c>
      <c r="L1462" s="21">
        <f>IF(B1462="","",IF(Settings!$C$5="Yes",0,K1462*Settings!$C$17))</f>
        <v/>
      </c>
      <c r="M1462" s="21">
        <f>IF(B1462="","",E1462*IFERROR(VLOOKUP(D1462,Products!$B$5:$F$204,5,FALSE),0))</f>
        <v/>
      </c>
      <c r="N1462" s="21">
        <f>IF(B1462="","",J1462-K1462-L1462-M1462-I1462)</f>
        <v/>
      </c>
    </row>
    <row r="1463">
      <c r="B1463" s="11" t="n"/>
      <c r="C1463" s="8" t="n"/>
      <c r="D1463" s="8" t="n"/>
      <c r="E1463" s="8" t="n"/>
      <c r="F1463" s="20" t="n"/>
      <c r="G1463" s="20" t="n"/>
      <c r="H1463" s="8" t="n"/>
      <c r="I1463" s="20" t="n"/>
      <c r="J1463" s="21">
        <f>IF(B1463="","",F1463+G1463)</f>
        <v/>
      </c>
      <c r="K1463" s="21">
        <f>IF(B1463="","",J1463*(Settings!$C$11+Settings!$C$12+Settings!$C$14)+IF(C1463="",Settings!$C$13,IF(COUNTIF($C$5:C1463,C1463)=1,Settings!$C$13,0))+E1463*Settings!$C$15+IF(H1463="Yes",J1463*Settings!$C$16,0))</f>
        <v/>
      </c>
      <c r="L1463" s="21">
        <f>IF(B1463="","",IF(Settings!$C$5="Yes",0,K1463*Settings!$C$17))</f>
        <v/>
      </c>
      <c r="M1463" s="21">
        <f>IF(B1463="","",E1463*IFERROR(VLOOKUP(D1463,Products!$B$5:$F$204,5,FALSE),0))</f>
        <v/>
      </c>
      <c r="N1463" s="21">
        <f>IF(B1463="","",J1463-K1463-L1463-M1463-I1463)</f>
        <v/>
      </c>
    </row>
    <row r="1464">
      <c r="B1464" s="11" t="n"/>
      <c r="C1464" s="8" t="n"/>
      <c r="D1464" s="8" t="n"/>
      <c r="E1464" s="8" t="n"/>
      <c r="F1464" s="20" t="n"/>
      <c r="G1464" s="20" t="n"/>
      <c r="H1464" s="8" t="n"/>
      <c r="I1464" s="20" t="n"/>
      <c r="J1464" s="21">
        <f>IF(B1464="","",F1464+G1464)</f>
        <v/>
      </c>
      <c r="K1464" s="21">
        <f>IF(B1464="","",J1464*(Settings!$C$11+Settings!$C$12+Settings!$C$14)+IF(C1464="",Settings!$C$13,IF(COUNTIF($C$5:C1464,C1464)=1,Settings!$C$13,0))+E1464*Settings!$C$15+IF(H1464="Yes",J1464*Settings!$C$16,0))</f>
        <v/>
      </c>
      <c r="L1464" s="21">
        <f>IF(B1464="","",IF(Settings!$C$5="Yes",0,K1464*Settings!$C$17))</f>
        <v/>
      </c>
      <c r="M1464" s="21">
        <f>IF(B1464="","",E1464*IFERROR(VLOOKUP(D1464,Products!$B$5:$F$204,5,FALSE),0))</f>
        <v/>
      </c>
      <c r="N1464" s="21">
        <f>IF(B1464="","",J1464-K1464-L1464-M1464-I1464)</f>
        <v/>
      </c>
    </row>
    <row r="1465">
      <c r="B1465" s="11" t="n"/>
      <c r="C1465" s="8" t="n"/>
      <c r="D1465" s="8" t="n"/>
      <c r="E1465" s="8" t="n"/>
      <c r="F1465" s="20" t="n"/>
      <c r="G1465" s="20" t="n"/>
      <c r="H1465" s="8" t="n"/>
      <c r="I1465" s="20" t="n"/>
      <c r="J1465" s="21">
        <f>IF(B1465="","",F1465+G1465)</f>
        <v/>
      </c>
      <c r="K1465" s="21">
        <f>IF(B1465="","",J1465*(Settings!$C$11+Settings!$C$12+Settings!$C$14)+IF(C1465="",Settings!$C$13,IF(COUNTIF($C$5:C1465,C1465)=1,Settings!$C$13,0))+E1465*Settings!$C$15+IF(H1465="Yes",J1465*Settings!$C$16,0))</f>
        <v/>
      </c>
      <c r="L1465" s="21">
        <f>IF(B1465="","",IF(Settings!$C$5="Yes",0,K1465*Settings!$C$17))</f>
        <v/>
      </c>
      <c r="M1465" s="21">
        <f>IF(B1465="","",E1465*IFERROR(VLOOKUP(D1465,Products!$B$5:$F$204,5,FALSE),0))</f>
        <v/>
      </c>
      <c r="N1465" s="21">
        <f>IF(B1465="","",J1465-K1465-L1465-M1465-I1465)</f>
        <v/>
      </c>
    </row>
    <row r="1466">
      <c r="B1466" s="11" t="n"/>
      <c r="C1466" s="8" t="n"/>
      <c r="D1466" s="8" t="n"/>
      <c r="E1466" s="8" t="n"/>
      <c r="F1466" s="20" t="n"/>
      <c r="G1466" s="20" t="n"/>
      <c r="H1466" s="8" t="n"/>
      <c r="I1466" s="20" t="n"/>
      <c r="J1466" s="21">
        <f>IF(B1466="","",F1466+G1466)</f>
        <v/>
      </c>
      <c r="K1466" s="21">
        <f>IF(B1466="","",J1466*(Settings!$C$11+Settings!$C$12+Settings!$C$14)+IF(C1466="",Settings!$C$13,IF(COUNTIF($C$5:C1466,C1466)=1,Settings!$C$13,0))+E1466*Settings!$C$15+IF(H1466="Yes",J1466*Settings!$C$16,0))</f>
        <v/>
      </c>
      <c r="L1466" s="21">
        <f>IF(B1466="","",IF(Settings!$C$5="Yes",0,K1466*Settings!$C$17))</f>
        <v/>
      </c>
      <c r="M1466" s="21">
        <f>IF(B1466="","",E1466*IFERROR(VLOOKUP(D1466,Products!$B$5:$F$204,5,FALSE),0))</f>
        <v/>
      </c>
      <c r="N1466" s="21">
        <f>IF(B1466="","",J1466-K1466-L1466-M1466-I1466)</f>
        <v/>
      </c>
    </row>
    <row r="1467">
      <c r="B1467" s="11" t="n"/>
      <c r="C1467" s="8" t="n"/>
      <c r="D1467" s="8" t="n"/>
      <c r="E1467" s="8" t="n"/>
      <c r="F1467" s="20" t="n"/>
      <c r="G1467" s="20" t="n"/>
      <c r="H1467" s="8" t="n"/>
      <c r="I1467" s="20" t="n"/>
      <c r="J1467" s="21">
        <f>IF(B1467="","",F1467+G1467)</f>
        <v/>
      </c>
      <c r="K1467" s="21">
        <f>IF(B1467="","",J1467*(Settings!$C$11+Settings!$C$12+Settings!$C$14)+IF(C1467="",Settings!$C$13,IF(COUNTIF($C$5:C1467,C1467)=1,Settings!$C$13,0))+E1467*Settings!$C$15+IF(H1467="Yes",J1467*Settings!$C$16,0))</f>
        <v/>
      </c>
      <c r="L1467" s="21">
        <f>IF(B1467="","",IF(Settings!$C$5="Yes",0,K1467*Settings!$C$17))</f>
        <v/>
      </c>
      <c r="M1467" s="21">
        <f>IF(B1467="","",E1467*IFERROR(VLOOKUP(D1467,Products!$B$5:$F$204,5,FALSE),0))</f>
        <v/>
      </c>
      <c r="N1467" s="21">
        <f>IF(B1467="","",J1467-K1467-L1467-M1467-I1467)</f>
        <v/>
      </c>
    </row>
    <row r="1468">
      <c r="B1468" s="11" t="n"/>
      <c r="C1468" s="8" t="n"/>
      <c r="D1468" s="8" t="n"/>
      <c r="E1468" s="8" t="n"/>
      <c r="F1468" s="20" t="n"/>
      <c r="G1468" s="20" t="n"/>
      <c r="H1468" s="8" t="n"/>
      <c r="I1468" s="20" t="n"/>
      <c r="J1468" s="21">
        <f>IF(B1468="","",F1468+G1468)</f>
        <v/>
      </c>
      <c r="K1468" s="21">
        <f>IF(B1468="","",J1468*(Settings!$C$11+Settings!$C$12+Settings!$C$14)+IF(C1468="",Settings!$C$13,IF(COUNTIF($C$5:C1468,C1468)=1,Settings!$C$13,0))+E1468*Settings!$C$15+IF(H1468="Yes",J1468*Settings!$C$16,0))</f>
        <v/>
      </c>
      <c r="L1468" s="21">
        <f>IF(B1468="","",IF(Settings!$C$5="Yes",0,K1468*Settings!$C$17))</f>
        <v/>
      </c>
      <c r="M1468" s="21">
        <f>IF(B1468="","",E1468*IFERROR(VLOOKUP(D1468,Products!$B$5:$F$204,5,FALSE),0))</f>
        <v/>
      </c>
      <c r="N1468" s="21">
        <f>IF(B1468="","",J1468-K1468-L1468-M1468-I1468)</f>
        <v/>
      </c>
    </row>
    <row r="1469">
      <c r="B1469" s="11" t="n"/>
      <c r="C1469" s="8" t="n"/>
      <c r="D1469" s="8" t="n"/>
      <c r="E1469" s="8" t="n"/>
      <c r="F1469" s="20" t="n"/>
      <c r="G1469" s="20" t="n"/>
      <c r="H1469" s="8" t="n"/>
      <c r="I1469" s="20" t="n"/>
      <c r="J1469" s="21">
        <f>IF(B1469="","",F1469+G1469)</f>
        <v/>
      </c>
      <c r="K1469" s="21">
        <f>IF(B1469="","",J1469*(Settings!$C$11+Settings!$C$12+Settings!$C$14)+IF(C1469="",Settings!$C$13,IF(COUNTIF($C$5:C1469,C1469)=1,Settings!$C$13,0))+E1469*Settings!$C$15+IF(H1469="Yes",J1469*Settings!$C$16,0))</f>
        <v/>
      </c>
      <c r="L1469" s="21">
        <f>IF(B1469="","",IF(Settings!$C$5="Yes",0,K1469*Settings!$C$17))</f>
        <v/>
      </c>
      <c r="M1469" s="21">
        <f>IF(B1469="","",E1469*IFERROR(VLOOKUP(D1469,Products!$B$5:$F$204,5,FALSE),0))</f>
        <v/>
      </c>
      <c r="N1469" s="21">
        <f>IF(B1469="","",J1469-K1469-L1469-M1469-I1469)</f>
        <v/>
      </c>
    </row>
    <row r="1470">
      <c r="B1470" s="11" t="n"/>
      <c r="C1470" s="8" t="n"/>
      <c r="D1470" s="8" t="n"/>
      <c r="E1470" s="8" t="n"/>
      <c r="F1470" s="20" t="n"/>
      <c r="G1470" s="20" t="n"/>
      <c r="H1470" s="8" t="n"/>
      <c r="I1470" s="20" t="n"/>
      <c r="J1470" s="21">
        <f>IF(B1470="","",F1470+G1470)</f>
        <v/>
      </c>
      <c r="K1470" s="21">
        <f>IF(B1470="","",J1470*(Settings!$C$11+Settings!$C$12+Settings!$C$14)+IF(C1470="",Settings!$C$13,IF(COUNTIF($C$5:C1470,C1470)=1,Settings!$C$13,0))+E1470*Settings!$C$15+IF(H1470="Yes",J1470*Settings!$C$16,0))</f>
        <v/>
      </c>
      <c r="L1470" s="21">
        <f>IF(B1470="","",IF(Settings!$C$5="Yes",0,K1470*Settings!$C$17))</f>
        <v/>
      </c>
      <c r="M1470" s="21">
        <f>IF(B1470="","",E1470*IFERROR(VLOOKUP(D1470,Products!$B$5:$F$204,5,FALSE),0))</f>
        <v/>
      </c>
      <c r="N1470" s="21">
        <f>IF(B1470="","",J1470-K1470-L1470-M1470-I1470)</f>
        <v/>
      </c>
    </row>
    <row r="1471">
      <c r="B1471" s="11" t="n"/>
      <c r="C1471" s="8" t="n"/>
      <c r="D1471" s="8" t="n"/>
      <c r="E1471" s="8" t="n"/>
      <c r="F1471" s="20" t="n"/>
      <c r="G1471" s="20" t="n"/>
      <c r="H1471" s="8" t="n"/>
      <c r="I1471" s="20" t="n"/>
      <c r="J1471" s="21">
        <f>IF(B1471="","",F1471+G1471)</f>
        <v/>
      </c>
      <c r="K1471" s="21">
        <f>IF(B1471="","",J1471*(Settings!$C$11+Settings!$C$12+Settings!$C$14)+IF(C1471="",Settings!$C$13,IF(COUNTIF($C$5:C1471,C1471)=1,Settings!$C$13,0))+E1471*Settings!$C$15+IF(H1471="Yes",J1471*Settings!$C$16,0))</f>
        <v/>
      </c>
      <c r="L1471" s="21">
        <f>IF(B1471="","",IF(Settings!$C$5="Yes",0,K1471*Settings!$C$17))</f>
        <v/>
      </c>
      <c r="M1471" s="21">
        <f>IF(B1471="","",E1471*IFERROR(VLOOKUP(D1471,Products!$B$5:$F$204,5,FALSE),0))</f>
        <v/>
      </c>
      <c r="N1471" s="21">
        <f>IF(B1471="","",J1471-K1471-L1471-M1471-I1471)</f>
        <v/>
      </c>
    </row>
    <row r="1472">
      <c r="B1472" s="11" t="n"/>
      <c r="C1472" s="8" t="n"/>
      <c r="D1472" s="8" t="n"/>
      <c r="E1472" s="8" t="n"/>
      <c r="F1472" s="20" t="n"/>
      <c r="G1472" s="20" t="n"/>
      <c r="H1472" s="8" t="n"/>
      <c r="I1472" s="20" t="n"/>
      <c r="J1472" s="21">
        <f>IF(B1472="","",F1472+G1472)</f>
        <v/>
      </c>
      <c r="K1472" s="21">
        <f>IF(B1472="","",J1472*(Settings!$C$11+Settings!$C$12+Settings!$C$14)+IF(C1472="",Settings!$C$13,IF(COUNTIF($C$5:C1472,C1472)=1,Settings!$C$13,0))+E1472*Settings!$C$15+IF(H1472="Yes",J1472*Settings!$C$16,0))</f>
        <v/>
      </c>
      <c r="L1472" s="21">
        <f>IF(B1472="","",IF(Settings!$C$5="Yes",0,K1472*Settings!$C$17))</f>
        <v/>
      </c>
      <c r="M1472" s="21">
        <f>IF(B1472="","",E1472*IFERROR(VLOOKUP(D1472,Products!$B$5:$F$204,5,FALSE),0))</f>
        <v/>
      </c>
      <c r="N1472" s="21">
        <f>IF(B1472="","",J1472-K1472-L1472-M1472-I1472)</f>
        <v/>
      </c>
    </row>
    <row r="1473">
      <c r="B1473" s="11" t="n"/>
      <c r="C1473" s="8" t="n"/>
      <c r="D1473" s="8" t="n"/>
      <c r="E1473" s="8" t="n"/>
      <c r="F1473" s="20" t="n"/>
      <c r="G1473" s="20" t="n"/>
      <c r="H1473" s="8" t="n"/>
      <c r="I1473" s="20" t="n"/>
      <c r="J1473" s="21">
        <f>IF(B1473="","",F1473+G1473)</f>
        <v/>
      </c>
      <c r="K1473" s="21">
        <f>IF(B1473="","",J1473*(Settings!$C$11+Settings!$C$12+Settings!$C$14)+IF(C1473="",Settings!$C$13,IF(COUNTIF($C$5:C1473,C1473)=1,Settings!$C$13,0))+E1473*Settings!$C$15+IF(H1473="Yes",J1473*Settings!$C$16,0))</f>
        <v/>
      </c>
      <c r="L1473" s="21">
        <f>IF(B1473="","",IF(Settings!$C$5="Yes",0,K1473*Settings!$C$17))</f>
        <v/>
      </c>
      <c r="M1473" s="21">
        <f>IF(B1473="","",E1473*IFERROR(VLOOKUP(D1473,Products!$B$5:$F$204,5,FALSE),0))</f>
        <v/>
      </c>
      <c r="N1473" s="21">
        <f>IF(B1473="","",J1473-K1473-L1473-M1473-I1473)</f>
        <v/>
      </c>
    </row>
    <row r="1474">
      <c r="B1474" s="11" t="n"/>
      <c r="C1474" s="8" t="n"/>
      <c r="D1474" s="8" t="n"/>
      <c r="E1474" s="8" t="n"/>
      <c r="F1474" s="20" t="n"/>
      <c r="G1474" s="20" t="n"/>
      <c r="H1474" s="8" t="n"/>
      <c r="I1474" s="20" t="n"/>
      <c r="J1474" s="21">
        <f>IF(B1474="","",F1474+G1474)</f>
        <v/>
      </c>
      <c r="K1474" s="21">
        <f>IF(B1474="","",J1474*(Settings!$C$11+Settings!$C$12+Settings!$C$14)+IF(C1474="",Settings!$C$13,IF(COUNTIF($C$5:C1474,C1474)=1,Settings!$C$13,0))+E1474*Settings!$C$15+IF(H1474="Yes",J1474*Settings!$C$16,0))</f>
        <v/>
      </c>
      <c r="L1474" s="21">
        <f>IF(B1474="","",IF(Settings!$C$5="Yes",0,K1474*Settings!$C$17))</f>
        <v/>
      </c>
      <c r="M1474" s="21">
        <f>IF(B1474="","",E1474*IFERROR(VLOOKUP(D1474,Products!$B$5:$F$204,5,FALSE),0))</f>
        <v/>
      </c>
      <c r="N1474" s="21">
        <f>IF(B1474="","",J1474-K1474-L1474-M1474-I1474)</f>
        <v/>
      </c>
    </row>
    <row r="1475">
      <c r="B1475" s="11" t="n"/>
      <c r="C1475" s="8" t="n"/>
      <c r="D1475" s="8" t="n"/>
      <c r="E1475" s="8" t="n"/>
      <c r="F1475" s="20" t="n"/>
      <c r="G1475" s="20" t="n"/>
      <c r="H1475" s="8" t="n"/>
      <c r="I1475" s="20" t="n"/>
      <c r="J1475" s="21">
        <f>IF(B1475="","",F1475+G1475)</f>
        <v/>
      </c>
      <c r="K1475" s="21">
        <f>IF(B1475="","",J1475*(Settings!$C$11+Settings!$C$12+Settings!$C$14)+IF(C1475="",Settings!$C$13,IF(COUNTIF($C$5:C1475,C1475)=1,Settings!$C$13,0))+E1475*Settings!$C$15+IF(H1475="Yes",J1475*Settings!$C$16,0))</f>
        <v/>
      </c>
      <c r="L1475" s="21">
        <f>IF(B1475="","",IF(Settings!$C$5="Yes",0,K1475*Settings!$C$17))</f>
        <v/>
      </c>
      <c r="M1475" s="21">
        <f>IF(B1475="","",E1475*IFERROR(VLOOKUP(D1475,Products!$B$5:$F$204,5,FALSE),0))</f>
        <v/>
      </c>
      <c r="N1475" s="21">
        <f>IF(B1475="","",J1475-K1475-L1475-M1475-I1475)</f>
        <v/>
      </c>
    </row>
    <row r="1476">
      <c r="B1476" s="11" t="n"/>
      <c r="C1476" s="8" t="n"/>
      <c r="D1476" s="8" t="n"/>
      <c r="E1476" s="8" t="n"/>
      <c r="F1476" s="20" t="n"/>
      <c r="G1476" s="20" t="n"/>
      <c r="H1476" s="8" t="n"/>
      <c r="I1476" s="20" t="n"/>
      <c r="J1476" s="21">
        <f>IF(B1476="","",F1476+G1476)</f>
        <v/>
      </c>
      <c r="K1476" s="21">
        <f>IF(B1476="","",J1476*(Settings!$C$11+Settings!$C$12+Settings!$C$14)+IF(C1476="",Settings!$C$13,IF(COUNTIF($C$5:C1476,C1476)=1,Settings!$C$13,0))+E1476*Settings!$C$15+IF(H1476="Yes",J1476*Settings!$C$16,0))</f>
        <v/>
      </c>
      <c r="L1476" s="21">
        <f>IF(B1476="","",IF(Settings!$C$5="Yes",0,K1476*Settings!$C$17))</f>
        <v/>
      </c>
      <c r="M1476" s="21">
        <f>IF(B1476="","",E1476*IFERROR(VLOOKUP(D1476,Products!$B$5:$F$204,5,FALSE),0))</f>
        <v/>
      </c>
      <c r="N1476" s="21">
        <f>IF(B1476="","",J1476-K1476-L1476-M1476-I1476)</f>
        <v/>
      </c>
    </row>
    <row r="1477">
      <c r="B1477" s="11" t="n"/>
      <c r="C1477" s="8" t="n"/>
      <c r="D1477" s="8" t="n"/>
      <c r="E1477" s="8" t="n"/>
      <c r="F1477" s="20" t="n"/>
      <c r="G1477" s="20" t="n"/>
      <c r="H1477" s="8" t="n"/>
      <c r="I1477" s="20" t="n"/>
      <c r="J1477" s="21">
        <f>IF(B1477="","",F1477+G1477)</f>
        <v/>
      </c>
      <c r="K1477" s="21">
        <f>IF(B1477="","",J1477*(Settings!$C$11+Settings!$C$12+Settings!$C$14)+IF(C1477="",Settings!$C$13,IF(COUNTIF($C$5:C1477,C1477)=1,Settings!$C$13,0))+E1477*Settings!$C$15+IF(H1477="Yes",J1477*Settings!$C$16,0))</f>
        <v/>
      </c>
      <c r="L1477" s="21">
        <f>IF(B1477="","",IF(Settings!$C$5="Yes",0,K1477*Settings!$C$17))</f>
        <v/>
      </c>
      <c r="M1477" s="21">
        <f>IF(B1477="","",E1477*IFERROR(VLOOKUP(D1477,Products!$B$5:$F$204,5,FALSE),0))</f>
        <v/>
      </c>
      <c r="N1477" s="21">
        <f>IF(B1477="","",J1477-K1477-L1477-M1477-I1477)</f>
        <v/>
      </c>
    </row>
    <row r="1478">
      <c r="B1478" s="11" t="n"/>
      <c r="C1478" s="8" t="n"/>
      <c r="D1478" s="8" t="n"/>
      <c r="E1478" s="8" t="n"/>
      <c r="F1478" s="20" t="n"/>
      <c r="G1478" s="20" t="n"/>
      <c r="H1478" s="8" t="n"/>
      <c r="I1478" s="20" t="n"/>
      <c r="J1478" s="21">
        <f>IF(B1478="","",F1478+G1478)</f>
        <v/>
      </c>
      <c r="K1478" s="21">
        <f>IF(B1478="","",J1478*(Settings!$C$11+Settings!$C$12+Settings!$C$14)+IF(C1478="",Settings!$C$13,IF(COUNTIF($C$5:C1478,C1478)=1,Settings!$C$13,0))+E1478*Settings!$C$15+IF(H1478="Yes",J1478*Settings!$C$16,0))</f>
        <v/>
      </c>
      <c r="L1478" s="21">
        <f>IF(B1478="","",IF(Settings!$C$5="Yes",0,K1478*Settings!$C$17))</f>
        <v/>
      </c>
      <c r="M1478" s="21">
        <f>IF(B1478="","",E1478*IFERROR(VLOOKUP(D1478,Products!$B$5:$F$204,5,FALSE),0))</f>
        <v/>
      </c>
      <c r="N1478" s="21">
        <f>IF(B1478="","",J1478-K1478-L1478-M1478-I1478)</f>
        <v/>
      </c>
    </row>
    <row r="1479">
      <c r="B1479" s="11" t="n"/>
      <c r="C1479" s="8" t="n"/>
      <c r="D1479" s="8" t="n"/>
      <c r="E1479" s="8" t="n"/>
      <c r="F1479" s="20" t="n"/>
      <c r="G1479" s="20" t="n"/>
      <c r="H1479" s="8" t="n"/>
      <c r="I1479" s="20" t="n"/>
      <c r="J1479" s="21">
        <f>IF(B1479="","",F1479+G1479)</f>
        <v/>
      </c>
      <c r="K1479" s="21">
        <f>IF(B1479="","",J1479*(Settings!$C$11+Settings!$C$12+Settings!$C$14)+IF(C1479="",Settings!$C$13,IF(COUNTIF($C$5:C1479,C1479)=1,Settings!$C$13,0))+E1479*Settings!$C$15+IF(H1479="Yes",J1479*Settings!$C$16,0))</f>
        <v/>
      </c>
      <c r="L1479" s="21">
        <f>IF(B1479="","",IF(Settings!$C$5="Yes",0,K1479*Settings!$C$17))</f>
        <v/>
      </c>
      <c r="M1479" s="21">
        <f>IF(B1479="","",E1479*IFERROR(VLOOKUP(D1479,Products!$B$5:$F$204,5,FALSE),0))</f>
        <v/>
      </c>
      <c r="N1479" s="21">
        <f>IF(B1479="","",J1479-K1479-L1479-M1479-I1479)</f>
        <v/>
      </c>
    </row>
    <row r="1480">
      <c r="B1480" s="11" t="n"/>
      <c r="C1480" s="8" t="n"/>
      <c r="D1480" s="8" t="n"/>
      <c r="E1480" s="8" t="n"/>
      <c r="F1480" s="20" t="n"/>
      <c r="G1480" s="20" t="n"/>
      <c r="H1480" s="8" t="n"/>
      <c r="I1480" s="20" t="n"/>
      <c r="J1480" s="21">
        <f>IF(B1480="","",F1480+G1480)</f>
        <v/>
      </c>
      <c r="K1480" s="21">
        <f>IF(B1480="","",J1480*(Settings!$C$11+Settings!$C$12+Settings!$C$14)+IF(C1480="",Settings!$C$13,IF(COUNTIF($C$5:C1480,C1480)=1,Settings!$C$13,0))+E1480*Settings!$C$15+IF(H1480="Yes",J1480*Settings!$C$16,0))</f>
        <v/>
      </c>
      <c r="L1480" s="21">
        <f>IF(B1480="","",IF(Settings!$C$5="Yes",0,K1480*Settings!$C$17))</f>
        <v/>
      </c>
      <c r="M1480" s="21">
        <f>IF(B1480="","",E1480*IFERROR(VLOOKUP(D1480,Products!$B$5:$F$204,5,FALSE),0))</f>
        <v/>
      </c>
      <c r="N1480" s="21">
        <f>IF(B1480="","",J1480-K1480-L1480-M1480-I1480)</f>
        <v/>
      </c>
    </row>
    <row r="1481">
      <c r="B1481" s="11" t="n"/>
      <c r="C1481" s="8" t="n"/>
      <c r="D1481" s="8" t="n"/>
      <c r="E1481" s="8" t="n"/>
      <c r="F1481" s="20" t="n"/>
      <c r="G1481" s="20" t="n"/>
      <c r="H1481" s="8" t="n"/>
      <c r="I1481" s="20" t="n"/>
      <c r="J1481" s="21">
        <f>IF(B1481="","",F1481+G1481)</f>
        <v/>
      </c>
      <c r="K1481" s="21">
        <f>IF(B1481="","",J1481*(Settings!$C$11+Settings!$C$12+Settings!$C$14)+IF(C1481="",Settings!$C$13,IF(COUNTIF($C$5:C1481,C1481)=1,Settings!$C$13,0))+E1481*Settings!$C$15+IF(H1481="Yes",J1481*Settings!$C$16,0))</f>
        <v/>
      </c>
      <c r="L1481" s="21">
        <f>IF(B1481="","",IF(Settings!$C$5="Yes",0,K1481*Settings!$C$17))</f>
        <v/>
      </c>
      <c r="M1481" s="21">
        <f>IF(B1481="","",E1481*IFERROR(VLOOKUP(D1481,Products!$B$5:$F$204,5,FALSE),0))</f>
        <v/>
      </c>
      <c r="N1481" s="21">
        <f>IF(B1481="","",J1481-K1481-L1481-M1481-I1481)</f>
        <v/>
      </c>
    </row>
    <row r="1482">
      <c r="B1482" s="11" t="n"/>
      <c r="C1482" s="8" t="n"/>
      <c r="D1482" s="8" t="n"/>
      <c r="E1482" s="8" t="n"/>
      <c r="F1482" s="20" t="n"/>
      <c r="G1482" s="20" t="n"/>
      <c r="H1482" s="8" t="n"/>
      <c r="I1482" s="20" t="n"/>
      <c r="J1482" s="21">
        <f>IF(B1482="","",F1482+G1482)</f>
        <v/>
      </c>
      <c r="K1482" s="21">
        <f>IF(B1482="","",J1482*(Settings!$C$11+Settings!$C$12+Settings!$C$14)+IF(C1482="",Settings!$C$13,IF(COUNTIF($C$5:C1482,C1482)=1,Settings!$C$13,0))+E1482*Settings!$C$15+IF(H1482="Yes",J1482*Settings!$C$16,0))</f>
        <v/>
      </c>
      <c r="L1482" s="21">
        <f>IF(B1482="","",IF(Settings!$C$5="Yes",0,K1482*Settings!$C$17))</f>
        <v/>
      </c>
      <c r="M1482" s="21">
        <f>IF(B1482="","",E1482*IFERROR(VLOOKUP(D1482,Products!$B$5:$F$204,5,FALSE),0))</f>
        <v/>
      </c>
      <c r="N1482" s="21">
        <f>IF(B1482="","",J1482-K1482-L1482-M1482-I1482)</f>
        <v/>
      </c>
    </row>
    <row r="1483">
      <c r="B1483" s="11" t="n"/>
      <c r="C1483" s="8" t="n"/>
      <c r="D1483" s="8" t="n"/>
      <c r="E1483" s="8" t="n"/>
      <c r="F1483" s="20" t="n"/>
      <c r="G1483" s="20" t="n"/>
      <c r="H1483" s="8" t="n"/>
      <c r="I1483" s="20" t="n"/>
      <c r="J1483" s="21">
        <f>IF(B1483="","",F1483+G1483)</f>
        <v/>
      </c>
      <c r="K1483" s="21">
        <f>IF(B1483="","",J1483*(Settings!$C$11+Settings!$C$12+Settings!$C$14)+IF(C1483="",Settings!$C$13,IF(COUNTIF($C$5:C1483,C1483)=1,Settings!$C$13,0))+E1483*Settings!$C$15+IF(H1483="Yes",J1483*Settings!$C$16,0))</f>
        <v/>
      </c>
      <c r="L1483" s="21">
        <f>IF(B1483="","",IF(Settings!$C$5="Yes",0,K1483*Settings!$C$17))</f>
        <v/>
      </c>
      <c r="M1483" s="21">
        <f>IF(B1483="","",E1483*IFERROR(VLOOKUP(D1483,Products!$B$5:$F$204,5,FALSE),0))</f>
        <v/>
      </c>
      <c r="N1483" s="21">
        <f>IF(B1483="","",J1483-K1483-L1483-M1483-I1483)</f>
        <v/>
      </c>
    </row>
    <row r="1484">
      <c r="B1484" s="11" t="n"/>
      <c r="C1484" s="8" t="n"/>
      <c r="D1484" s="8" t="n"/>
      <c r="E1484" s="8" t="n"/>
      <c r="F1484" s="20" t="n"/>
      <c r="G1484" s="20" t="n"/>
      <c r="H1484" s="8" t="n"/>
      <c r="I1484" s="20" t="n"/>
      <c r="J1484" s="21">
        <f>IF(B1484="","",F1484+G1484)</f>
        <v/>
      </c>
      <c r="K1484" s="21">
        <f>IF(B1484="","",J1484*(Settings!$C$11+Settings!$C$12+Settings!$C$14)+IF(C1484="",Settings!$C$13,IF(COUNTIF($C$5:C1484,C1484)=1,Settings!$C$13,0))+E1484*Settings!$C$15+IF(H1484="Yes",J1484*Settings!$C$16,0))</f>
        <v/>
      </c>
      <c r="L1484" s="21">
        <f>IF(B1484="","",IF(Settings!$C$5="Yes",0,K1484*Settings!$C$17))</f>
        <v/>
      </c>
      <c r="M1484" s="21">
        <f>IF(B1484="","",E1484*IFERROR(VLOOKUP(D1484,Products!$B$5:$F$204,5,FALSE),0))</f>
        <v/>
      </c>
      <c r="N1484" s="21">
        <f>IF(B1484="","",J1484-K1484-L1484-M1484-I1484)</f>
        <v/>
      </c>
    </row>
    <row r="1485">
      <c r="B1485" s="11" t="n"/>
      <c r="C1485" s="8" t="n"/>
      <c r="D1485" s="8" t="n"/>
      <c r="E1485" s="8" t="n"/>
      <c r="F1485" s="20" t="n"/>
      <c r="G1485" s="20" t="n"/>
      <c r="H1485" s="8" t="n"/>
      <c r="I1485" s="20" t="n"/>
      <c r="J1485" s="21">
        <f>IF(B1485="","",F1485+G1485)</f>
        <v/>
      </c>
      <c r="K1485" s="21">
        <f>IF(B1485="","",J1485*(Settings!$C$11+Settings!$C$12+Settings!$C$14)+IF(C1485="",Settings!$C$13,IF(COUNTIF($C$5:C1485,C1485)=1,Settings!$C$13,0))+E1485*Settings!$C$15+IF(H1485="Yes",J1485*Settings!$C$16,0))</f>
        <v/>
      </c>
      <c r="L1485" s="21">
        <f>IF(B1485="","",IF(Settings!$C$5="Yes",0,K1485*Settings!$C$17))</f>
        <v/>
      </c>
      <c r="M1485" s="21">
        <f>IF(B1485="","",E1485*IFERROR(VLOOKUP(D1485,Products!$B$5:$F$204,5,FALSE),0))</f>
        <v/>
      </c>
      <c r="N1485" s="21">
        <f>IF(B1485="","",J1485-K1485-L1485-M1485-I1485)</f>
        <v/>
      </c>
    </row>
    <row r="1486">
      <c r="B1486" s="11" t="n"/>
      <c r="C1486" s="8" t="n"/>
      <c r="D1486" s="8" t="n"/>
      <c r="E1486" s="8" t="n"/>
      <c r="F1486" s="20" t="n"/>
      <c r="G1486" s="20" t="n"/>
      <c r="H1486" s="8" t="n"/>
      <c r="I1486" s="20" t="n"/>
      <c r="J1486" s="21">
        <f>IF(B1486="","",F1486+G1486)</f>
        <v/>
      </c>
      <c r="K1486" s="21">
        <f>IF(B1486="","",J1486*(Settings!$C$11+Settings!$C$12+Settings!$C$14)+IF(C1486="",Settings!$C$13,IF(COUNTIF($C$5:C1486,C1486)=1,Settings!$C$13,0))+E1486*Settings!$C$15+IF(H1486="Yes",J1486*Settings!$C$16,0))</f>
        <v/>
      </c>
      <c r="L1486" s="21">
        <f>IF(B1486="","",IF(Settings!$C$5="Yes",0,K1486*Settings!$C$17))</f>
        <v/>
      </c>
      <c r="M1486" s="21">
        <f>IF(B1486="","",E1486*IFERROR(VLOOKUP(D1486,Products!$B$5:$F$204,5,FALSE),0))</f>
        <v/>
      </c>
      <c r="N1486" s="21">
        <f>IF(B1486="","",J1486-K1486-L1486-M1486-I1486)</f>
        <v/>
      </c>
    </row>
    <row r="1487">
      <c r="B1487" s="11" t="n"/>
      <c r="C1487" s="8" t="n"/>
      <c r="D1487" s="8" t="n"/>
      <c r="E1487" s="8" t="n"/>
      <c r="F1487" s="20" t="n"/>
      <c r="G1487" s="20" t="n"/>
      <c r="H1487" s="8" t="n"/>
      <c r="I1487" s="20" t="n"/>
      <c r="J1487" s="21">
        <f>IF(B1487="","",F1487+G1487)</f>
        <v/>
      </c>
      <c r="K1487" s="21">
        <f>IF(B1487="","",J1487*(Settings!$C$11+Settings!$C$12+Settings!$C$14)+IF(C1487="",Settings!$C$13,IF(COUNTIF($C$5:C1487,C1487)=1,Settings!$C$13,0))+E1487*Settings!$C$15+IF(H1487="Yes",J1487*Settings!$C$16,0))</f>
        <v/>
      </c>
      <c r="L1487" s="21">
        <f>IF(B1487="","",IF(Settings!$C$5="Yes",0,K1487*Settings!$C$17))</f>
        <v/>
      </c>
      <c r="M1487" s="21">
        <f>IF(B1487="","",E1487*IFERROR(VLOOKUP(D1487,Products!$B$5:$F$204,5,FALSE),0))</f>
        <v/>
      </c>
      <c r="N1487" s="21">
        <f>IF(B1487="","",J1487-K1487-L1487-M1487-I1487)</f>
        <v/>
      </c>
    </row>
    <row r="1488">
      <c r="B1488" s="11" t="n"/>
      <c r="C1488" s="8" t="n"/>
      <c r="D1488" s="8" t="n"/>
      <c r="E1488" s="8" t="n"/>
      <c r="F1488" s="20" t="n"/>
      <c r="G1488" s="20" t="n"/>
      <c r="H1488" s="8" t="n"/>
      <c r="I1488" s="20" t="n"/>
      <c r="J1488" s="21">
        <f>IF(B1488="","",F1488+G1488)</f>
        <v/>
      </c>
      <c r="K1488" s="21">
        <f>IF(B1488="","",J1488*(Settings!$C$11+Settings!$C$12+Settings!$C$14)+IF(C1488="",Settings!$C$13,IF(COUNTIF($C$5:C1488,C1488)=1,Settings!$C$13,0))+E1488*Settings!$C$15+IF(H1488="Yes",J1488*Settings!$C$16,0))</f>
        <v/>
      </c>
      <c r="L1488" s="21">
        <f>IF(B1488="","",IF(Settings!$C$5="Yes",0,K1488*Settings!$C$17))</f>
        <v/>
      </c>
      <c r="M1488" s="21">
        <f>IF(B1488="","",E1488*IFERROR(VLOOKUP(D1488,Products!$B$5:$F$204,5,FALSE),0))</f>
        <v/>
      </c>
      <c r="N1488" s="21">
        <f>IF(B1488="","",J1488-K1488-L1488-M1488-I1488)</f>
        <v/>
      </c>
    </row>
    <row r="1489">
      <c r="B1489" s="11" t="n"/>
      <c r="C1489" s="8" t="n"/>
      <c r="D1489" s="8" t="n"/>
      <c r="E1489" s="8" t="n"/>
      <c r="F1489" s="20" t="n"/>
      <c r="G1489" s="20" t="n"/>
      <c r="H1489" s="8" t="n"/>
      <c r="I1489" s="20" t="n"/>
      <c r="J1489" s="21">
        <f>IF(B1489="","",F1489+G1489)</f>
        <v/>
      </c>
      <c r="K1489" s="21">
        <f>IF(B1489="","",J1489*(Settings!$C$11+Settings!$C$12+Settings!$C$14)+IF(C1489="",Settings!$C$13,IF(COUNTIF($C$5:C1489,C1489)=1,Settings!$C$13,0))+E1489*Settings!$C$15+IF(H1489="Yes",J1489*Settings!$C$16,0))</f>
        <v/>
      </c>
      <c r="L1489" s="21">
        <f>IF(B1489="","",IF(Settings!$C$5="Yes",0,K1489*Settings!$C$17))</f>
        <v/>
      </c>
      <c r="M1489" s="21">
        <f>IF(B1489="","",E1489*IFERROR(VLOOKUP(D1489,Products!$B$5:$F$204,5,FALSE),0))</f>
        <v/>
      </c>
      <c r="N1489" s="21">
        <f>IF(B1489="","",J1489-K1489-L1489-M1489-I1489)</f>
        <v/>
      </c>
    </row>
    <row r="1490">
      <c r="B1490" s="11" t="n"/>
      <c r="C1490" s="8" t="n"/>
      <c r="D1490" s="8" t="n"/>
      <c r="E1490" s="8" t="n"/>
      <c r="F1490" s="20" t="n"/>
      <c r="G1490" s="20" t="n"/>
      <c r="H1490" s="8" t="n"/>
      <c r="I1490" s="20" t="n"/>
      <c r="J1490" s="21">
        <f>IF(B1490="","",F1490+G1490)</f>
        <v/>
      </c>
      <c r="K1490" s="21">
        <f>IF(B1490="","",J1490*(Settings!$C$11+Settings!$C$12+Settings!$C$14)+IF(C1490="",Settings!$C$13,IF(COUNTIF($C$5:C1490,C1490)=1,Settings!$C$13,0))+E1490*Settings!$C$15+IF(H1490="Yes",J1490*Settings!$C$16,0))</f>
        <v/>
      </c>
      <c r="L1490" s="21">
        <f>IF(B1490="","",IF(Settings!$C$5="Yes",0,K1490*Settings!$C$17))</f>
        <v/>
      </c>
      <c r="M1490" s="21">
        <f>IF(B1490="","",E1490*IFERROR(VLOOKUP(D1490,Products!$B$5:$F$204,5,FALSE),0))</f>
        <v/>
      </c>
      <c r="N1490" s="21">
        <f>IF(B1490="","",J1490-K1490-L1490-M1490-I1490)</f>
        <v/>
      </c>
    </row>
    <row r="1491">
      <c r="B1491" s="11" t="n"/>
      <c r="C1491" s="8" t="n"/>
      <c r="D1491" s="8" t="n"/>
      <c r="E1491" s="8" t="n"/>
      <c r="F1491" s="20" t="n"/>
      <c r="G1491" s="20" t="n"/>
      <c r="H1491" s="8" t="n"/>
      <c r="I1491" s="20" t="n"/>
      <c r="J1491" s="21">
        <f>IF(B1491="","",F1491+G1491)</f>
        <v/>
      </c>
      <c r="K1491" s="21">
        <f>IF(B1491="","",J1491*(Settings!$C$11+Settings!$C$12+Settings!$C$14)+IF(C1491="",Settings!$C$13,IF(COUNTIF($C$5:C1491,C1491)=1,Settings!$C$13,0))+E1491*Settings!$C$15+IF(H1491="Yes",J1491*Settings!$C$16,0))</f>
        <v/>
      </c>
      <c r="L1491" s="21">
        <f>IF(B1491="","",IF(Settings!$C$5="Yes",0,K1491*Settings!$C$17))</f>
        <v/>
      </c>
      <c r="M1491" s="21">
        <f>IF(B1491="","",E1491*IFERROR(VLOOKUP(D1491,Products!$B$5:$F$204,5,FALSE),0))</f>
        <v/>
      </c>
      <c r="N1491" s="21">
        <f>IF(B1491="","",J1491-K1491-L1491-M1491-I1491)</f>
        <v/>
      </c>
    </row>
    <row r="1492">
      <c r="B1492" s="11" t="n"/>
      <c r="C1492" s="8" t="n"/>
      <c r="D1492" s="8" t="n"/>
      <c r="E1492" s="8" t="n"/>
      <c r="F1492" s="20" t="n"/>
      <c r="G1492" s="20" t="n"/>
      <c r="H1492" s="8" t="n"/>
      <c r="I1492" s="20" t="n"/>
      <c r="J1492" s="21">
        <f>IF(B1492="","",F1492+G1492)</f>
        <v/>
      </c>
      <c r="K1492" s="21">
        <f>IF(B1492="","",J1492*(Settings!$C$11+Settings!$C$12+Settings!$C$14)+IF(C1492="",Settings!$C$13,IF(COUNTIF($C$5:C1492,C1492)=1,Settings!$C$13,0))+E1492*Settings!$C$15+IF(H1492="Yes",J1492*Settings!$C$16,0))</f>
        <v/>
      </c>
      <c r="L1492" s="21">
        <f>IF(B1492="","",IF(Settings!$C$5="Yes",0,K1492*Settings!$C$17))</f>
        <v/>
      </c>
      <c r="M1492" s="21">
        <f>IF(B1492="","",E1492*IFERROR(VLOOKUP(D1492,Products!$B$5:$F$204,5,FALSE),0))</f>
        <v/>
      </c>
      <c r="N1492" s="21">
        <f>IF(B1492="","",J1492-K1492-L1492-M1492-I1492)</f>
        <v/>
      </c>
    </row>
    <row r="1493">
      <c r="B1493" s="11" t="n"/>
      <c r="C1493" s="8" t="n"/>
      <c r="D1493" s="8" t="n"/>
      <c r="E1493" s="8" t="n"/>
      <c r="F1493" s="20" t="n"/>
      <c r="G1493" s="20" t="n"/>
      <c r="H1493" s="8" t="n"/>
      <c r="I1493" s="20" t="n"/>
      <c r="J1493" s="21">
        <f>IF(B1493="","",F1493+G1493)</f>
        <v/>
      </c>
      <c r="K1493" s="21">
        <f>IF(B1493="","",J1493*(Settings!$C$11+Settings!$C$12+Settings!$C$14)+IF(C1493="",Settings!$C$13,IF(COUNTIF($C$5:C1493,C1493)=1,Settings!$C$13,0))+E1493*Settings!$C$15+IF(H1493="Yes",J1493*Settings!$C$16,0))</f>
        <v/>
      </c>
      <c r="L1493" s="21">
        <f>IF(B1493="","",IF(Settings!$C$5="Yes",0,K1493*Settings!$C$17))</f>
        <v/>
      </c>
      <c r="M1493" s="21">
        <f>IF(B1493="","",E1493*IFERROR(VLOOKUP(D1493,Products!$B$5:$F$204,5,FALSE),0))</f>
        <v/>
      </c>
      <c r="N1493" s="21">
        <f>IF(B1493="","",J1493-K1493-L1493-M1493-I1493)</f>
        <v/>
      </c>
    </row>
    <row r="1494">
      <c r="B1494" s="11" t="n"/>
      <c r="C1494" s="8" t="n"/>
      <c r="D1494" s="8" t="n"/>
      <c r="E1494" s="8" t="n"/>
      <c r="F1494" s="20" t="n"/>
      <c r="G1494" s="20" t="n"/>
      <c r="H1494" s="8" t="n"/>
      <c r="I1494" s="20" t="n"/>
      <c r="J1494" s="21">
        <f>IF(B1494="","",F1494+G1494)</f>
        <v/>
      </c>
      <c r="K1494" s="21">
        <f>IF(B1494="","",J1494*(Settings!$C$11+Settings!$C$12+Settings!$C$14)+IF(C1494="",Settings!$C$13,IF(COUNTIF($C$5:C1494,C1494)=1,Settings!$C$13,0))+E1494*Settings!$C$15+IF(H1494="Yes",J1494*Settings!$C$16,0))</f>
        <v/>
      </c>
      <c r="L1494" s="21">
        <f>IF(B1494="","",IF(Settings!$C$5="Yes",0,K1494*Settings!$C$17))</f>
        <v/>
      </c>
      <c r="M1494" s="21">
        <f>IF(B1494="","",E1494*IFERROR(VLOOKUP(D1494,Products!$B$5:$F$204,5,FALSE),0))</f>
        <v/>
      </c>
      <c r="N1494" s="21">
        <f>IF(B1494="","",J1494-K1494-L1494-M1494-I1494)</f>
        <v/>
      </c>
    </row>
    <row r="1495">
      <c r="B1495" s="11" t="n"/>
      <c r="C1495" s="8" t="n"/>
      <c r="D1495" s="8" t="n"/>
      <c r="E1495" s="8" t="n"/>
      <c r="F1495" s="20" t="n"/>
      <c r="G1495" s="20" t="n"/>
      <c r="H1495" s="8" t="n"/>
      <c r="I1495" s="20" t="n"/>
      <c r="J1495" s="21">
        <f>IF(B1495="","",F1495+G1495)</f>
        <v/>
      </c>
      <c r="K1495" s="21">
        <f>IF(B1495="","",J1495*(Settings!$C$11+Settings!$C$12+Settings!$C$14)+IF(C1495="",Settings!$C$13,IF(COUNTIF($C$5:C1495,C1495)=1,Settings!$C$13,0))+E1495*Settings!$C$15+IF(H1495="Yes",J1495*Settings!$C$16,0))</f>
        <v/>
      </c>
      <c r="L1495" s="21">
        <f>IF(B1495="","",IF(Settings!$C$5="Yes",0,K1495*Settings!$C$17))</f>
        <v/>
      </c>
      <c r="M1495" s="21">
        <f>IF(B1495="","",E1495*IFERROR(VLOOKUP(D1495,Products!$B$5:$F$204,5,FALSE),0))</f>
        <v/>
      </c>
      <c r="N1495" s="21">
        <f>IF(B1495="","",J1495-K1495-L1495-M1495-I1495)</f>
        <v/>
      </c>
    </row>
    <row r="1496">
      <c r="B1496" s="11" t="n"/>
      <c r="C1496" s="8" t="n"/>
      <c r="D1496" s="8" t="n"/>
      <c r="E1496" s="8" t="n"/>
      <c r="F1496" s="20" t="n"/>
      <c r="G1496" s="20" t="n"/>
      <c r="H1496" s="8" t="n"/>
      <c r="I1496" s="20" t="n"/>
      <c r="J1496" s="21">
        <f>IF(B1496="","",F1496+G1496)</f>
        <v/>
      </c>
      <c r="K1496" s="21">
        <f>IF(B1496="","",J1496*(Settings!$C$11+Settings!$C$12+Settings!$C$14)+IF(C1496="",Settings!$C$13,IF(COUNTIF($C$5:C1496,C1496)=1,Settings!$C$13,0))+E1496*Settings!$C$15+IF(H1496="Yes",J1496*Settings!$C$16,0))</f>
        <v/>
      </c>
      <c r="L1496" s="21">
        <f>IF(B1496="","",IF(Settings!$C$5="Yes",0,K1496*Settings!$C$17))</f>
        <v/>
      </c>
      <c r="M1496" s="21">
        <f>IF(B1496="","",E1496*IFERROR(VLOOKUP(D1496,Products!$B$5:$F$204,5,FALSE),0))</f>
        <v/>
      </c>
      <c r="N1496" s="21">
        <f>IF(B1496="","",J1496-K1496-L1496-M1496-I1496)</f>
        <v/>
      </c>
    </row>
    <row r="1497">
      <c r="B1497" s="11" t="n"/>
      <c r="C1497" s="8" t="n"/>
      <c r="D1497" s="8" t="n"/>
      <c r="E1497" s="8" t="n"/>
      <c r="F1497" s="20" t="n"/>
      <c r="G1497" s="20" t="n"/>
      <c r="H1497" s="8" t="n"/>
      <c r="I1497" s="20" t="n"/>
      <c r="J1497" s="21">
        <f>IF(B1497="","",F1497+G1497)</f>
        <v/>
      </c>
      <c r="K1497" s="21">
        <f>IF(B1497="","",J1497*(Settings!$C$11+Settings!$C$12+Settings!$C$14)+IF(C1497="",Settings!$C$13,IF(COUNTIF($C$5:C1497,C1497)=1,Settings!$C$13,0))+E1497*Settings!$C$15+IF(H1497="Yes",J1497*Settings!$C$16,0))</f>
        <v/>
      </c>
      <c r="L1497" s="21">
        <f>IF(B1497="","",IF(Settings!$C$5="Yes",0,K1497*Settings!$C$17))</f>
        <v/>
      </c>
      <c r="M1497" s="21">
        <f>IF(B1497="","",E1497*IFERROR(VLOOKUP(D1497,Products!$B$5:$F$204,5,FALSE),0))</f>
        <v/>
      </c>
      <c r="N1497" s="21">
        <f>IF(B1497="","",J1497-K1497-L1497-M1497-I1497)</f>
        <v/>
      </c>
    </row>
    <row r="1498">
      <c r="B1498" s="11" t="n"/>
      <c r="C1498" s="8" t="n"/>
      <c r="D1498" s="8" t="n"/>
      <c r="E1498" s="8" t="n"/>
      <c r="F1498" s="20" t="n"/>
      <c r="G1498" s="20" t="n"/>
      <c r="H1498" s="8" t="n"/>
      <c r="I1498" s="20" t="n"/>
      <c r="J1498" s="21">
        <f>IF(B1498="","",F1498+G1498)</f>
        <v/>
      </c>
      <c r="K1498" s="21">
        <f>IF(B1498="","",J1498*(Settings!$C$11+Settings!$C$12+Settings!$C$14)+IF(C1498="",Settings!$C$13,IF(COUNTIF($C$5:C1498,C1498)=1,Settings!$C$13,0))+E1498*Settings!$C$15+IF(H1498="Yes",J1498*Settings!$C$16,0))</f>
        <v/>
      </c>
      <c r="L1498" s="21">
        <f>IF(B1498="","",IF(Settings!$C$5="Yes",0,K1498*Settings!$C$17))</f>
        <v/>
      </c>
      <c r="M1498" s="21">
        <f>IF(B1498="","",E1498*IFERROR(VLOOKUP(D1498,Products!$B$5:$F$204,5,FALSE),0))</f>
        <v/>
      </c>
      <c r="N1498" s="21">
        <f>IF(B1498="","",J1498-K1498-L1498-M1498-I1498)</f>
        <v/>
      </c>
    </row>
    <row r="1499">
      <c r="B1499" s="11" t="n"/>
      <c r="C1499" s="8" t="n"/>
      <c r="D1499" s="8" t="n"/>
      <c r="E1499" s="8" t="n"/>
      <c r="F1499" s="20" t="n"/>
      <c r="G1499" s="20" t="n"/>
      <c r="H1499" s="8" t="n"/>
      <c r="I1499" s="20" t="n"/>
      <c r="J1499" s="21">
        <f>IF(B1499="","",F1499+G1499)</f>
        <v/>
      </c>
      <c r="K1499" s="21">
        <f>IF(B1499="","",J1499*(Settings!$C$11+Settings!$C$12+Settings!$C$14)+IF(C1499="",Settings!$C$13,IF(COUNTIF($C$5:C1499,C1499)=1,Settings!$C$13,0))+E1499*Settings!$C$15+IF(H1499="Yes",J1499*Settings!$C$16,0))</f>
        <v/>
      </c>
      <c r="L1499" s="21">
        <f>IF(B1499="","",IF(Settings!$C$5="Yes",0,K1499*Settings!$C$17))</f>
        <v/>
      </c>
      <c r="M1499" s="21">
        <f>IF(B1499="","",E1499*IFERROR(VLOOKUP(D1499,Products!$B$5:$F$204,5,FALSE),0))</f>
        <v/>
      </c>
      <c r="N1499" s="21">
        <f>IF(B1499="","",J1499-K1499-L1499-M1499-I1499)</f>
        <v/>
      </c>
    </row>
    <row r="1500">
      <c r="B1500" s="11" t="n"/>
      <c r="C1500" s="8" t="n"/>
      <c r="D1500" s="8" t="n"/>
      <c r="E1500" s="8" t="n"/>
      <c r="F1500" s="20" t="n"/>
      <c r="G1500" s="20" t="n"/>
      <c r="H1500" s="8" t="n"/>
      <c r="I1500" s="20" t="n"/>
      <c r="J1500" s="21">
        <f>IF(B1500="","",F1500+G1500)</f>
        <v/>
      </c>
      <c r="K1500" s="21">
        <f>IF(B1500="","",J1500*(Settings!$C$11+Settings!$C$12+Settings!$C$14)+IF(C1500="",Settings!$C$13,IF(COUNTIF($C$5:C1500,C1500)=1,Settings!$C$13,0))+E1500*Settings!$C$15+IF(H1500="Yes",J1500*Settings!$C$16,0))</f>
        <v/>
      </c>
      <c r="L1500" s="21">
        <f>IF(B1500="","",IF(Settings!$C$5="Yes",0,K1500*Settings!$C$17))</f>
        <v/>
      </c>
      <c r="M1500" s="21">
        <f>IF(B1500="","",E1500*IFERROR(VLOOKUP(D1500,Products!$B$5:$F$204,5,FALSE),0))</f>
        <v/>
      </c>
      <c r="N1500" s="21">
        <f>IF(B1500="","",J1500-K1500-L1500-M1500-I1500)</f>
        <v/>
      </c>
    </row>
    <row r="1501">
      <c r="B1501" s="11" t="n"/>
      <c r="C1501" s="8" t="n"/>
      <c r="D1501" s="8" t="n"/>
      <c r="E1501" s="8" t="n"/>
      <c r="F1501" s="20" t="n"/>
      <c r="G1501" s="20" t="n"/>
      <c r="H1501" s="8" t="n"/>
      <c r="I1501" s="20" t="n"/>
      <c r="J1501" s="21">
        <f>IF(B1501="","",F1501+G1501)</f>
        <v/>
      </c>
      <c r="K1501" s="21">
        <f>IF(B1501="","",J1501*(Settings!$C$11+Settings!$C$12+Settings!$C$14)+IF(C1501="",Settings!$C$13,IF(COUNTIF($C$5:C1501,C1501)=1,Settings!$C$13,0))+E1501*Settings!$C$15+IF(H1501="Yes",J1501*Settings!$C$16,0))</f>
        <v/>
      </c>
      <c r="L1501" s="21">
        <f>IF(B1501="","",IF(Settings!$C$5="Yes",0,K1501*Settings!$C$17))</f>
        <v/>
      </c>
      <c r="M1501" s="21">
        <f>IF(B1501="","",E1501*IFERROR(VLOOKUP(D1501,Products!$B$5:$F$204,5,FALSE),0))</f>
        <v/>
      </c>
      <c r="N1501" s="21">
        <f>IF(B1501="","",J1501-K1501-L1501-M1501-I1501)</f>
        <v/>
      </c>
    </row>
    <row r="1502">
      <c r="B1502" s="11" t="n"/>
      <c r="C1502" s="8" t="n"/>
      <c r="D1502" s="8" t="n"/>
      <c r="E1502" s="8" t="n"/>
      <c r="F1502" s="20" t="n"/>
      <c r="G1502" s="20" t="n"/>
      <c r="H1502" s="8" t="n"/>
      <c r="I1502" s="20" t="n"/>
      <c r="J1502" s="21">
        <f>IF(B1502="","",F1502+G1502)</f>
        <v/>
      </c>
      <c r="K1502" s="21">
        <f>IF(B1502="","",J1502*(Settings!$C$11+Settings!$C$12+Settings!$C$14)+IF(C1502="",Settings!$C$13,IF(COUNTIF($C$5:C1502,C1502)=1,Settings!$C$13,0))+E1502*Settings!$C$15+IF(H1502="Yes",J1502*Settings!$C$16,0))</f>
        <v/>
      </c>
      <c r="L1502" s="21">
        <f>IF(B1502="","",IF(Settings!$C$5="Yes",0,K1502*Settings!$C$17))</f>
        <v/>
      </c>
      <c r="M1502" s="21">
        <f>IF(B1502="","",E1502*IFERROR(VLOOKUP(D1502,Products!$B$5:$F$204,5,FALSE),0))</f>
        <v/>
      </c>
      <c r="N1502" s="21">
        <f>IF(B1502="","",J1502-K1502-L1502-M1502-I1502)</f>
        <v/>
      </c>
    </row>
    <row r="1503">
      <c r="B1503" s="11" t="n"/>
      <c r="C1503" s="8" t="n"/>
      <c r="D1503" s="8" t="n"/>
      <c r="E1503" s="8" t="n"/>
      <c r="F1503" s="20" t="n"/>
      <c r="G1503" s="20" t="n"/>
      <c r="H1503" s="8" t="n"/>
      <c r="I1503" s="20" t="n"/>
      <c r="J1503" s="21">
        <f>IF(B1503="","",F1503+G1503)</f>
        <v/>
      </c>
      <c r="K1503" s="21">
        <f>IF(B1503="","",J1503*(Settings!$C$11+Settings!$C$12+Settings!$C$14)+IF(C1503="",Settings!$C$13,IF(COUNTIF($C$5:C1503,C1503)=1,Settings!$C$13,0))+E1503*Settings!$C$15+IF(H1503="Yes",J1503*Settings!$C$16,0))</f>
        <v/>
      </c>
      <c r="L1503" s="21">
        <f>IF(B1503="","",IF(Settings!$C$5="Yes",0,K1503*Settings!$C$17))</f>
        <v/>
      </c>
      <c r="M1503" s="21">
        <f>IF(B1503="","",E1503*IFERROR(VLOOKUP(D1503,Products!$B$5:$F$204,5,FALSE),0))</f>
        <v/>
      </c>
      <c r="N1503" s="21">
        <f>IF(B1503="","",J1503-K1503-L1503-M1503-I1503)</f>
        <v/>
      </c>
    </row>
    <row r="1504">
      <c r="B1504" s="11" t="n"/>
      <c r="C1504" s="8" t="n"/>
      <c r="D1504" s="8" t="n"/>
      <c r="E1504" s="8" t="n"/>
      <c r="F1504" s="20" t="n"/>
      <c r="G1504" s="20" t="n"/>
      <c r="H1504" s="8" t="n"/>
      <c r="I1504" s="20" t="n"/>
      <c r="J1504" s="21">
        <f>IF(B1504="","",F1504+G1504)</f>
        <v/>
      </c>
      <c r="K1504" s="21">
        <f>IF(B1504="","",J1504*(Settings!$C$11+Settings!$C$12+Settings!$C$14)+IF(C1504="",Settings!$C$13,IF(COUNTIF($C$5:C1504,C1504)=1,Settings!$C$13,0))+E1504*Settings!$C$15+IF(H1504="Yes",J1504*Settings!$C$16,0))</f>
        <v/>
      </c>
      <c r="L1504" s="21">
        <f>IF(B1504="","",IF(Settings!$C$5="Yes",0,K1504*Settings!$C$17))</f>
        <v/>
      </c>
      <c r="M1504" s="21">
        <f>IF(B1504="","",E1504*IFERROR(VLOOKUP(D1504,Products!$B$5:$F$204,5,FALSE),0))</f>
        <v/>
      </c>
      <c r="N1504" s="21">
        <f>IF(B1504="","",J1504-K1504-L1504-M1504-I1504)</f>
        <v/>
      </c>
    </row>
    <row r="1505">
      <c r="B1505" s="11" t="n"/>
      <c r="C1505" s="8" t="n"/>
      <c r="D1505" s="8" t="n"/>
      <c r="E1505" s="8" t="n"/>
      <c r="F1505" s="20" t="n"/>
      <c r="G1505" s="20" t="n"/>
      <c r="H1505" s="8" t="n"/>
      <c r="I1505" s="20" t="n"/>
      <c r="J1505" s="21">
        <f>IF(B1505="","",F1505+G1505)</f>
        <v/>
      </c>
      <c r="K1505" s="21">
        <f>IF(B1505="","",J1505*(Settings!$C$11+Settings!$C$12+Settings!$C$14)+IF(C1505="",Settings!$C$13,IF(COUNTIF($C$5:C1505,C1505)=1,Settings!$C$13,0))+E1505*Settings!$C$15+IF(H1505="Yes",J1505*Settings!$C$16,0))</f>
        <v/>
      </c>
      <c r="L1505" s="21">
        <f>IF(B1505="","",IF(Settings!$C$5="Yes",0,K1505*Settings!$C$17))</f>
        <v/>
      </c>
      <c r="M1505" s="21">
        <f>IF(B1505="","",E1505*IFERROR(VLOOKUP(D1505,Products!$B$5:$F$204,5,FALSE),0))</f>
        <v/>
      </c>
      <c r="N1505" s="21">
        <f>IF(B1505="","",J1505-K1505-L1505-M1505-I1505)</f>
        <v/>
      </c>
    </row>
    <row r="1506">
      <c r="B1506" s="11" t="n"/>
      <c r="C1506" s="8" t="n"/>
      <c r="D1506" s="8" t="n"/>
      <c r="E1506" s="8" t="n"/>
      <c r="F1506" s="20" t="n"/>
      <c r="G1506" s="20" t="n"/>
      <c r="H1506" s="8" t="n"/>
      <c r="I1506" s="20" t="n"/>
      <c r="J1506" s="21">
        <f>IF(B1506="","",F1506+G1506)</f>
        <v/>
      </c>
      <c r="K1506" s="21">
        <f>IF(B1506="","",J1506*(Settings!$C$11+Settings!$C$12+Settings!$C$14)+IF(C1506="",Settings!$C$13,IF(COUNTIF($C$5:C1506,C1506)=1,Settings!$C$13,0))+E1506*Settings!$C$15+IF(H1506="Yes",J1506*Settings!$C$16,0))</f>
        <v/>
      </c>
      <c r="L1506" s="21">
        <f>IF(B1506="","",IF(Settings!$C$5="Yes",0,K1506*Settings!$C$17))</f>
        <v/>
      </c>
      <c r="M1506" s="21">
        <f>IF(B1506="","",E1506*IFERROR(VLOOKUP(D1506,Products!$B$5:$F$204,5,FALSE),0))</f>
        <v/>
      </c>
      <c r="N1506" s="21">
        <f>IF(B1506="","",J1506-K1506-L1506-M1506-I1506)</f>
        <v/>
      </c>
    </row>
    <row r="1507">
      <c r="B1507" s="11" t="n"/>
      <c r="C1507" s="8" t="n"/>
      <c r="D1507" s="8" t="n"/>
      <c r="E1507" s="8" t="n"/>
      <c r="F1507" s="20" t="n"/>
      <c r="G1507" s="20" t="n"/>
      <c r="H1507" s="8" t="n"/>
      <c r="I1507" s="20" t="n"/>
      <c r="J1507" s="21">
        <f>IF(B1507="","",F1507+G1507)</f>
        <v/>
      </c>
      <c r="K1507" s="21">
        <f>IF(B1507="","",J1507*(Settings!$C$11+Settings!$C$12+Settings!$C$14)+IF(C1507="",Settings!$C$13,IF(COUNTIF($C$5:C1507,C1507)=1,Settings!$C$13,0))+E1507*Settings!$C$15+IF(H1507="Yes",J1507*Settings!$C$16,0))</f>
        <v/>
      </c>
      <c r="L1507" s="21">
        <f>IF(B1507="","",IF(Settings!$C$5="Yes",0,K1507*Settings!$C$17))</f>
        <v/>
      </c>
      <c r="M1507" s="21">
        <f>IF(B1507="","",E1507*IFERROR(VLOOKUP(D1507,Products!$B$5:$F$204,5,FALSE),0))</f>
        <v/>
      </c>
      <c r="N1507" s="21">
        <f>IF(B1507="","",J1507-K1507-L1507-M1507-I1507)</f>
        <v/>
      </c>
    </row>
    <row r="1508">
      <c r="B1508" s="11" t="n"/>
      <c r="C1508" s="8" t="n"/>
      <c r="D1508" s="8" t="n"/>
      <c r="E1508" s="8" t="n"/>
      <c r="F1508" s="20" t="n"/>
      <c r="G1508" s="20" t="n"/>
      <c r="H1508" s="8" t="n"/>
      <c r="I1508" s="20" t="n"/>
      <c r="J1508" s="21">
        <f>IF(B1508="","",F1508+G1508)</f>
        <v/>
      </c>
      <c r="K1508" s="21">
        <f>IF(B1508="","",J1508*(Settings!$C$11+Settings!$C$12+Settings!$C$14)+IF(C1508="",Settings!$C$13,IF(COUNTIF($C$5:C1508,C1508)=1,Settings!$C$13,0))+E1508*Settings!$C$15+IF(H1508="Yes",J1508*Settings!$C$16,0))</f>
        <v/>
      </c>
      <c r="L1508" s="21">
        <f>IF(B1508="","",IF(Settings!$C$5="Yes",0,K1508*Settings!$C$17))</f>
        <v/>
      </c>
      <c r="M1508" s="21">
        <f>IF(B1508="","",E1508*IFERROR(VLOOKUP(D1508,Products!$B$5:$F$204,5,FALSE),0))</f>
        <v/>
      </c>
      <c r="N1508" s="21">
        <f>IF(B1508="","",J1508-K1508-L1508-M1508-I1508)</f>
        <v/>
      </c>
    </row>
    <row r="1509">
      <c r="B1509" s="11" t="n"/>
      <c r="C1509" s="8" t="n"/>
      <c r="D1509" s="8" t="n"/>
      <c r="E1509" s="8" t="n"/>
      <c r="F1509" s="20" t="n"/>
      <c r="G1509" s="20" t="n"/>
      <c r="H1509" s="8" t="n"/>
      <c r="I1509" s="20" t="n"/>
      <c r="J1509" s="21">
        <f>IF(B1509="","",F1509+G1509)</f>
        <v/>
      </c>
      <c r="K1509" s="21">
        <f>IF(B1509="","",J1509*(Settings!$C$11+Settings!$C$12+Settings!$C$14)+IF(C1509="",Settings!$C$13,IF(COUNTIF($C$5:C1509,C1509)=1,Settings!$C$13,0))+E1509*Settings!$C$15+IF(H1509="Yes",J1509*Settings!$C$16,0))</f>
        <v/>
      </c>
      <c r="L1509" s="21">
        <f>IF(B1509="","",IF(Settings!$C$5="Yes",0,K1509*Settings!$C$17))</f>
        <v/>
      </c>
      <c r="M1509" s="21">
        <f>IF(B1509="","",E1509*IFERROR(VLOOKUP(D1509,Products!$B$5:$F$204,5,FALSE),0))</f>
        <v/>
      </c>
      <c r="N1509" s="21">
        <f>IF(B1509="","",J1509-K1509-L1509-M1509-I1509)</f>
        <v/>
      </c>
    </row>
    <row r="1510">
      <c r="B1510" s="11" t="n"/>
      <c r="C1510" s="8" t="n"/>
      <c r="D1510" s="8" t="n"/>
      <c r="E1510" s="8" t="n"/>
      <c r="F1510" s="20" t="n"/>
      <c r="G1510" s="20" t="n"/>
      <c r="H1510" s="8" t="n"/>
      <c r="I1510" s="20" t="n"/>
      <c r="J1510" s="21">
        <f>IF(B1510="","",F1510+G1510)</f>
        <v/>
      </c>
      <c r="K1510" s="21">
        <f>IF(B1510="","",J1510*(Settings!$C$11+Settings!$C$12+Settings!$C$14)+IF(C1510="",Settings!$C$13,IF(COUNTIF($C$5:C1510,C1510)=1,Settings!$C$13,0))+E1510*Settings!$C$15+IF(H1510="Yes",J1510*Settings!$C$16,0))</f>
        <v/>
      </c>
      <c r="L1510" s="21">
        <f>IF(B1510="","",IF(Settings!$C$5="Yes",0,K1510*Settings!$C$17))</f>
        <v/>
      </c>
      <c r="M1510" s="21">
        <f>IF(B1510="","",E1510*IFERROR(VLOOKUP(D1510,Products!$B$5:$F$204,5,FALSE),0))</f>
        <v/>
      </c>
      <c r="N1510" s="21">
        <f>IF(B1510="","",J1510-K1510-L1510-M1510-I1510)</f>
        <v/>
      </c>
    </row>
    <row r="1511">
      <c r="B1511" s="11" t="n"/>
      <c r="C1511" s="8" t="n"/>
      <c r="D1511" s="8" t="n"/>
      <c r="E1511" s="8" t="n"/>
      <c r="F1511" s="20" t="n"/>
      <c r="G1511" s="20" t="n"/>
      <c r="H1511" s="8" t="n"/>
      <c r="I1511" s="20" t="n"/>
      <c r="J1511" s="21">
        <f>IF(B1511="","",F1511+G1511)</f>
        <v/>
      </c>
      <c r="K1511" s="21">
        <f>IF(B1511="","",J1511*(Settings!$C$11+Settings!$C$12+Settings!$C$14)+IF(C1511="",Settings!$C$13,IF(COUNTIF($C$5:C1511,C1511)=1,Settings!$C$13,0))+E1511*Settings!$C$15+IF(H1511="Yes",J1511*Settings!$C$16,0))</f>
        <v/>
      </c>
      <c r="L1511" s="21">
        <f>IF(B1511="","",IF(Settings!$C$5="Yes",0,K1511*Settings!$C$17))</f>
        <v/>
      </c>
      <c r="M1511" s="21">
        <f>IF(B1511="","",E1511*IFERROR(VLOOKUP(D1511,Products!$B$5:$F$204,5,FALSE),0))</f>
        <v/>
      </c>
      <c r="N1511" s="21">
        <f>IF(B1511="","",J1511-K1511-L1511-M1511-I1511)</f>
        <v/>
      </c>
    </row>
    <row r="1512">
      <c r="B1512" s="11" t="n"/>
      <c r="C1512" s="8" t="n"/>
      <c r="D1512" s="8" t="n"/>
      <c r="E1512" s="8" t="n"/>
      <c r="F1512" s="20" t="n"/>
      <c r="G1512" s="20" t="n"/>
      <c r="H1512" s="8" t="n"/>
      <c r="I1512" s="20" t="n"/>
      <c r="J1512" s="21">
        <f>IF(B1512="","",F1512+G1512)</f>
        <v/>
      </c>
      <c r="K1512" s="21">
        <f>IF(B1512="","",J1512*(Settings!$C$11+Settings!$C$12+Settings!$C$14)+IF(C1512="",Settings!$C$13,IF(COUNTIF($C$5:C1512,C1512)=1,Settings!$C$13,0))+E1512*Settings!$C$15+IF(H1512="Yes",J1512*Settings!$C$16,0))</f>
        <v/>
      </c>
      <c r="L1512" s="21">
        <f>IF(B1512="","",IF(Settings!$C$5="Yes",0,K1512*Settings!$C$17))</f>
        <v/>
      </c>
      <c r="M1512" s="21">
        <f>IF(B1512="","",E1512*IFERROR(VLOOKUP(D1512,Products!$B$5:$F$204,5,FALSE),0))</f>
        <v/>
      </c>
      <c r="N1512" s="21">
        <f>IF(B1512="","",J1512-K1512-L1512-M1512-I1512)</f>
        <v/>
      </c>
    </row>
    <row r="1513">
      <c r="B1513" s="11" t="n"/>
      <c r="C1513" s="8" t="n"/>
      <c r="D1513" s="8" t="n"/>
      <c r="E1513" s="8" t="n"/>
      <c r="F1513" s="20" t="n"/>
      <c r="G1513" s="20" t="n"/>
      <c r="H1513" s="8" t="n"/>
      <c r="I1513" s="20" t="n"/>
      <c r="J1513" s="21">
        <f>IF(B1513="","",F1513+G1513)</f>
        <v/>
      </c>
      <c r="K1513" s="21">
        <f>IF(B1513="","",J1513*(Settings!$C$11+Settings!$C$12+Settings!$C$14)+IF(C1513="",Settings!$C$13,IF(COUNTIF($C$5:C1513,C1513)=1,Settings!$C$13,0))+E1513*Settings!$C$15+IF(H1513="Yes",J1513*Settings!$C$16,0))</f>
        <v/>
      </c>
      <c r="L1513" s="21">
        <f>IF(B1513="","",IF(Settings!$C$5="Yes",0,K1513*Settings!$C$17))</f>
        <v/>
      </c>
      <c r="M1513" s="21">
        <f>IF(B1513="","",E1513*IFERROR(VLOOKUP(D1513,Products!$B$5:$F$204,5,FALSE),0))</f>
        <v/>
      </c>
      <c r="N1513" s="21">
        <f>IF(B1513="","",J1513-K1513-L1513-M1513-I1513)</f>
        <v/>
      </c>
    </row>
    <row r="1514">
      <c r="B1514" s="11" t="n"/>
      <c r="C1514" s="8" t="n"/>
      <c r="D1514" s="8" t="n"/>
      <c r="E1514" s="8" t="n"/>
      <c r="F1514" s="20" t="n"/>
      <c r="G1514" s="20" t="n"/>
      <c r="H1514" s="8" t="n"/>
      <c r="I1514" s="20" t="n"/>
      <c r="J1514" s="21">
        <f>IF(B1514="","",F1514+G1514)</f>
        <v/>
      </c>
      <c r="K1514" s="21">
        <f>IF(B1514="","",J1514*(Settings!$C$11+Settings!$C$12+Settings!$C$14)+IF(C1514="",Settings!$C$13,IF(COUNTIF($C$5:C1514,C1514)=1,Settings!$C$13,0))+E1514*Settings!$C$15+IF(H1514="Yes",J1514*Settings!$C$16,0))</f>
        <v/>
      </c>
      <c r="L1514" s="21">
        <f>IF(B1514="","",IF(Settings!$C$5="Yes",0,K1514*Settings!$C$17))</f>
        <v/>
      </c>
      <c r="M1514" s="21">
        <f>IF(B1514="","",E1514*IFERROR(VLOOKUP(D1514,Products!$B$5:$F$204,5,FALSE),0))</f>
        <v/>
      </c>
      <c r="N1514" s="21">
        <f>IF(B1514="","",J1514-K1514-L1514-M1514-I1514)</f>
        <v/>
      </c>
    </row>
    <row r="1515">
      <c r="B1515" s="11" t="n"/>
      <c r="C1515" s="8" t="n"/>
      <c r="D1515" s="8" t="n"/>
      <c r="E1515" s="8" t="n"/>
      <c r="F1515" s="20" t="n"/>
      <c r="G1515" s="20" t="n"/>
      <c r="H1515" s="8" t="n"/>
      <c r="I1515" s="20" t="n"/>
      <c r="J1515" s="21">
        <f>IF(B1515="","",F1515+G1515)</f>
        <v/>
      </c>
      <c r="K1515" s="21">
        <f>IF(B1515="","",J1515*(Settings!$C$11+Settings!$C$12+Settings!$C$14)+IF(C1515="",Settings!$C$13,IF(COUNTIF($C$5:C1515,C1515)=1,Settings!$C$13,0))+E1515*Settings!$C$15+IF(H1515="Yes",J1515*Settings!$C$16,0))</f>
        <v/>
      </c>
      <c r="L1515" s="21">
        <f>IF(B1515="","",IF(Settings!$C$5="Yes",0,K1515*Settings!$C$17))</f>
        <v/>
      </c>
      <c r="M1515" s="21">
        <f>IF(B1515="","",E1515*IFERROR(VLOOKUP(D1515,Products!$B$5:$F$204,5,FALSE),0))</f>
        <v/>
      </c>
      <c r="N1515" s="21">
        <f>IF(B1515="","",J1515-K1515-L1515-M1515-I1515)</f>
        <v/>
      </c>
    </row>
    <row r="1516">
      <c r="B1516" s="11" t="n"/>
      <c r="C1516" s="8" t="n"/>
      <c r="D1516" s="8" t="n"/>
      <c r="E1516" s="8" t="n"/>
      <c r="F1516" s="20" t="n"/>
      <c r="G1516" s="20" t="n"/>
      <c r="H1516" s="8" t="n"/>
      <c r="I1516" s="20" t="n"/>
      <c r="J1516" s="21">
        <f>IF(B1516="","",F1516+G1516)</f>
        <v/>
      </c>
      <c r="K1516" s="21">
        <f>IF(B1516="","",J1516*(Settings!$C$11+Settings!$C$12+Settings!$C$14)+IF(C1516="",Settings!$C$13,IF(COUNTIF($C$5:C1516,C1516)=1,Settings!$C$13,0))+E1516*Settings!$C$15+IF(H1516="Yes",J1516*Settings!$C$16,0))</f>
        <v/>
      </c>
      <c r="L1516" s="21">
        <f>IF(B1516="","",IF(Settings!$C$5="Yes",0,K1516*Settings!$C$17))</f>
        <v/>
      </c>
      <c r="M1516" s="21">
        <f>IF(B1516="","",E1516*IFERROR(VLOOKUP(D1516,Products!$B$5:$F$204,5,FALSE),0))</f>
        <v/>
      </c>
      <c r="N1516" s="21">
        <f>IF(B1516="","",J1516-K1516-L1516-M1516-I1516)</f>
        <v/>
      </c>
    </row>
    <row r="1517">
      <c r="B1517" s="11" t="n"/>
      <c r="C1517" s="8" t="n"/>
      <c r="D1517" s="8" t="n"/>
      <c r="E1517" s="8" t="n"/>
      <c r="F1517" s="20" t="n"/>
      <c r="G1517" s="20" t="n"/>
      <c r="H1517" s="8" t="n"/>
      <c r="I1517" s="20" t="n"/>
      <c r="J1517" s="21">
        <f>IF(B1517="","",F1517+G1517)</f>
        <v/>
      </c>
      <c r="K1517" s="21">
        <f>IF(B1517="","",J1517*(Settings!$C$11+Settings!$C$12+Settings!$C$14)+IF(C1517="",Settings!$C$13,IF(COUNTIF($C$5:C1517,C1517)=1,Settings!$C$13,0))+E1517*Settings!$C$15+IF(H1517="Yes",J1517*Settings!$C$16,0))</f>
        <v/>
      </c>
      <c r="L1517" s="21">
        <f>IF(B1517="","",IF(Settings!$C$5="Yes",0,K1517*Settings!$C$17))</f>
        <v/>
      </c>
      <c r="M1517" s="21">
        <f>IF(B1517="","",E1517*IFERROR(VLOOKUP(D1517,Products!$B$5:$F$204,5,FALSE),0))</f>
        <v/>
      </c>
      <c r="N1517" s="21">
        <f>IF(B1517="","",J1517-K1517-L1517-M1517-I1517)</f>
        <v/>
      </c>
    </row>
    <row r="1518">
      <c r="B1518" s="11" t="n"/>
      <c r="C1518" s="8" t="n"/>
      <c r="D1518" s="8" t="n"/>
      <c r="E1518" s="8" t="n"/>
      <c r="F1518" s="20" t="n"/>
      <c r="G1518" s="20" t="n"/>
      <c r="H1518" s="8" t="n"/>
      <c r="I1518" s="20" t="n"/>
      <c r="J1518" s="21">
        <f>IF(B1518="","",F1518+G1518)</f>
        <v/>
      </c>
      <c r="K1518" s="21">
        <f>IF(B1518="","",J1518*(Settings!$C$11+Settings!$C$12+Settings!$C$14)+IF(C1518="",Settings!$C$13,IF(COUNTIF($C$5:C1518,C1518)=1,Settings!$C$13,0))+E1518*Settings!$C$15+IF(H1518="Yes",J1518*Settings!$C$16,0))</f>
        <v/>
      </c>
      <c r="L1518" s="21">
        <f>IF(B1518="","",IF(Settings!$C$5="Yes",0,K1518*Settings!$C$17))</f>
        <v/>
      </c>
      <c r="M1518" s="21">
        <f>IF(B1518="","",E1518*IFERROR(VLOOKUP(D1518,Products!$B$5:$F$204,5,FALSE),0))</f>
        <v/>
      </c>
      <c r="N1518" s="21">
        <f>IF(B1518="","",J1518-K1518-L1518-M1518-I1518)</f>
        <v/>
      </c>
    </row>
    <row r="1519">
      <c r="B1519" s="11" t="n"/>
      <c r="C1519" s="8" t="n"/>
      <c r="D1519" s="8" t="n"/>
      <c r="E1519" s="8" t="n"/>
      <c r="F1519" s="20" t="n"/>
      <c r="G1519" s="20" t="n"/>
      <c r="H1519" s="8" t="n"/>
      <c r="I1519" s="20" t="n"/>
      <c r="J1519" s="21">
        <f>IF(B1519="","",F1519+G1519)</f>
        <v/>
      </c>
      <c r="K1519" s="21">
        <f>IF(B1519="","",J1519*(Settings!$C$11+Settings!$C$12+Settings!$C$14)+IF(C1519="",Settings!$C$13,IF(COUNTIF($C$5:C1519,C1519)=1,Settings!$C$13,0))+E1519*Settings!$C$15+IF(H1519="Yes",J1519*Settings!$C$16,0))</f>
        <v/>
      </c>
      <c r="L1519" s="21">
        <f>IF(B1519="","",IF(Settings!$C$5="Yes",0,K1519*Settings!$C$17))</f>
        <v/>
      </c>
      <c r="M1519" s="21">
        <f>IF(B1519="","",E1519*IFERROR(VLOOKUP(D1519,Products!$B$5:$F$204,5,FALSE),0))</f>
        <v/>
      </c>
      <c r="N1519" s="21">
        <f>IF(B1519="","",J1519-K1519-L1519-M1519-I1519)</f>
        <v/>
      </c>
    </row>
    <row r="1520">
      <c r="B1520" s="11" t="n"/>
      <c r="C1520" s="8" t="n"/>
      <c r="D1520" s="8" t="n"/>
      <c r="E1520" s="8" t="n"/>
      <c r="F1520" s="20" t="n"/>
      <c r="G1520" s="20" t="n"/>
      <c r="H1520" s="8" t="n"/>
      <c r="I1520" s="20" t="n"/>
      <c r="J1520" s="21">
        <f>IF(B1520="","",F1520+G1520)</f>
        <v/>
      </c>
      <c r="K1520" s="21">
        <f>IF(B1520="","",J1520*(Settings!$C$11+Settings!$C$12+Settings!$C$14)+IF(C1520="",Settings!$C$13,IF(COUNTIF($C$5:C1520,C1520)=1,Settings!$C$13,0))+E1520*Settings!$C$15+IF(H1520="Yes",J1520*Settings!$C$16,0))</f>
        <v/>
      </c>
      <c r="L1520" s="21">
        <f>IF(B1520="","",IF(Settings!$C$5="Yes",0,K1520*Settings!$C$17))</f>
        <v/>
      </c>
      <c r="M1520" s="21">
        <f>IF(B1520="","",E1520*IFERROR(VLOOKUP(D1520,Products!$B$5:$F$204,5,FALSE),0))</f>
        <v/>
      </c>
      <c r="N1520" s="21">
        <f>IF(B1520="","",J1520-K1520-L1520-M1520-I1520)</f>
        <v/>
      </c>
    </row>
    <row r="1521">
      <c r="B1521" s="11" t="n"/>
      <c r="C1521" s="8" t="n"/>
      <c r="D1521" s="8" t="n"/>
      <c r="E1521" s="8" t="n"/>
      <c r="F1521" s="20" t="n"/>
      <c r="G1521" s="20" t="n"/>
      <c r="H1521" s="8" t="n"/>
      <c r="I1521" s="20" t="n"/>
      <c r="J1521" s="21">
        <f>IF(B1521="","",F1521+G1521)</f>
        <v/>
      </c>
      <c r="K1521" s="21">
        <f>IF(B1521="","",J1521*(Settings!$C$11+Settings!$C$12+Settings!$C$14)+IF(C1521="",Settings!$C$13,IF(COUNTIF($C$5:C1521,C1521)=1,Settings!$C$13,0))+E1521*Settings!$C$15+IF(H1521="Yes",J1521*Settings!$C$16,0))</f>
        <v/>
      </c>
      <c r="L1521" s="21">
        <f>IF(B1521="","",IF(Settings!$C$5="Yes",0,K1521*Settings!$C$17))</f>
        <v/>
      </c>
      <c r="M1521" s="21">
        <f>IF(B1521="","",E1521*IFERROR(VLOOKUP(D1521,Products!$B$5:$F$204,5,FALSE),0))</f>
        <v/>
      </c>
      <c r="N1521" s="21">
        <f>IF(B1521="","",J1521-K1521-L1521-M1521-I1521)</f>
        <v/>
      </c>
    </row>
    <row r="1522">
      <c r="B1522" s="11" t="n"/>
      <c r="C1522" s="8" t="n"/>
      <c r="D1522" s="8" t="n"/>
      <c r="E1522" s="8" t="n"/>
      <c r="F1522" s="20" t="n"/>
      <c r="G1522" s="20" t="n"/>
      <c r="H1522" s="8" t="n"/>
      <c r="I1522" s="20" t="n"/>
      <c r="J1522" s="21">
        <f>IF(B1522="","",F1522+G1522)</f>
        <v/>
      </c>
      <c r="K1522" s="21">
        <f>IF(B1522="","",J1522*(Settings!$C$11+Settings!$C$12+Settings!$C$14)+IF(C1522="",Settings!$C$13,IF(COUNTIF($C$5:C1522,C1522)=1,Settings!$C$13,0))+E1522*Settings!$C$15+IF(H1522="Yes",J1522*Settings!$C$16,0))</f>
        <v/>
      </c>
      <c r="L1522" s="21">
        <f>IF(B1522="","",IF(Settings!$C$5="Yes",0,K1522*Settings!$C$17))</f>
        <v/>
      </c>
      <c r="M1522" s="21">
        <f>IF(B1522="","",E1522*IFERROR(VLOOKUP(D1522,Products!$B$5:$F$204,5,FALSE),0))</f>
        <v/>
      </c>
      <c r="N1522" s="21">
        <f>IF(B1522="","",J1522-K1522-L1522-M1522-I1522)</f>
        <v/>
      </c>
    </row>
    <row r="1523">
      <c r="B1523" s="11" t="n"/>
      <c r="C1523" s="8" t="n"/>
      <c r="D1523" s="8" t="n"/>
      <c r="E1523" s="8" t="n"/>
      <c r="F1523" s="20" t="n"/>
      <c r="G1523" s="20" t="n"/>
      <c r="H1523" s="8" t="n"/>
      <c r="I1523" s="20" t="n"/>
      <c r="J1523" s="21">
        <f>IF(B1523="","",F1523+G1523)</f>
        <v/>
      </c>
      <c r="K1523" s="21">
        <f>IF(B1523="","",J1523*(Settings!$C$11+Settings!$C$12+Settings!$C$14)+IF(C1523="",Settings!$C$13,IF(COUNTIF($C$5:C1523,C1523)=1,Settings!$C$13,0))+E1523*Settings!$C$15+IF(H1523="Yes",J1523*Settings!$C$16,0))</f>
        <v/>
      </c>
      <c r="L1523" s="21">
        <f>IF(B1523="","",IF(Settings!$C$5="Yes",0,K1523*Settings!$C$17))</f>
        <v/>
      </c>
      <c r="M1523" s="21">
        <f>IF(B1523="","",E1523*IFERROR(VLOOKUP(D1523,Products!$B$5:$F$204,5,FALSE),0))</f>
        <v/>
      </c>
      <c r="N1523" s="21">
        <f>IF(B1523="","",J1523-K1523-L1523-M1523-I1523)</f>
        <v/>
      </c>
    </row>
    <row r="1524">
      <c r="B1524" s="11" t="n"/>
      <c r="C1524" s="8" t="n"/>
      <c r="D1524" s="8" t="n"/>
      <c r="E1524" s="8" t="n"/>
      <c r="F1524" s="20" t="n"/>
      <c r="G1524" s="20" t="n"/>
      <c r="H1524" s="8" t="n"/>
      <c r="I1524" s="20" t="n"/>
      <c r="J1524" s="21">
        <f>IF(B1524="","",F1524+G1524)</f>
        <v/>
      </c>
      <c r="K1524" s="21">
        <f>IF(B1524="","",J1524*(Settings!$C$11+Settings!$C$12+Settings!$C$14)+IF(C1524="",Settings!$C$13,IF(COUNTIF($C$5:C1524,C1524)=1,Settings!$C$13,0))+E1524*Settings!$C$15+IF(H1524="Yes",J1524*Settings!$C$16,0))</f>
        <v/>
      </c>
      <c r="L1524" s="21">
        <f>IF(B1524="","",IF(Settings!$C$5="Yes",0,K1524*Settings!$C$17))</f>
        <v/>
      </c>
      <c r="M1524" s="21">
        <f>IF(B1524="","",E1524*IFERROR(VLOOKUP(D1524,Products!$B$5:$F$204,5,FALSE),0))</f>
        <v/>
      </c>
      <c r="N1524" s="21">
        <f>IF(B1524="","",J1524-K1524-L1524-M1524-I1524)</f>
        <v/>
      </c>
    </row>
    <row r="1525">
      <c r="B1525" s="11" t="n"/>
      <c r="C1525" s="8" t="n"/>
      <c r="D1525" s="8" t="n"/>
      <c r="E1525" s="8" t="n"/>
      <c r="F1525" s="20" t="n"/>
      <c r="G1525" s="20" t="n"/>
      <c r="H1525" s="8" t="n"/>
      <c r="I1525" s="20" t="n"/>
      <c r="J1525" s="21">
        <f>IF(B1525="","",F1525+G1525)</f>
        <v/>
      </c>
      <c r="K1525" s="21">
        <f>IF(B1525="","",J1525*(Settings!$C$11+Settings!$C$12+Settings!$C$14)+IF(C1525="",Settings!$C$13,IF(COUNTIF($C$5:C1525,C1525)=1,Settings!$C$13,0))+E1525*Settings!$C$15+IF(H1525="Yes",J1525*Settings!$C$16,0))</f>
        <v/>
      </c>
      <c r="L1525" s="21">
        <f>IF(B1525="","",IF(Settings!$C$5="Yes",0,K1525*Settings!$C$17))</f>
        <v/>
      </c>
      <c r="M1525" s="21">
        <f>IF(B1525="","",E1525*IFERROR(VLOOKUP(D1525,Products!$B$5:$F$204,5,FALSE),0))</f>
        <v/>
      </c>
      <c r="N1525" s="21">
        <f>IF(B1525="","",J1525-K1525-L1525-M1525-I1525)</f>
        <v/>
      </c>
    </row>
    <row r="1526">
      <c r="B1526" s="11" t="n"/>
      <c r="C1526" s="8" t="n"/>
      <c r="D1526" s="8" t="n"/>
      <c r="E1526" s="8" t="n"/>
      <c r="F1526" s="20" t="n"/>
      <c r="G1526" s="20" t="n"/>
      <c r="H1526" s="8" t="n"/>
      <c r="I1526" s="20" t="n"/>
      <c r="J1526" s="21">
        <f>IF(B1526="","",F1526+G1526)</f>
        <v/>
      </c>
      <c r="K1526" s="21">
        <f>IF(B1526="","",J1526*(Settings!$C$11+Settings!$C$12+Settings!$C$14)+IF(C1526="",Settings!$C$13,IF(COUNTIF($C$5:C1526,C1526)=1,Settings!$C$13,0))+E1526*Settings!$C$15+IF(H1526="Yes",J1526*Settings!$C$16,0))</f>
        <v/>
      </c>
      <c r="L1526" s="21">
        <f>IF(B1526="","",IF(Settings!$C$5="Yes",0,K1526*Settings!$C$17))</f>
        <v/>
      </c>
      <c r="M1526" s="21">
        <f>IF(B1526="","",E1526*IFERROR(VLOOKUP(D1526,Products!$B$5:$F$204,5,FALSE),0))</f>
        <v/>
      </c>
      <c r="N1526" s="21">
        <f>IF(B1526="","",J1526-K1526-L1526-M1526-I1526)</f>
        <v/>
      </c>
    </row>
    <row r="1527">
      <c r="B1527" s="11" t="n"/>
      <c r="C1527" s="8" t="n"/>
      <c r="D1527" s="8" t="n"/>
      <c r="E1527" s="8" t="n"/>
      <c r="F1527" s="20" t="n"/>
      <c r="G1527" s="20" t="n"/>
      <c r="H1527" s="8" t="n"/>
      <c r="I1527" s="20" t="n"/>
      <c r="J1527" s="21">
        <f>IF(B1527="","",F1527+G1527)</f>
        <v/>
      </c>
      <c r="K1527" s="21">
        <f>IF(B1527="","",J1527*(Settings!$C$11+Settings!$C$12+Settings!$C$14)+IF(C1527="",Settings!$C$13,IF(COUNTIF($C$5:C1527,C1527)=1,Settings!$C$13,0))+E1527*Settings!$C$15+IF(H1527="Yes",J1527*Settings!$C$16,0))</f>
        <v/>
      </c>
      <c r="L1527" s="21">
        <f>IF(B1527="","",IF(Settings!$C$5="Yes",0,K1527*Settings!$C$17))</f>
        <v/>
      </c>
      <c r="M1527" s="21">
        <f>IF(B1527="","",E1527*IFERROR(VLOOKUP(D1527,Products!$B$5:$F$204,5,FALSE),0))</f>
        <v/>
      </c>
      <c r="N1527" s="21">
        <f>IF(B1527="","",J1527-K1527-L1527-M1527-I1527)</f>
        <v/>
      </c>
    </row>
    <row r="1528">
      <c r="B1528" s="11" t="n"/>
      <c r="C1528" s="8" t="n"/>
      <c r="D1528" s="8" t="n"/>
      <c r="E1528" s="8" t="n"/>
      <c r="F1528" s="20" t="n"/>
      <c r="G1528" s="20" t="n"/>
      <c r="H1528" s="8" t="n"/>
      <c r="I1528" s="20" t="n"/>
      <c r="J1528" s="21">
        <f>IF(B1528="","",F1528+G1528)</f>
        <v/>
      </c>
      <c r="K1528" s="21">
        <f>IF(B1528="","",J1528*(Settings!$C$11+Settings!$C$12+Settings!$C$14)+IF(C1528="",Settings!$C$13,IF(COUNTIF($C$5:C1528,C1528)=1,Settings!$C$13,0))+E1528*Settings!$C$15+IF(H1528="Yes",J1528*Settings!$C$16,0))</f>
        <v/>
      </c>
      <c r="L1528" s="21">
        <f>IF(B1528="","",IF(Settings!$C$5="Yes",0,K1528*Settings!$C$17))</f>
        <v/>
      </c>
      <c r="M1528" s="21">
        <f>IF(B1528="","",E1528*IFERROR(VLOOKUP(D1528,Products!$B$5:$F$204,5,FALSE),0))</f>
        <v/>
      </c>
      <c r="N1528" s="21">
        <f>IF(B1528="","",J1528-K1528-L1528-M1528-I1528)</f>
        <v/>
      </c>
    </row>
    <row r="1529">
      <c r="B1529" s="11" t="n"/>
      <c r="C1529" s="8" t="n"/>
      <c r="D1529" s="8" t="n"/>
      <c r="E1529" s="8" t="n"/>
      <c r="F1529" s="20" t="n"/>
      <c r="G1529" s="20" t="n"/>
      <c r="H1529" s="8" t="n"/>
      <c r="I1529" s="20" t="n"/>
      <c r="J1529" s="21">
        <f>IF(B1529="","",F1529+G1529)</f>
        <v/>
      </c>
      <c r="K1529" s="21">
        <f>IF(B1529="","",J1529*(Settings!$C$11+Settings!$C$12+Settings!$C$14)+IF(C1529="",Settings!$C$13,IF(COUNTIF($C$5:C1529,C1529)=1,Settings!$C$13,0))+E1529*Settings!$C$15+IF(H1529="Yes",J1529*Settings!$C$16,0))</f>
        <v/>
      </c>
      <c r="L1529" s="21">
        <f>IF(B1529="","",IF(Settings!$C$5="Yes",0,K1529*Settings!$C$17))</f>
        <v/>
      </c>
      <c r="M1529" s="21">
        <f>IF(B1529="","",E1529*IFERROR(VLOOKUP(D1529,Products!$B$5:$F$204,5,FALSE),0))</f>
        <v/>
      </c>
      <c r="N1529" s="21">
        <f>IF(B1529="","",J1529-K1529-L1529-M1529-I1529)</f>
        <v/>
      </c>
    </row>
    <row r="1530">
      <c r="B1530" s="11" t="n"/>
      <c r="C1530" s="8" t="n"/>
      <c r="D1530" s="8" t="n"/>
      <c r="E1530" s="8" t="n"/>
      <c r="F1530" s="20" t="n"/>
      <c r="G1530" s="20" t="n"/>
      <c r="H1530" s="8" t="n"/>
      <c r="I1530" s="20" t="n"/>
      <c r="J1530" s="21">
        <f>IF(B1530="","",F1530+G1530)</f>
        <v/>
      </c>
      <c r="K1530" s="21">
        <f>IF(B1530="","",J1530*(Settings!$C$11+Settings!$C$12+Settings!$C$14)+IF(C1530="",Settings!$C$13,IF(COUNTIF($C$5:C1530,C1530)=1,Settings!$C$13,0))+E1530*Settings!$C$15+IF(H1530="Yes",J1530*Settings!$C$16,0))</f>
        <v/>
      </c>
      <c r="L1530" s="21">
        <f>IF(B1530="","",IF(Settings!$C$5="Yes",0,K1530*Settings!$C$17))</f>
        <v/>
      </c>
      <c r="M1530" s="21">
        <f>IF(B1530="","",E1530*IFERROR(VLOOKUP(D1530,Products!$B$5:$F$204,5,FALSE),0))</f>
        <v/>
      </c>
      <c r="N1530" s="21">
        <f>IF(B1530="","",J1530-K1530-L1530-M1530-I1530)</f>
        <v/>
      </c>
    </row>
    <row r="1531">
      <c r="B1531" s="11" t="n"/>
      <c r="C1531" s="8" t="n"/>
      <c r="D1531" s="8" t="n"/>
      <c r="E1531" s="8" t="n"/>
      <c r="F1531" s="20" t="n"/>
      <c r="G1531" s="20" t="n"/>
      <c r="H1531" s="8" t="n"/>
      <c r="I1531" s="20" t="n"/>
      <c r="J1531" s="21">
        <f>IF(B1531="","",F1531+G1531)</f>
        <v/>
      </c>
      <c r="K1531" s="21">
        <f>IF(B1531="","",J1531*(Settings!$C$11+Settings!$C$12+Settings!$C$14)+IF(C1531="",Settings!$C$13,IF(COUNTIF($C$5:C1531,C1531)=1,Settings!$C$13,0))+E1531*Settings!$C$15+IF(H1531="Yes",J1531*Settings!$C$16,0))</f>
        <v/>
      </c>
      <c r="L1531" s="21">
        <f>IF(B1531="","",IF(Settings!$C$5="Yes",0,K1531*Settings!$C$17))</f>
        <v/>
      </c>
      <c r="M1531" s="21">
        <f>IF(B1531="","",E1531*IFERROR(VLOOKUP(D1531,Products!$B$5:$F$204,5,FALSE),0))</f>
        <v/>
      </c>
      <c r="N1531" s="21">
        <f>IF(B1531="","",J1531-K1531-L1531-M1531-I1531)</f>
        <v/>
      </c>
    </row>
    <row r="1532">
      <c r="B1532" s="11" t="n"/>
      <c r="C1532" s="8" t="n"/>
      <c r="D1532" s="8" t="n"/>
      <c r="E1532" s="8" t="n"/>
      <c r="F1532" s="20" t="n"/>
      <c r="G1532" s="20" t="n"/>
      <c r="H1532" s="8" t="n"/>
      <c r="I1532" s="20" t="n"/>
      <c r="J1532" s="21">
        <f>IF(B1532="","",F1532+G1532)</f>
        <v/>
      </c>
      <c r="K1532" s="21">
        <f>IF(B1532="","",J1532*(Settings!$C$11+Settings!$C$12+Settings!$C$14)+IF(C1532="",Settings!$C$13,IF(COUNTIF($C$5:C1532,C1532)=1,Settings!$C$13,0))+E1532*Settings!$C$15+IF(H1532="Yes",J1532*Settings!$C$16,0))</f>
        <v/>
      </c>
      <c r="L1532" s="21">
        <f>IF(B1532="","",IF(Settings!$C$5="Yes",0,K1532*Settings!$C$17))</f>
        <v/>
      </c>
      <c r="M1532" s="21">
        <f>IF(B1532="","",E1532*IFERROR(VLOOKUP(D1532,Products!$B$5:$F$204,5,FALSE),0))</f>
        <v/>
      </c>
      <c r="N1532" s="21">
        <f>IF(B1532="","",J1532-K1532-L1532-M1532-I1532)</f>
        <v/>
      </c>
    </row>
    <row r="1533">
      <c r="B1533" s="11" t="n"/>
      <c r="C1533" s="8" t="n"/>
      <c r="D1533" s="8" t="n"/>
      <c r="E1533" s="8" t="n"/>
      <c r="F1533" s="20" t="n"/>
      <c r="G1533" s="20" t="n"/>
      <c r="H1533" s="8" t="n"/>
      <c r="I1533" s="20" t="n"/>
      <c r="J1533" s="21">
        <f>IF(B1533="","",F1533+G1533)</f>
        <v/>
      </c>
      <c r="K1533" s="21">
        <f>IF(B1533="","",J1533*(Settings!$C$11+Settings!$C$12+Settings!$C$14)+IF(C1533="",Settings!$C$13,IF(COUNTIF($C$5:C1533,C1533)=1,Settings!$C$13,0))+E1533*Settings!$C$15+IF(H1533="Yes",J1533*Settings!$C$16,0))</f>
        <v/>
      </c>
      <c r="L1533" s="21">
        <f>IF(B1533="","",IF(Settings!$C$5="Yes",0,K1533*Settings!$C$17))</f>
        <v/>
      </c>
      <c r="M1533" s="21">
        <f>IF(B1533="","",E1533*IFERROR(VLOOKUP(D1533,Products!$B$5:$F$204,5,FALSE),0))</f>
        <v/>
      </c>
      <c r="N1533" s="21">
        <f>IF(B1533="","",J1533-K1533-L1533-M1533-I1533)</f>
        <v/>
      </c>
    </row>
    <row r="1534">
      <c r="B1534" s="11" t="n"/>
      <c r="C1534" s="8" t="n"/>
      <c r="D1534" s="8" t="n"/>
      <c r="E1534" s="8" t="n"/>
      <c r="F1534" s="20" t="n"/>
      <c r="G1534" s="20" t="n"/>
      <c r="H1534" s="8" t="n"/>
      <c r="I1534" s="20" t="n"/>
      <c r="J1534" s="21">
        <f>IF(B1534="","",F1534+G1534)</f>
        <v/>
      </c>
      <c r="K1534" s="21">
        <f>IF(B1534="","",J1534*(Settings!$C$11+Settings!$C$12+Settings!$C$14)+IF(C1534="",Settings!$C$13,IF(COUNTIF($C$5:C1534,C1534)=1,Settings!$C$13,0))+E1534*Settings!$C$15+IF(H1534="Yes",J1534*Settings!$C$16,0))</f>
        <v/>
      </c>
      <c r="L1534" s="21">
        <f>IF(B1534="","",IF(Settings!$C$5="Yes",0,K1534*Settings!$C$17))</f>
        <v/>
      </c>
      <c r="M1534" s="21">
        <f>IF(B1534="","",E1534*IFERROR(VLOOKUP(D1534,Products!$B$5:$F$204,5,FALSE),0))</f>
        <v/>
      </c>
      <c r="N1534" s="21">
        <f>IF(B1534="","",J1534-K1534-L1534-M1534-I1534)</f>
        <v/>
      </c>
    </row>
    <row r="1535">
      <c r="B1535" s="11" t="n"/>
      <c r="C1535" s="8" t="n"/>
      <c r="D1535" s="8" t="n"/>
      <c r="E1535" s="8" t="n"/>
      <c r="F1535" s="20" t="n"/>
      <c r="G1535" s="20" t="n"/>
      <c r="H1535" s="8" t="n"/>
      <c r="I1535" s="20" t="n"/>
      <c r="J1535" s="21">
        <f>IF(B1535="","",F1535+G1535)</f>
        <v/>
      </c>
      <c r="K1535" s="21">
        <f>IF(B1535="","",J1535*(Settings!$C$11+Settings!$C$12+Settings!$C$14)+IF(C1535="",Settings!$C$13,IF(COUNTIF($C$5:C1535,C1535)=1,Settings!$C$13,0))+E1535*Settings!$C$15+IF(H1535="Yes",J1535*Settings!$C$16,0))</f>
        <v/>
      </c>
      <c r="L1535" s="21">
        <f>IF(B1535="","",IF(Settings!$C$5="Yes",0,K1535*Settings!$C$17))</f>
        <v/>
      </c>
      <c r="M1535" s="21">
        <f>IF(B1535="","",E1535*IFERROR(VLOOKUP(D1535,Products!$B$5:$F$204,5,FALSE),0))</f>
        <v/>
      </c>
      <c r="N1535" s="21">
        <f>IF(B1535="","",J1535-K1535-L1535-M1535-I1535)</f>
        <v/>
      </c>
    </row>
    <row r="1536">
      <c r="B1536" s="11" t="n"/>
      <c r="C1536" s="8" t="n"/>
      <c r="D1536" s="8" t="n"/>
      <c r="E1536" s="8" t="n"/>
      <c r="F1536" s="20" t="n"/>
      <c r="G1536" s="20" t="n"/>
      <c r="H1536" s="8" t="n"/>
      <c r="I1536" s="20" t="n"/>
      <c r="J1536" s="21">
        <f>IF(B1536="","",F1536+G1536)</f>
        <v/>
      </c>
      <c r="K1536" s="21">
        <f>IF(B1536="","",J1536*(Settings!$C$11+Settings!$C$12+Settings!$C$14)+IF(C1536="",Settings!$C$13,IF(COUNTIF($C$5:C1536,C1536)=1,Settings!$C$13,0))+E1536*Settings!$C$15+IF(H1536="Yes",J1536*Settings!$C$16,0))</f>
        <v/>
      </c>
      <c r="L1536" s="21">
        <f>IF(B1536="","",IF(Settings!$C$5="Yes",0,K1536*Settings!$C$17))</f>
        <v/>
      </c>
      <c r="M1536" s="21">
        <f>IF(B1536="","",E1536*IFERROR(VLOOKUP(D1536,Products!$B$5:$F$204,5,FALSE),0))</f>
        <v/>
      </c>
      <c r="N1536" s="21">
        <f>IF(B1536="","",J1536-K1536-L1536-M1536-I1536)</f>
        <v/>
      </c>
    </row>
    <row r="1537">
      <c r="B1537" s="11" t="n"/>
      <c r="C1537" s="8" t="n"/>
      <c r="D1537" s="8" t="n"/>
      <c r="E1537" s="8" t="n"/>
      <c r="F1537" s="20" t="n"/>
      <c r="G1537" s="20" t="n"/>
      <c r="H1537" s="8" t="n"/>
      <c r="I1537" s="20" t="n"/>
      <c r="J1537" s="21">
        <f>IF(B1537="","",F1537+G1537)</f>
        <v/>
      </c>
      <c r="K1537" s="21">
        <f>IF(B1537="","",J1537*(Settings!$C$11+Settings!$C$12+Settings!$C$14)+IF(C1537="",Settings!$C$13,IF(COUNTIF($C$5:C1537,C1537)=1,Settings!$C$13,0))+E1537*Settings!$C$15+IF(H1537="Yes",J1537*Settings!$C$16,0))</f>
        <v/>
      </c>
      <c r="L1537" s="21">
        <f>IF(B1537="","",IF(Settings!$C$5="Yes",0,K1537*Settings!$C$17))</f>
        <v/>
      </c>
      <c r="M1537" s="21">
        <f>IF(B1537="","",E1537*IFERROR(VLOOKUP(D1537,Products!$B$5:$F$204,5,FALSE),0))</f>
        <v/>
      </c>
      <c r="N1537" s="21">
        <f>IF(B1537="","",J1537-K1537-L1537-M1537-I1537)</f>
        <v/>
      </c>
    </row>
    <row r="1538">
      <c r="B1538" s="11" t="n"/>
      <c r="C1538" s="8" t="n"/>
      <c r="D1538" s="8" t="n"/>
      <c r="E1538" s="8" t="n"/>
      <c r="F1538" s="20" t="n"/>
      <c r="G1538" s="20" t="n"/>
      <c r="H1538" s="8" t="n"/>
      <c r="I1538" s="20" t="n"/>
      <c r="J1538" s="21">
        <f>IF(B1538="","",F1538+G1538)</f>
        <v/>
      </c>
      <c r="K1538" s="21">
        <f>IF(B1538="","",J1538*(Settings!$C$11+Settings!$C$12+Settings!$C$14)+IF(C1538="",Settings!$C$13,IF(COUNTIF($C$5:C1538,C1538)=1,Settings!$C$13,0))+E1538*Settings!$C$15+IF(H1538="Yes",J1538*Settings!$C$16,0))</f>
        <v/>
      </c>
      <c r="L1538" s="21">
        <f>IF(B1538="","",IF(Settings!$C$5="Yes",0,K1538*Settings!$C$17))</f>
        <v/>
      </c>
      <c r="M1538" s="21">
        <f>IF(B1538="","",E1538*IFERROR(VLOOKUP(D1538,Products!$B$5:$F$204,5,FALSE),0))</f>
        <v/>
      </c>
      <c r="N1538" s="21">
        <f>IF(B1538="","",J1538-K1538-L1538-M1538-I1538)</f>
        <v/>
      </c>
    </row>
    <row r="1539">
      <c r="B1539" s="11" t="n"/>
      <c r="C1539" s="8" t="n"/>
      <c r="D1539" s="8" t="n"/>
      <c r="E1539" s="8" t="n"/>
      <c r="F1539" s="20" t="n"/>
      <c r="G1539" s="20" t="n"/>
      <c r="H1539" s="8" t="n"/>
      <c r="I1539" s="20" t="n"/>
      <c r="J1539" s="21">
        <f>IF(B1539="","",F1539+G1539)</f>
        <v/>
      </c>
      <c r="K1539" s="21">
        <f>IF(B1539="","",J1539*(Settings!$C$11+Settings!$C$12+Settings!$C$14)+IF(C1539="",Settings!$C$13,IF(COUNTIF($C$5:C1539,C1539)=1,Settings!$C$13,0))+E1539*Settings!$C$15+IF(H1539="Yes",J1539*Settings!$C$16,0))</f>
        <v/>
      </c>
      <c r="L1539" s="21">
        <f>IF(B1539="","",IF(Settings!$C$5="Yes",0,K1539*Settings!$C$17))</f>
        <v/>
      </c>
      <c r="M1539" s="21">
        <f>IF(B1539="","",E1539*IFERROR(VLOOKUP(D1539,Products!$B$5:$F$204,5,FALSE),0))</f>
        <v/>
      </c>
      <c r="N1539" s="21">
        <f>IF(B1539="","",J1539-K1539-L1539-M1539-I1539)</f>
        <v/>
      </c>
    </row>
    <row r="1540">
      <c r="B1540" s="11" t="n"/>
      <c r="C1540" s="8" t="n"/>
      <c r="D1540" s="8" t="n"/>
      <c r="E1540" s="8" t="n"/>
      <c r="F1540" s="20" t="n"/>
      <c r="G1540" s="20" t="n"/>
      <c r="H1540" s="8" t="n"/>
      <c r="I1540" s="20" t="n"/>
      <c r="J1540" s="21">
        <f>IF(B1540="","",F1540+G1540)</f>
        <v/>
      </c>
      <c r="K1540" s="21">
        <f>IF(B1540="","",J1540*(Settings!$C$11+Settings!$C$12+Settings!$C$14)+IF(C1540="",Settings!$C$13,IF(COUNTIF($C$5:C1540,C1540)=1,Settings!$C$13,0))+E1540*Settings!$C$15+IF(H1540="Yes",J1540*Settings!$C$16,0))</f>
        <v/>
      </c>
      <c r="L1540" s="21">
        <f>IF(B1540="","",IF(Settings!$C$5="Yes",0,K1540*Settings!$C$17))</f>
        <v/>
      </c>
      <c r="M1540" s="21">
        <f>IF(B1540="","",E1540*IFERROR(VLOOKUP(D1540,Products!$B$5:$F$204,5,FALSE),0))</f>
        <v/>
      </c>
      <c r="N1540" s="21">
        <f>IF(B1540="","",J1540-K1540-L1540-M1540-I1540)</f>
        <v/>
      </c>
    </row>
    <row r="1541">
      <c r="B1541" s="11" t="n"/>
      <c r="C1541" s="8" t="n"/>
      <c r="D1541" s="8" t="n"/>
      <c r="E1541" s="8" t="n"/>
      <c r="F1541" s="20" t="n"/>
      <c r="G1541" s="20" t="n"/>
      <c r="H1541" s="8" t="n"/>
      <c r="I1541" s="20" t="n"/>
      <c r="J1541" s="21">
        <f>IF(B1541="","",F1541+G1541)</f>
        <v/>
      </c>
      <c r="K1541" s="21">
        <f>IF(B1541="","",J1541*(Settings!$C$11+Settings!$C$12+Settings!$C$14)+IF(C1541="",Settings!$C$13,IF(COUNTIF($C$5:C1541,C1541)=1,Settings!$C$13,0))+E1541*Settings!$C$15+IF(H1541="Yes",J1541*Settings!$C$16,0))</f>
        <v/>
      </c>
      <c r="L1541" s="21">
        <f>IF(B1541="","",IF(Settings!$C$5="Yes",0,K1541*Settings!$C$17))</f>
        <v/>
      </c>
      <c r="M1541" s="21">
        <f>IF(B1541="","",E1541*IFERROR(VLOOKUP(D1541,Products!$B$5:$F$204,5,FALSE),0))</f>
        <v/>
      </c>
      <c r="N1541" s="21">
        <f>IF(B1541="","",J1541-K1541-L1541-M1541-I1541)</f>
        <v/>
      </c>
    </row>
    <row r="1542">
      <c r="B1542" s="11" t="n"/>
      <c r="C1542" s="8" t="n"/>
      <c r="D1542" s="8" t="n"/>
      <c r="E1542" s="8" t="n"/>
      <c r="F1542" s="20" t="n"/>
      <c r="G1542" s="20" t="n"/>
      <c r="H1542" s="8" t="n"/>
      <c r="I1542" s="20" t="n"/>
      <c r="J1542" s="21">
        <f>IF(B1542="","",F1542+G1542)</f>
        <v/>
      </c>
      <c r="K1542" s="21">
        <f>IF(B1542="","",J1542*(Settings!$C$11+Settings!$C$12+Settings!$C$14)+IF(C1542="",Settings!$C$13,IF(COUNTIF($C$5:C1542,C1542)=1,Settings!$C$13,0))+E1542*Settings!$C$15+IF(H1542="Yes",J1542*Settings!$C$16,0))</f>
        <v/>
      </c>
      <c r="L1542" s="21">
        <f>IF(B1542="","",IF(Settings!$C$5="Yes",0,K1542*Settings!$C$17))</f>
        <v/>
      </c>
      <c r="M1542" s="21">
        <f>IF(B1542="","",E1542*IFERROR(VLOOKUP(D1542,Products!$B$5:$F$204,5,FALSE),0))</f>
        <v/>
      </c>
      <c r="N1542" s="21">
        <f>IF(B1542="","",J1542-K1542-L1542-M1542-I1542)</f>
        <v/>
      </c>
    </row>
    <row r="1543">
      <c r="B1543" s="11" t="n"/>
      <c r="C1543" s="8" t="n"/>
      <c r="D1543" s="8" t="n"/>
      <c r="E1543" s="8" t="n"/>
      <c r="F1543" s="20" t="n"/>
      <c r="G1543" s="20" t="n"/>
      <c r="H1543" s="8" t="n"/>
      <c r="I1543" s="20" t="n"/>
      <c r="J1543" s="21">
        <f>IF(B1543="","",F1543+G1543)</f>
        <v/>
      </c>
      <c r="K1543" s="21">
        <f>IF(B1543="","",J1543*(Settings!$C$11+Settings!$C$12+Settings!$C$14)+IF(C1543="",Settings!$C$13,IF(COUNTIF($C$5:C1543,C1543)=1,Settings!$C$13,0))+E1543*Settings!$C$15+IF(H1543="Yes",J1543*Settings!$C$16,0))</f>
        <v/>
      </c>
      <c r="L1543" s="21">
        <f>IF(B1543="","",IF(Settings!$C$5="Yes",0,K1543*Settings!$C$17))</f>
        <v/>
      </c>
      <c r="M1543" s="21">
        <f>IF(B1543="","",E1543*IFERROR(VLOOKUP(D1543,Products!$B$5:$F$204,5,FALSE),0))</f>
        <v/>
      </c>
      <c r="N1543" s="21">
        <f>IF(B1543="","",J1543-K1543-L1543-M1543-I1543)</f>
        <v/>
      </c>
    </row>
    <row r="1544">
      <c r="B1544" s="11" t="n"/>
      <c r="C1544" s="8" t="n"/>
      <c r="D1544" s="8" t="n"/>
      <c r="E1544" s="8" t="n"/>
      <c r="F1544" s="20" t="n"/>
      <c r="G1544" s="20" t="n"/>
      <c r="H1544" s="8" t="n"/>
      <c r="I1544" s="20" t="n"/>
      <c r="J1544" s="21">
        <f>IF(B1544="","",F1544+G1544)</f>
        <v/>
      </c>
      <c r="K1544" s="21">
        <f>IF(B1544="","",J1544*(Settings!$C$11+Settings!$C$12+Settings!$C$14)+IF(C1544="",Settings!$C$13,IF(COUNTIF($C$5:C1544,C1544)=1,Settings!$C$13,0))+E1544*Settings!$C$15+IF(H1544="Yes",J1544*Settings!$C$16,0))</f>
        <v/>
      </c>
      <c r="L1544" s="21">
        <f>IF(B1544="","",IF(Settings!$C$5="Yes",0,K1544*Settings!$C$17))</f>
        <v/>
      </c>
      <c r="M1544" s="21">
        <f>IF(B1544="","",E1544*IFERROR(VLOOKUP(D1544,Products!$B$5:$F$204,5,FALSE),0))</f>
        <v/>
      </c>
      <c r="N1544" s="21">
        <f>IF(B1544="","",J1544-K1544-L1544-M1544-I1544)</f>
        <v/>
      </c>
    </row>
    <row r="1545">
      <c r="B1545" s="11" t="n"/>
      <c r="C1545" s="8" t="n"/>
      <c r="D1545" s="8" t="n"/>
      <c r="E1545" s="8" t="n"/>
      <c r="F1545" s="20" t="n"/>
      <c r="G1545" s="20" t="n"/>
      <c r="H1545" s="8" t="n"/>
      <c r="I1545" s="20" t="n"/>
      <c r="J1545" s="21">
        <f>IF(B1545="","",F1545+G1545)</f>
        <v/>
      </c>
      <c r="K1545" s="21">
        <f>IF(B1545="","",J1545*(Settings!$C$11+Settings!$C$12+Settings!$C$14)+IF(C1545="",Settings!$C$13,IF(COUNTIF($C$5:C1545,C1545)=1,Settings!$C$13,0))+E1545*Settings!$C$15+IF(H1545="Yes",J1545*Settings!$C$16,0))</f>
        <v/>
      </c>
      <c r="L1545" s="21">
        <f>IF(B1545="","",IF(Settings!$C$5="Yes",0,K1545*Settings!$C$17))</f>
        <v/>
      </c>
      <c r="M1545" s="21">
        <f>IF(B1545="","",E1545*IFERROR(VLOOKUP(D1545,Products!$B$5:$F$204,5,FALSE),0))</f>
        <v/>
      </c>
      <c r="N1545" s="21">
        <f>IF(B1545="","",J1545-K1545-L1545-M1545-I1545)</f>
        <v/>
      </c>
    </row>
    <row r="1546">
      <c r="B1546" s="11" t="n"/>
      <c r="C1546" s="8" t="n"/>
      <c r="D1546" s="8" t="n"/>
      <c r="E1546" s="8" t="n"/>
      <c r="F1546" s="20" t="n"/>
      <c r="G1546" s="20" t="n"/>
      <c r="H1546" s="8" t="n"/>
      <c r="I1546" s="20" t="n"/>
      <c r="J1546" s="21">
        <f>IF(B1546="","",F1546+G1546)</f>
        <v/>
      </c>
      <c r="K1546" s="21">
        <f>IF(B1546="","",J1546*(Settings!$C$11+Settings!$C$12+Settings!$C$14)+IF(C1546="",Settings!$C$13,IF(COUNTIF($C$5:C1546,C1546)=1,Settings!$C$13,0))+E1546*Settings!$C$15+IF(H1546="Yes",J1546*Settings!$C$16,0))</f>
        <v/>
      </c>
      <c r="L1546" s="21">
        <f>IF(B1546="","",IF(Settings!$C$5="Yes",0,K1546*Settings!$C$17))</f>
        <v/>
      </c>
      <c r="M1546" s="21">
        <f>IF(B1546="","",E1546*IFERROR(VLOOKUP(D1546,Products!$B$5:$F$204,5,FALSE),0))</f>
        <v/>
      </c>
      <c r="N1546" s="21">
        <f>IF(B1546="","",J1546-K1546-L1546-M1546-I1546)</f>
        <v/>
      </c>
    </row>
    <row r="1547">
      <c r="B1547" s="11" t="n"/>
      <c r="C1547" s="8" t="n"/>
      <c r="D1547" s="8" t="n"/>
      <c r="E1547" s="8" t="n"/>
      <c r="F1547" s="20" t="n"/>
      <c r="G1547" s="20" t="n"/>
      <c r="H1547" s="8" t="n"/>
      <c r="I1547" s="20" t="n"/>
      <c r="J1547" s="21">
        <f>IF(B1547="","",F1547+G1547)</f>
        <v/>
      </c>
      <c r="K1547" s="21">
        <f>IF(B1547="","",J1547*(Settings!$C$11+Settings!$C$12+Settings!$C$14)+IF(C1547="",Settings!$C$13,IF(COUNTIF($C$5:C1547,C1547)=1,Settings!$C$13,0))+E1547*Settings!$C$15+IF(H1547="Yes",J1547*Settings!$C$16,0))</f>
        <v/>
      </c>
      <c r="L1547" s="21">
        <f>IF(B1547="","",IF(Settings!$C$5="Yes",0,K1547*Settings!$C$17))</f>
        <v/>
      </c>
      <c r="M1547" s="21">
        <f>IF(B1547="","",E1547*IFERROR(VLOOKUP(D1547,Products!$B$5:$F$204,5,FALSE),0))</f>
        <v/>
      </c>
      <c r="N1547" s="21">
        <f>IF(B1547="","",J1547-K1547-L1547-M1547-I1547)</f>
        <v/>
      </c>
    </row>
    <row r="1548">
      <c r="B1548" s="11" t="n"/>
      <c r="C1548" s="8" t="n"/>
      <c r="D1548" s="8" t="n"/>
      <c r="E1548" s="8" t="n"/>
      <c r="F1548" s="20" t="n"/>
      <c r="G1548" s="20" t="n"/>
      <c r="H1548" s="8" t="n"/>
      <c r="I1548" s="20" t="n"/>
      <c r="J1548" s="21">
        <f>IF(B1548="","",F1548+G1548)</f>
        <v/>
      </c>
      <c r="K1548" s="21">
        <f>IF(B1548="","",J1548*(Settings!$C$11+Settings!$C$12+Settings!$C$14)+IF(C1548="",Settings!$C$13,IF(COUNTIF($C$5:C1548,C1548)=1,Settings!$C$13,0))+E1548*Settings!$C$15+IF(H1548="Yes",J1548*Settings!$C$16,0))</f>
        <v/>
      </c>
      <c r="L1548" s="21">
        <f>IF(B1548="","",IF(Settings!$C$5="Yes",0,K1548*Settings!$C$17))</f>
        <v/>
      </c>
      <c r="M1548" s="21">
        <f>IF(B1548="","",E1548*IFERROR(VLOOKUP(D1548,Products!$B$5:$F$204,5,FALSE),0))</f>
        <v/>
      </c>
      <c r="N1548" s="21">
        <f>IF(B1548="","",J1548-K1548-L1548-M1548-I1548)</f>
        <v/>
      </c>
    </row>
    <row r="1549">
      <c r="B1549" s="11" t="n"/>
      <c r="C1549" s="8" t="n"/>
      <c r="D1549" s="8" t="n"/>
      <c r="E1549" s="8" t="n"/>
      <c r="F1549" s="20" t="n"/>
      <c r="G1549" s="20" t="n"/>
      <c r="H1549" s="8" t="n"/>
      <c r="I1549" s="20" t="n"/>
      <c r="J1549" s="21">
        <f>IF(B1549="","",F1549+G1549)</f>
        <v/>
      </c>
      <c r="K1549" s="21">
        <f>IF(B1549="","",J1549*(Settings!$C$11+Settings!$C$12+Settings!$C$14)+IF(C1549="",Settings!$C$13,IF(COUNTIF($C$5:C1549,C1549)=1,Settings!$C$13,0))+E1549*Settings!$C$15+IF(H1549="Yes",J1549*Settings!$C$16,0))</f>
        <v/>
      </c>
      <c r="L1549" s="21">
        <f>IF(B1549="","",IF(Settings!$C$5="Yes",0,K1549*Settings!$C$17))</f>
        <v/>
      </c>
      <c r="M1549" s="21">
        <f>IF(B1549="","",E1549*IFERROR(VLOOKUP(D1549,Products!$B$5:$F$204,5,FALSE),0))</f>
        <v/>
      </c>
      <c r="N1549" s="21">
        <f>IF(B1549="","",J1549-K1549-L1549-M1549-I1549)</f>
        <v/>
      </c>
    </row>
    <row r="1550">
      <c r="B1550" s="11" t="n"/>
      <c r="C1550" s="8" t="n"/>
      <c r="D1550" s="8" t="n"/>
      <c r="E1550" s="8" t="n"/>
      <c r="F1550" s="20" t="n"/>
      <c r="G1550" s="20" t="n"/>
      <c r="H1550" s="8" t="n"/>
      <c r="I1550" s="20" t="n"/>
      <c r="J1550" s="21">
        <f>IF(B1550="","",F1550+G1550)</f>
        <v/>
      </c>
      <c r="K1550" s="21">
        <f>IF(B1550="","",J1550*(Settings!$C$11+Settings!$C$12+Settings!$C$14)+IF(C1550="",Settings!$C$13,IF(COUNTIF($C$5:C1550,C1550)=1,Settings!$C$13,0))+E1550*Settings!$C$15+IF(H1550="Yes",J1550*Settings!$C$16,0))</f>
        <v/>
      </c>
      <c r="L1550" s="21">
        <f>IF(B1550="","",IF(Settings!$C$5="Yes",0,K1550*Settings!$C$17))</f>
        <v/>
      </c>
      <c r="M1550" s="21">
        <f>IF(B1550="","",E1550*IFERROR(VLOOKUP(D1550,Products!$B$5:$F$204,5,FALSE),0))</f>
        <v/>
      </c>
      <c r="N1550" s="21">
        <f>IF(B1550="","",J1550-K1550-L1550-M1550-I1550)</f>
        <v/>
      </c>
    </row>
    <row r="1551">
      <c r="B1551" s="11" t="n"/>
      <c r="C1551" s="8" t="n"/>
      <c r="D1551" s="8" t="n"/>
      <c r="E1551" s="8" t="n"/>
      <c r="F1551" s="20" t="n"/>
      <c r="G1551" s="20" t="n"/>
      <c r="H1551" s="8" t="n"/>
      <c r="I1551" s="20" t="n"/>
      <c r="J1551" s="21">
        <f>IF(B1551="","",F1551+G1551)</f>
        <v/>
      </c>
      <c r="K1551" s="21">
        <f>IF(B1551="","",J1551*(Settings!$C$11+Settings!$C$12+Settings!$C$14)+IF(C1551="",Settings!$C$13,IF(COUNTIF($C$5:C1551,C1551)=1,Settings!$C$13,0))+E1551*Settings!$C$15+IF(H1551="Yes",J1551*Settings!$C$16,0))</f>
        <v/>
      </c>
      <c r="L1551" s="21">
        <f>IF(B1551="","",IF(Settings!$C$5="Yes",0,K1551*Settings!$C$17))</f>
        <v/>
      </c>
      <c r="M1551" s="21">
        <f>IF(B1551="","",E1551*IFERROR(VLOOKUP(D1551,Products!$B$5:$F$204,5,FALSE),0))</f>
        <v/>
      </c>
      <c r="N1551" s="21">
        <f>IF(B1551="","",J1551-K1551-L1551-M1551-I1551)</f>
        <v/>
      </c>
    </row>
    <row r="1552">
      <c r="B1552" s="11" t="n"/>
      <c r="C1552" s="8" t="n"/>
      <c r="D1552" s="8" t="n"/>
      <c r="E1552" s="8" t="n"/>
      <c r="F1552" s="20" t="n"/>
      <c r="G1552" s="20" t="n"/>
      <c r="H1552" s="8" t="n"/>
      <c r="I1552" s="20" t="n"/>
      <c r="J1552" s="21">
        <f>IF(B1552="","",F1552+G1552)</f>
        <v/>
      </c>
      <c r="K1552" s="21">
        <f>IF(B1552="","",J1552*(Settings!$C$11+Settings!$C$12+Settings!$C$14)+IF(C1552="",Settings!$C$13,IF(COUNTIF($C$5:C1552,C1552)=1,Settings!$C$13,0))+E1552*Settings!$C$15+IF(H1552="Yes",J1552*Settings!$C$16,0))</f>
        <v/>
      </c>
      <c r="L1552" s="21">
        <f>IF(B1552="","",IF(Settings!$C$5="Yes",0,K1552*Settings!$C$17))</f>
        <v/>
      </c>
      <c r="M1552" s="21">
        <f>IF(B1552="","",E1552*IFERROR(VLOOKUP(D1552,Products!$B$5:$F$204,5,FALSE),0))</f>
        <v/>
      </c>
      <c r="N1552" s="21">
        <f>IF(B1552="","",J1552-K1552-L1552-M1552-I1552)</f>
        <v/>
      </c>
    </row>
    <row r="1553">
      <c r="B1553" s="11" t="n"/>
      <c r="C1553" s="8" t="n"/>
      <c r="D1553" s="8" t="n"/>
      <c r="E1553" s="8" t="n"/>
      <c r="F1553" s="20" t="n"/>
      <c r="G1553" s="20" t="n"/>
      <c r="H1553" s="8" t="n"/>
      <c r="I1553" s="20" t="n"/>
      <c r="J1553" s="21">
        <f>IF(B1553="","",F1553+G1553)</f>
        <v/>
      </c>
      <c r="K1553" s="21">
        <f>IF(B1553="","",J1553*(Settings!$C$11+Settings!$C$12+Settings!$C$14)+IF(C1553="",Settings!$C$13,IF(COUNTIF($C$5:C1553,C1553)=1,Settings!$C$13,0))+E1553*Settings!$C$15+IF(H1553="Yes",J1553*Settings!$C$16,0))</f>
        <v/>
      </c>
      <c r="L1553" s="21">
        <f>IF(B1553="","",IF(Settings!$C$5="Yes",0,K1553*Settings!$C$17))</f>
        <v/>
      </c>
      <c r="M1553" s="21">
        <f>IF(B1553="","",E1553*IFERROR(VLOOKUP(D1553,Products!$B$5:$F$204,5,FALSE),0))</f>
        <v/>
      </c>
      <c r="N1553" s="21">
        <f>IF(B1553="","",J1553-K1553-L1553-M1553-I1553)</f>
        <v/>
      </c>
    </row>
    <row r="1554">
      <c r="B1554" s="11" t="n"/>
      <c r="C1554" s="8" t="n"/>
      <c r="D1554" s="8" t="n"/>
      <c r="E1554" s="8" t="n"/>
      <c r="F1554" s="20" t="n"/>
      <c r="G1554" s="20" t="n"/>
      <c r="H1554" s="8" t="n"/>
      <c r="I1554" s="20" t="n"/>
      <c r="J1554" s="21">
        <f>IF(B1554="","",F1554+G1554)</f>
        <v/>
      </c>
      <c r="K1554" s="21">
        <f>IF(B1554="","",J1554*(Settings!$C$11+Settings!$C$12+Settings!$C$14)+IF(C1554="",Settings!$C$13,IF(COUNTIF($C$5:C1554,C1554)=1,Settings!$C$13,0))+E1554*Settings!$C$15+IF(H1554="Yes",J1554*Settings!$C$16,0))</f>
        <v/>
      </c>
      <c r="L1554" s="21">
        <f>IF(B1554="","",IF(Settings!$C$5="Yes",0,K1554*Settings!$C$17))</f>
        <v/>
      </c>
      <c r="M1554" s="21">
        <f>IF(B1554="","",E1554*IFERROR(VLOOKUP(D1554,Products!$B$5:$F$204,5,FALSE),0))</f>
        <v/>
      </c>
      <c r="N1554" s="21">
        <f>IF(B1554="","",J1554-K1554-L1554-M1554-I1554)</f>
        <v/>
      </c>
    </row>
    <row r="1555">
      <c r="B1555" s="11" t="n"/>
      <c r="C1555" s="8" t="n"/>
      <c r="D1555" s="8" t="n"/>
      <c r="E1555" s="8" t="n"/>
      <c r="F1555" s="20" t="n"/>
      <c r="G1555" s="20" t="n"/>
      <c r="H1555" s="8" t="n"/>
      <c r="I1555" s="20" t="n"/>
      <c r="J1555" s="21">
        <f>IF(B1555="","",F1555+G1555)</f>
        <v/>
      </c>
      <c r="K1555" s="21">
        <f>IF(B1555="","",J1555*(Settings!$C$11+Settings!$C$12+Settings!$C$14)+IF(C1555="",Settings!$C$13,IF(COUNTIF($C$5:C1555,C1555)=1,Settings!$C$13,0))+E1555*Settings!$C$15+IF(H1555="Yes",J1555*Settings!$C$16,0))</f>
        <v/>
      </c>
      <c r="L1555" s="21">
        <f>IF(B1555="","",IF(Settings!$C$5="Yes",0,K1555*Settings!$C$17))</f>
        <v/>
      </c>
      <c r="M1555" s="21">
        <f>IF(B1555="","",E1555*IFERROR(VLOOKUP(D1555,Products!$B$5:$F$204,5,FALSE),0))</f>
        <v/>
      </c>
      <c r="N1555" s="21">
        <f>IF(B1555="","",J1555-K1555-L1555-M1555-I1555)</f>
        <v/>
      </c>
    </row>
    <row r="1556">
      <c r="B1556" s="11" t="n"/>
      <c r="C1556" s="8" t="n"/>
      <c r="D1556" s="8" t="n"/>
      <c r="E1556" s="8" t="n"/>
      <c r="F1556" s="20" t="n"/>
      <c r="G1556" s="20" t="n"/>
      <c r="H1556" s="8" t="n"/>
      <c r="I1556" s="20" t="n"/>
      <c r="J1556" s="21">
        <f>IF(B1556="","",F1556+G1556)</f>
        <v/>
      </c>
      <c r="K1556" s="21">
        <f>IF(B1556="","",J1556*(Settings!$C$11+Settings!$C$12+Settings!$C$14)+IF(C1556="",Settings!$C$13,IF(COUNTIF($C$5:C1556,C1556)=1,Settings!$C$13,0))+E1556*Settings!$C$15+IF(H1556="Yes",J1556*Settings!$C$16,0))</f>
        <v/>
      </c>
      <c r="L1556" s="21">
        <f>IF(B1556="","",IF(Settings!$C$5="Yes",0,K1556*Settings!$C$17))</f>
        <v/>
      </c>
      <c r="M1556" s="21">
        <f>IF(B1556="","",E1556*IFERROR(VLOOKUP(D1556,Products!$B$5:$F$204,5,FALSE),0))</f>
        <v/>
      </c>
      <c r="N1556" s="21">
        <f>IF(B1556="","",J1556-K1556-L1556-M1556-I1556)</f>
        <v/>
      </c>
    </row>
    <row r="1557">
      <c r="B1557" s="11" t="n"/>
      <c r="C1557" s="8" t="n"/>
      <c r="D1557" s="8" t="n"/>
      <c r="E1557" s="8" t="n"/>
      <c r="F1557" s="20" t="n"/>
      <c r="G1557" s="20" t="n"/>
      <c r="H1557" s="8" t="n"/>
      <c r="I1557" s="20" t="n"/>
      <c r="J1557" s="21">
        <f>IF(B1557="","",F1557+G1557)</f>
        <v/>
      </c>
      <c r="K1557" s="21">
        <f>IF(B1557="","",J1557*(Settings!$C$11+Settings!$C$12+Settings!$C$14)+IF(C1557="",Settings!$C$13,IF(COUNTIF($C$5:C1557,C1557)=1,Settings!$C$13,0))+E1557*Settings!$C$15+IF(H1557="Yes",J1557*Settings!$C$16,0))</f>
        <v/>
      </c>
      <c r="L1557" s="21">
        <f>IF(B1557="","",IF(Settings!$C$5="Yes",0,K1557*Settings!$C$17))</f>
        <v/>
      </c>
      <c r="M1557" s="21">
        <f>IF(B1557="","",E1557*IFERROR(VLOOKUP(D1557,Products!$B$5:$F$204,5,FALSE),0))</f>
        <v/>
      </c>
      <c r="N1557" s="21">
        <f>IF(B1557="","",J1557-K1557-L1557-M1557-I1557)</f>
        <v/>
      </c>
    </row>
    <row r="1558">
      <c r="B1558" s="11" t="n"/>
      <c r="C1558" s="8" t="n"/>
      <c r="D1558" s="8" t="n"/>
      <c r="E1558" s="8" t="n"/>
      <c r="F1558" s="20" t="n"/>
      <c r="G1558" s="20" t="n"/>
      <c r="H1558" s="8" t="n"/>
      <c r="I1558" s="20" t="n"/>
      <c r="J1558" s="21">
        <f>IF(B1558="","",F1558+G1558)</f>
        <v/>
      </c>
      <c r="K1558" s="21">
        <f>IF(B1558="","",J1558*(Settings!$C$11+Settings!$C$12+Settings!$C$14)+IF(C1558="",Settings!$C$13,IF(COUNTIF($C$5:C1558,C1558)=1,Settings!$C$13,0))+E1558*Settings!$C$15+IF(H1558="Yes",J1558*Settings!$C$16,0))</f>
        <v/>
      </c>
      <c r="L1558" s="21">
        <f>IF(B1558="","",IF(Settings!$C$5="Yes",0,K1558*Settings!$C$17))</f>
        <v/>
      </c>
      <c r="M1558" s="21">
        <f>IF(B1558="","",E1558*IFERROR(VLOOKUP(D1558,Products!$B$5:$F$204,5,FALSE),0))</f>
        <v/>
      </c>
      <c r="N1558" s="21">
        <f>IF(B1558="","",J1558-K1558-L1558-M1558-I1558)</f>
        <v/>
      </c>
    </row>
    <row r="1559">
      <c r="B1559" s="11" t="n"/>
      <c r="C1559" s="8" t="n"/>
      <c r="D1559" s="8" t="n"/>
      <c r="E1559" s="8" t="n"/>
      <c r="F1559" s="20" t="n"/>
      <c r="G1559" s="20" t="n"/>
      <c r="H1559" s="8" t="n"/>
      <c r="I1559" s="20" t="n"/>
      <c r="J1559" s="21">
        <f>IF(B1559="","",F1559+G1559)</f>
        <v/>
      </c>
      <c r="K1559" s="21">
        <f>IF(B1559="","",J1559*(Settings!$C$11+Settings!$C$12+Settings!$C$14)+IF(C1559="",Settings!$C$13,IF(COUNTIF($C$5:C1559,C1559)=1,Settings!$C$13,0))+E1559*Settings!$C$15+IF(H1559="Yes",J1559*Settings!$C$16,0))</f>
        <v/>
      </c>
      <c r="L1559" s="21">
        <f>IF(B1559="","",IF(Settings!$C$5="Yes",0,K1559*Settings!$C$17))</f>
        <v/>
      </c>
      <c r="M1559" s="21">
        <f>IF(B1559="","",E1559*IFERROR(VLOOKUP(D1559,Products!$B$5:$F$204,5,FALSE),0))</f>
        <v/>
      </c>
      <c r="N1559" s="21">
        <f>IF(B1559="","",J1559-K1559-L1559-M1559-I1559)</f>
        <v/>
      </c>
    </row>
    <row r="1560">
      <c r="B1560" s="11" t="n"/>
      <c r="C1560" s="8" t="n"/>
      <c r="D1560" s="8" t="n"/>
      <c r="E1560" s="8" t="n"/>
      <c r="F1560" s="20" t="n"/>
      <c r="G1560" s="20" t="n"/>
      <c r="H1560" s="8" t="n"/>
      <c r="I1560" s="20" t="n"/>
      <c r="J1560" s="21">
        <f>IF(B1560="","",F1560+G1560)</f>
        <v/>
      </c>
      <c r="K1560" s="21">
        <f>IF(B1560="","",J1560*(Settings!$C$11+Settings!$C$12+Settings!$C$14)+IF(C1560="",Settings!$C$13,IF(COUNTIF($C$5:C1560,C1560)=1,Settings!$C$13,0))+E1560*Settings!$C$15+IF(H1560="Yes",J1560*Settings!$C$16,0))</f>
        <v/>
      </c>
      <c r="L1560" s="21">
        <f>IF(B1560="","",IF(Settings!$C$5="Yes",0,K1560*Settings!$C$17))</f>
        <v/>
      </c>
      <c r="M1560" s="21">
        <f>IF(B1560="","",E1560*IFERROR(VLOOKUP(D1560,Products!$B$5:$F$204,5,FALSE),0))</f>
        <v/>
      </c>
      <c r="N1560" s="21">
        <f>IF(B1560="","",J1560-K1560-L1560-M1560-I1560)</f>
        <v/>
      </c>
    </row>
    <row r="1561">
      <c r="B1561" s="11" t="n"/>
      <c r="C1561" s="8" t="n"/>
      <c r="D1561" s="8" t="n"/>
      <c r="E1561" s="8" t="n"/>
      <c r="F1561" s="20" t="n"/>
      <c r="G1561" s="20" t="n"/>
      <c r="H1561" s="8" t="n"/>
      <c r="I1561" s="20" t="n"/>
      <c r="J1561" s="21">
        <f>IF(B1561="","",F1561+G1561)</f>
        <v/>
      </c>
      <c r="K1561" s="21">
        <f>IF(B1561="","",J1561*(Settings!$C$11+Settings!$C$12+Settings!$C$14)+IF(C1561="",Settings!$C$13,IF(COUNTIF($C$5:C1561,C1561)=1,Settings!$C$13,0))+E1561*Settings!$C$15+IF(H1561="Yes",J1561*Settings!$C$16,0))</f>
        <v/>
      </c>
      <c r="L1561" s="21">
        <f>IF(B1561="","",IF(Settings!$C$5="Yes",0,K1561*Settings!$C$17))</f>
        <v/>
      </c>
      <c r="M1561" s="21">
        <f>IF(B1561="","",E1561*IFERROR(VLOOKUP(D1561,Products!$B$5:$F$204,5,FALSE),0))</f>
        <v/>
      </c>
      <c r="N1561" s="21">
        <f>IF(B1561="","",J1561-K1561-L1561-M1561-I1561)</f>
        <v/>
      </c>
    </row>
    <row r="1562">
      <c r="B1562" s="11" t="n"/>
      <c r="C1562" s="8" t="n"/>
      <c r="D1562" s="8" t="n"/>
      <c r="E1562" s="8" t="n"/>
      <c r="F1562" s="20" t="n"/>
      <c r="G1562" s="20" t="n"/>
      <c r="H1562" s="8" t="n"/>
      <c r="I1562" s="20" t="n"/>
      <c r="J1562" s="21">
        <f>IF(B1562="","",F1562+G1562)</f>
        <v/>
      </c>
      <c r="K1562" s="21">
        <f>IF(B1562="","",J1562*(Settings!$C$11+Settings!$C$12+Settings!$C$14)+IF(C1562="",Settings!$C$13,IF(COUNTIF($C$5:C1562,C1562)=1,Settings!$C$13,0))+E1562*Settings!$C$15+IF(H1562="Yes",J1562*Settings!$C$16,0))</f>
        <v/>
      </c>
      <c r="L1562" s="21">
        <f>IF(B1562="","",IF(Settings!$C$5="Yes",0,K1562*Settings!$C$17))</f>
        <v/>
      </c>
      <c r="M1562" s="21">
        <f>IF(B1562="","",E1562*IFERROR(VLOOKUP(D1562,Products!$B$5:$F$204,5,FALSE),0))</f>
        <v/>
      </c>
      <c r="N1562" s="21">
        <f>IF(B1562="","",J1562-K1562-L1562-M1562-I1562)</f>
        <v/>
      </c>
    </row>
    <row r="1563">
      <c r="B1563" s="11" t="n"/>
      <c r="C1563" s="8" t="n"/>
      <c r="D1563" s="8" t="n"/>
      <c r="E1563" s="8" t="n"/>
      <c r="F1563" s="20" t="n"/>
      <c r="G1563" s="20" t="n"/>
      <c r="H1563" s="8" t="n"/>
      <c r="I1563" s="20" t="n"/>
      <c r="J1563" s="21">
        <f>IF(B1563="","",F1563+G1563)</f>
        <v/>
      </c>
      <c r="K1563" s="21">
        <f>IF(B1563="","",J1563*(Settings!$C$11+Settings!$C$12+Settings!$C$14)+IF(C1563="",Settings!$C$13,IF(COUNTIF($C$5:C1563,C1563)=1,Settings!$C$13,0))+E1563*Settings!$C$15+IF(H1563="Yes",J1563*Settings!$C$16,0))</f>
        <v/>
      </c>
      <c r="L1563" s="21">
        <f>IF(B1563="","",IF(Settings!$C$5="Yes",0,K1563*Settings!$C$17))</f>
        <v/>
      </c>
      <c r="M1563" s="21">
        <f>IF(B1563="","",E1563*IFERROR(VLOOKUP(D1563,Products!$B$5:$F$204,5,FALSE),0))</f>
        <v/>
      </c>
      <c r="N1563" s="21">
        <f>IF(B1563="","",J1563-K1563-L1563-M1563-I1563)</f>
        <v/>
      </c>
    </row>
    <row r="1564">
      <c r="B1564" s="11" t="n"/>
      <c r="C1564" s="8" t="n"/>
      <c r="D1564" s="8" t="n"/>
      <c r="E1564" s="8" t="n"/>
      <c r="F1564" s="20" t="n"/>
      <c r="G1564" s="20" t="n"/>
      <c r="H1564" s="8" t="n"/>
      <c r="I1564" s="20" t="n"/>
      <c r="J1564" s="21">
        <f>IF(B1564="","",F1564+G1564)</f>
        <v/>
      </c>
      <c r="K1564" s="21">
        <f>IF(B1564="","",J1564*(Settings!$C$11+Settings!$C$12+Settings!$C$14)+IF(C1564="",Settings!$C$13,IF(COUNTIF($C$5:C1564,C1564)=1,Settings!$C$13,0))+E1564*Settings!$C$15+IF(H1564="Yes",J1564*Settings!$C$16,0))</f>
        <v/>
      </c>
      <c r="L1564" s="21">
        <f>IF(B1564="","",IF(Settings!$C$5="Yes",0,K1564*Settings!$C$17))</f>
        <v/>
      </c>
      <c r="M1564" s="21">
        <f>IF(B1564="","",E1564*IFERROR(VLOOKUP(D1564,Products!$B$5:$F$204,5,FALSE),0))</f>
        <v/>
      </c>
      <c r="N1564" s="21">
        <f>IF(B1564="","",J1564-K1564-L1564-M1564-I1564)</f>
        <v/>
      </c>
    </row>
    <row r="1565">
      <c r="B1565" s="11" t="n"/>
      <c r="C1565" s="8" t="n"/>
      <c r="D1565" s="8" t="n"/>
      <c r="E1565" s="8" t="n"/>
      <c r="F1565" s="20" t="n"/>
      <c r="G1565" s="20" t="n"/>
      <c r="H1565" s="8" t="n"/>
      <c r="I1565" s="20" t="n"/>
      <c r="J1565" s="21">
        <f>IF(B1565="","",F1565+G1565)</f>
        <v/>
      </c>
      <c r="K1565" s="21">
        <f>IF(B1565="","",J1565*(Settings!$C$11+Settings!$C$12+Settings!$C$14)+IF(C1565="",Settings!$C$13,IF(COUNTIF($C$5:C1565,C1565)=1,Settings!$C$13,0))+E1565*Settings!$C$15+IF(H1565="Yes",J1565*Settings!$C$16,0))</f>
        <v/>
      </c>
      <c r="L1565" s="21">
        <f>IF(B1565="","",IF(Settings!$C$5="Yes",0,K1565*Settings!$C$17))</f>
        <v/>
      </c>
      <c r="M1565" s="21">
        <f>IF(B1565="","",E1565*IFERROR(VLOOKUP(D1565,Products!$B$5:$F$204,5,FALSE),0))</f>
        <v/>
      </c>
      <c r="N1565" s="21">
        <f>IF(B1565="","",J1565-K1565-L1565-M1565-I1565)</f>
        <v/>
      </c>
    </row>
    <row r="1566">
      <c r="B1566" s="11" t="n"/>
      <c r="C1566" s="8" t="n"/>
      <c r="D1566" s="8" t="n"/>
      <c r="E1566" s="8" t="n"/>
      <c r="F1566" s="20" t="n"/>
      <c r="G1566" s="20" t="n"/>
      <c r="H1566" s="8" t="n"/>
      <c r="I1566" s="20" t="n"/>
      <c r="J1566" s="21">
        <f>IF(B1566="","",F1566+G1566)</f>
        <v/>
      </c>
      <c r="K1566" s="21">
        <f>IF(B1566="","",J1566*(Settings!$C$11+Settings!$C$12+Settings!$C$14)+IF(C1566="",Settings!$C$13,IF(COUNTIF($C$5:C1566,C1566)=1,Settings!$C$13,0))+E1566*Settings!$C$15+IF(H1566="Yes",J1566*Settings!$C$16,0))</f>
        <v/>
      </c>
      <c r="L1566" s="21">
        <f>IF(B1566="","",IF(Settings!$C$5="Yes",0,K1566*Settings!$C$17))</f>
        <v/>
      </c>
      <c r="M1566" s="21">
        <f>IF(B1566="","",E1566*IFERROR(VLOOKUP(D1566,Products!$B$5:$F$204,5,FALSE),0))</f>
        <v/>
      </c>
      <c r="N1566" s="21">
        <f>IF(B1566="","",J1566-K1566-L1566-M1566-I1566)</f>
        <v/>
      </c>
    </row>
    <row r="1567">
      <c r="B1567" s="11" t="n"/>
      <c r="C1567" s="8" t="n"/>
      <c r="D1567" s="8" t="n"/>
      <c r="E1567" s="8" t="n"/>
      <c r="F1567" s="20" t="n"/>
      <c r="G1567" s="20" t="n"/>
      <c r="H1567" s="8" t="n"/>
      <c r="I1567" s="20" t="n"/>
      <c r="J1567" s="21">
        <f>IF(B1567="","",F1567+G1567)</f>
        <v/>
      </c>
      <c r="K1567" s="21">
        <f>IF(B1567="","",J1567*(Settings!$C$11+Settings!$C$12+Settings!$C$14)+IF(C1567="",Settings!$C$13,IF(COUNTIF($C$5:C1567,C1567)=1,Settings!$C$13,0))+E1567*Settings!$C$15+IF(H1567="Yes",J1567*Settings!$C$16,0))</f>
        <v/>
      </c>
      <c r="L1567" s="21">
        <f>IF(B1567="","",IF(Settings!$C$5="Yes",0,K1567*Settings!$C$17))</f>
        <v/>
      </c>
      <c r="M1567" s="21">
        <f>IF(B1567="","",E1567*IFERROR(VLOOKUP(D1567,Products!$B$5:$F$204,5,FALSE),0))</f>
        <v/>
      </c>
      <c r="N1567" s="21">
        <f>IF(B1567="","",J1567-K1567-L1567-M1567-I1567)</f>
        <v/>
      </c>
    </row>
    <row r="1568">
      <c r="B1568" s="11" t="n"/>
      <c r="C1568" s="8" t="n"/>
      <c r="D1568" s="8" t="n"/>
      <c r="E1568" s="8" t="n"/>
      <c r="F1568" s="20" t="n"/>
      <c r="G1568" s="20" t="n"/>
      <c r="H1568" s="8" t="n"/>
      <c r="I1568" s="20" t="n"/>
      <c r="J1568" s="21">
        <f>IF(B1568="","",F1568+G1568)</f>
        <v/>
      </c>
      <c r="K1568" s="21">
        <f>IF(B1568="","",J1568*(Settings!$C$11+Settings!$C$12+Settings!$C$14)+IF(C1568="",Settings!$C$13,IF(COUNTIF($C$5:C1568,C1568)=1,Settings!$C$13,0))+E1568*Settings!$C$15+IF(H1568="Yes",J1568*Settings!$C$16,0))</f>
        <v/>
      </c>
      <c r="L1568" s="21">
        <f>IF(B1568="","",IF(Settings!$C$5="Yes",0,K1568*Settings!$C$17))</f>
        <v/>
      </c>
      <c r="M1568" s="21">
        <f>IF(B1568="","",E1568*IFERROR(VLOOKUP(D1568,Products!$B$5:$F$204,5,FALSE),0))</f>
        <v/>
      </c>
      <c r="N1568" s="21">
        <f>IF(B1568="","",J1568-K1568-L1568-M1568-I1568)</f>
        <v/>
      </c>
    </row>
    <row r="1569">
      <c r="B1569" s="11" t="n"/>
      <c r="C1569" s="8" t="n"/>
      <c r="D1569" s="8" t="n"/>
      <c r="E1569" s="8" t="n"/>
      <c r="F1569" s="20" t="n"/>
      <c r="G1569" s="20" t="n"/>
      <c r="H1569" s="8" t="n"/>
      <c r="I1569" s="20" t="n"/>
      <c r="J1569" s="21">
        <f>IF(B1569="","",F1569+G1569)</f>
        <v/>
      </c>
      <c r="K1569" s="21">
        <f>IF(B1569="","",J1569*(Settings!$C$11+Settings!$C$12+Settings!$C$14)+IF(C1569="",Settings!$C$13,IF(COUNTIF($C$5:C1569,C1569)=1,Settings!$C$13,0))+E1569*Settings!$C$15+IF(H1569="Yes",J1569*Settings!$C$16,0))</f>
        <v/>
      </c>
      <c r="L1569" s="21">
        <f>IF(B1569="","",IF(Settings!$C$5="Yes",0,K1569*Settings!$C$17))</f>
        <v/>
      </c>
      <c r="M1569" s="21">
        <f>IF(B1569="","",E1569*IFERROR(VLOOKUP(D1569,Products!$B$5:$F$204,5,FALSE),0))</f>
        <v/>
      </c>
      <c r="N1569" s="21">
        <f>IF(B1569="","",J1569-K1569-L1569-M1569-I1569)</f>
        <v/>
      </c>
    </row>
    <row r="1570">
      <c r="B1570" s="11" t="n"/>
      <c r="C1570" s="8" t="n"/>
      <c r="D1570" s="8" t="n"/>
      <c r="E1570" s="8" t="n"/>
      <c r="F1570" s="20" t="n"/>
      <c r="G1570" s="20" t="n"/>
      <c r="H1570" s="8" t="n"/>
      <c r="I1570" s="20" t="n"/>
      <c r="J1570" s="21">
        <f>IF(B1570="","",F1570+G1570)</f>
        <v/>
      </c>
      <c r="K1570" s="21">
        <f>IF(B1570="","",J1570*(Settings!$C$11+Settings!$C$12+Settings!$C$14)+IF(C1570="",Settings!$C$13,IF(COUNTIF($C$5:C1570,C1570)=1,Settings!$C$13,0))+E1570*Settings!$C$15+IF(H1570="Yes",J1570*Settings!$C$16,0))</f>
        <v/>
      </c>
      <c r="L1570" s="21">
        <f>IF(B1570="","",IF(Settings!$C$5="Yes",0,K1570*Settings!$C$17))</f>
        <v/>
      </c>
      <c r="M1570" s="21">
        <f>IF(B1570="","",E1570*IFERROR(VLOOKUP(D1570,Products!$B$5:$F$204,5,FALSE),0))</f>
        <v/>
      </c>
      <c r="N1570" s="21">
        <f>IF(B1570="","",J1570-K1570-L1570-M1570-I1570)</f>
        <v/>
      </c>
    </row>
    <row r="1571">
      <c r="B1571" s="11" t="n"/>
      <c r="C1571" s="8" t="n"/>
      <c r="D1571" s="8" t="n"/>
      <c r="E1571" s="8" t="n"/>
      <c r="F1571" s="20" t="n"/>
      <c r="G1571" s="20" t="n"/>
      <c r="H1571" s="8" t="n"/>
      <c r="I1571" s="20" t="n"/>
      <c r="J1571" s="21">
        <f>IF(B1571="","",F1571+G1571)</f>
        <v/>
      </c>
      <c r="K1571" s="21">
        <f>IF(B1571="","",J1571*(Settings!$C$11+Settings!$C$12+Settings!$C$14)+IF(C1571="",Settings!$C$13,IF(COUNTIF($C$5:C1571,C1571)=1,Settings!$C$13,0))+E1571*Settings!$C$15+IF(H1571="Yes",J1571*Settings!$C$16,0))</f>
        <v/>
      </c>
      <c r="L1571" s="21">
        <f>IF(B1571="","",IF(Settings!$C$5="Yes",0,K1571*Settings!$C$17))</f>
        <v/>
      </c>
      <c r="M1571" s="21">
        <f>IF(B1571="","",E1571*IFERROR(VLOOKUP(D1571,Products!$B$5:$F$204,5,FALSE),0))</f>
        <v/>
      </c>
      <c r="N1571" s="21">
        <f>IF(B1571="","",J1571-K1571-L1571-M1571-I1571)</f>
        <v/>
      </c>
    </row>
    <row r="1572">
      <c r="B1572" s="11" t="n"/>
      <c r="C1572" s="8" t="n"/>
      <c r="D1572" s="8" t="n"/>
      <c r="E1572" s="8" t="n"/>
      <c r="F1572" s="20" t="n"/>
      <c r="G1572" s="20" t="n"/>
      <c r="H1572" s="8" t="n"/>
      <c r="I1572" s="20" t="n"/>
      <c r="J1572" s="21">
        <f>IF(B1572="","",F1572+G1572)</f>
        <v/>
      </c>
      <c r="K1572" s="21">
        <f>IF(B1572="","",J1572*(Settings!$C$11+Settings!$C$12+Settings!$C$14)+IF(C1572="",Settings!$C$13,IF(COUNTIF($C$5:C1572,C1572)=1,Settings!$C$13,0))+E1572*Settings!$C$15+IF(H1572="Yes",J1572*Settings!$C$16,0))</f>
        <v/>
      </c>
      <c r="L1572" s="21">
        <f>IF(B1572="","",IF(Settings!$C$5="Yes",0,K1572*Settings!$C$17))</f>
        <v/>
      </c>
      <c r="M1572" s="21">
        <f>IF(B1572="","",E1572*IFERROR(VLOOKUP(D1572,Products!$B$5:$F$204,5,FALSE),0))</f>
        <v/>
      </c>
      <c r="N1572" s="21">
        <f>IF(B1572="","",J1572-K1572-L1572-M1572-I1572)</f>
        <v/>
      </c>
    </row>
    <row r="1573">
      <c r="B1573" s="11" t="n"/>
      <c r="C1573" s="8" t="n"/>
      <c r="D1573" s="8" t="n"/>
      <c r="E1573" s="8" t="n"/>
      <c r="F1573" s="20" t="n"/>
      <c r="G1573" s="20" t="n"/>
      <c r="H1573" s="8" t="n"/>
      <c r="I1573" s="20" t="n"/>
      <c r="J1573" s="21">
        <f>IF(B1573="","",F1573+G1573)</f>
        <v/>
      </c>
      <c r="K1573" s="21">
        <f>IF(B1573="","",J1573*(Settings!$C$11+Settings!$C$12+Settings!$C$14)+IF(C1573="",Settings!$C$13,IF(COUNTIF($C$5:C1573,C1573)=1,Settings!$C$13,0))+E1573*Settings!$C$15+IF(H1573="Yes",J1573*Settings!$C$16,0))</f>
        <v/>
      </c>
      <c r="L1573" s="21">
        <f>IF(B1573="","",IF(Settings!$C$5="Yes",0,K1573*Settings!$C$17))</f>
        <v/>
      </c>
      <c r="M1573" s="21">
        <f>IF(B1573="","",E1573*IFERROR(VLOOKUP(D1573,Products!$B$5:$F$204,5,FALSE),0))</f>
        <v/>
      </c>
      <c r="N1573" s="21">
        <f>IF(B1573="","",J1573-K1573-L1573-M1573-I1573)</f>
        <v/>
      </c>
    </row>
    <row r="1574">
      <c r="B1574" s="11" t="n"/>
      <c r="C1574" s="8" t="n"/>
      <c r="D1574" s="8" t="n"/>
      <c r="E1574" s="8" t="n"/>
      <c r="F1574" s="20" t="n"/>
      <c r="G1574" s="20" t="n"/>
      <c r="H1574" s="8" t="n"/>
      <c r="I1574" s="20" t="n"/>
      <c r="J1574" s="21">
        <f>IF(B1574="","",F1574+G1574)</f>
        <v/>
      </c>
      <c r="K1574" s="21">
        <f>IF(B1574="","",J1574*(Settings!$C$11+Settings!$C$12+Settings!$C$14)+IF(C1574="",Settings!$C$13,IF(COUNTIF($C$5:C1574,C1574)=1,Settings!$C$13,0))+E1574*Settings!$C$15+IF(H1574="Yes",J1574*Settings!$C$16,0))</f>
        <v/>
      </c>
      <c r="L1574" s="21">
        <f>IF(B1574="","",IF(Settings!$C$5="Yes",0,K1574*Settings!$C$17))</f>
        <v/>
      </c>
      <c r="M1574" s="21">
        <f>IF(B1574="","",E1574*IFERROR(VLOOKUP(D1574,Products!$B$5:$F$204,5,FALSE),0))</f>
        <v/>
      </c>
      <c r="N1574" s="21">
        <f>IF(B1574="","",J1574-K1574-L1574-M1574-I1574)</f>
        <v/>
      </c>
    </row>
    <row r="1575">
      <c r="B1575" s="11" t="n"/>
      <c r="C1575" s="8" t="n"/>
      <c r="D1575" s="8" t="n"/>
      <c r="E1575" s="8" t="n"/>
      <c r="F1575" s="20" t="n"/>
      <c r="G1575" s="20" t="n"/>
      <c r="H1575" s="8" t="n"/>
      <c r="I1575" s="20" t="n"/>
      <c r="J1575" s="21">
        <f>IF(B1575="","",F1575+G1575)</f>
        <v/>
      </c>
      <c r="K1575" s="21">
        <f>IF(B1575="","",J1575*(Settings!$C$11+Settings!$C$12+Settings!$C$14)+IF(C1575="",Settings!$C$13,IF(COUNTIF($C$5:C1575,C1575)=1,Settings!$C$13,0))+E1575*Settings!$C$15+IF(H1575="Yes",J1575*Settings!$C$16,0))</f>
        <v/>
      </c>
      <c r="L1575" s="21">
        <f>IF(B1575="","",IF(Settings!$C$5="Yes",0,K1575*Settings!$C$17))</f>
        <v/>
      </c>
      <c r="M1575" s="21">
        <f>IF(B1575="","",E1575*IFERROR(VLOOKUP(D1575,Products!$B$5:$F$204,5,FALSE),0))</f>
        <v/>
      </c>
      <c r="N1575" s="21">
        <f>IF(B1575="","",J1575-K1575-L1575-M1575-I1575)</f>
        <v/>
      </c>
    </row>
    <row r="1576">
      <c r="B1576" s="11" t="n"/>
      <c r="C1576" s="8" t="n"/>
      <c r="D1576" s="8" t="n"/>
      <c r="E1576" s="8" t="n"/>
      <c r="F1576" s="20" t="n"/>
      <c r="G1576" s="20" t="n"/>
      <c r="H1576" s="8" t="n"/>
      <c r="I1576" s="20" t="n"/>
      <c r="J1576" s="21">
        <f>IF(B1576="","",F1576+G1576)</f>
        <v/>
      </c>
      <c r="K1576" s="21">
        <f>IF(B1576="","",J1576*(Settings!$C$11+Settings!$C$12+Settings!$C$14)+IF(C1576="",Settings!$C$13,IF(COUNTIF($C$5:C1576,C1576)=1,Settings!$C$13,0))+E1576*Settings!$C$15+IF(H1576="Yes",J1576*Settings!$C$16,0))</f>
        <v/>
      </c>
      <c r="L1576" s="21">
        <f>IF(B1576="","",IF(Settings!$C$5="Yes",0,K1576*Settings!$C$17))</f>
        <v/>
      </c>
      <c r="M1576" s="21">
        <f>IF(B1576="","",E1576*IFERROR(VLOOKUP(D1576,Products!$B$5:$F$204,5,FALSE),0))</f>
        <v/>
      </c>
      <c r="N1576" s="21">
        <f>IF(B1576="","",J1576-K1576-L1576-M1576-I1576)</f>
        <v/>
      </c>
    </row>
    <row r="1577">
      <c r="B1577" s="11" t="n"/>
      <c r="C1577" s="8" t="n"/>
      <c r="D1577" s="8" t="n"/>
      <c r="E1577" s="8" t="n"/>
      <c r="F1577" s="20" t="n"/>
      <c r="G1577" s="20" t="n"/>
      <c r="H1577" s="8" t="n"/>
      <c r="I1577" s="20" t="n"/>
      <c r="J1577" s="21">
        <f>IF(B1577="","",F1577+G1577)</f>
        <v/>
      </c>
      <c r="K1577" s="21">
        <f>IF(B1577="","",J1577*(Settings!$C$11+Settings!$C$12+Settings!$C$14)+IF(C1577="",Settings!$C$13,IF(COUNTIF($C$5:C1577,C1577)=1,Settings!$C$13,0))+E1577*Settings!$C$15+IF(H1577="Yes",J1577*Settings!$C$16,0))</f>
        <v/>
      </c>
      <c r="L1577" s="21">
        <f>IF(B1577="","",IF(Settings!$C$5="Yes",0,K1577*Settings!$C$17))</f>
        <v/>
      </c>
      <c r="M1577" s="21">
        <f>IF(B1577="","",E1577*IFERROR(VLOOKUP(D1577,Products!$B$5:$F$204,5,FALSE),0))</f>
        <v/>
      </c>
      <c r="N1577" s="21">
        <f>IF(B1577="","",J1577-K1577-L1577-M1577-I1577)</f>
        <v/>
      </c>
    </row>
    <row r="1578">
      <c r="B1578" s="11" t="n"/>
      <c r="C1578" s="8" t="n"/>
      <c r="D1578" s="8" t="n"/>
      <c r="E1578" s="8" t="n"/>
      <c r="F1578" s="20" t="n"/>
      <c r="G1578" s="20" t="n"/>
      <c r="H1578" s="8" t="n"/>
      <c r="I1578" s="20" t="n"/>
      <c r="J1578" s="21">
        <f>IF(B1578="","",F1578+G1578)</f>
        <v/>
      </c>
      <c r="K1578" s="21">
        <f>IF(B1578="","",J1578*(Settings!$C$11+Settings!$C$12+Settings!$C$14)+IF(C1578="",Settings!$C$13,IF(COUNTIF($C$5:C1578,C1578)=1,Settings!$C$13,0))+E1578*Settings!$C$15+IF(H1578="Yes",J1578*Settings!$C$16,0))</f>
        <v/>
      </c>
      <c r="L1578" s="21">
        <f>IF(B1578="","",IF(Settings!$C$5="Yes",0,K1578*Settings!$C$17))</f>
        <v/>
      </c>
      <c r="M1578" s="21">
        <f>IF(B1578="","",E1578*IFERROR(VLOOKUP(D1578,Products!$B$5:$F$204,5,FALSE),0))</f>
        <v/>
      </c>
      <c r="N1578" s="21">
        <f>IF(B1578="","",J1578-K1578-L1578-M1578-I1578)</f>
        <v/>
      </c>
    </row>
    <row r="1579">
      <c r="B1579" s="11" t="n"/>
      <c r="C1579" s="8" t="n"/>
      <c r="D1579" s="8" t="n"/>
      <c r="E1579" s="8" t="n"/>
      <c r="F1579" s="20" t="n"/>
      <c r="G1579" s="20" t="n"/>
      <c r="H1579" s="8" t="n"/>
      <c r="I1579" s="20" t="n"/>
      <c r="J1579" s="21">
        <f>IF(B1579="","",F1579+G1579)</f>
        <v/>
      </c>
      <c r="K1579" s="21">
        <f>IF(B1579="","",J1579*(Settings!$C$11+Settings!$C$12+Settings!$C$14)+IF(C1579="",Settings!$C$13,IF(COUNTIF($C$5:C1579,C1579)=1,Settings!$C$13,0))+E1579*Settings!$C$15+IF(H1579="Yes",J1579*Settings!$C$16,0))</f>
        <v/>
      </c>
      <c r="L1579" s="21">
        <f>IF(B1579="","",IF(Settings!$C$5="Yes",0,K1579*Settings!$C$17))</f>
        <v/>
      </c>
      <c r="M1579" s="21">
        <f>IF(B1579="","",E1579*IFERROR(VLOOKUP(D1579,Products!$B$5:$F$204,5,FALSE),0))</f>
        <v/>
      </c>
      <c r="N1579" s="21">
        <f>IF(B1579="","",J1579-K1579-L1579-M1579-I1579)</f>
        <v/>
      </c>
    </row>
    <row r="1580">
      <c r="B1580" s="11" t="n"/>
      <c r="C1580" s="8" t="n"/>
      <c r="D1580" s="8" t="n"/>
      <c r="E1580" s="8" t="n"/>
      <c r="F1580" s="20" t="n"/>
      <c r="G1580" s="20" t="n"/>
      <c r="H1580" s="8" t="n"/>
      <c r="I1580" s="20" t="n"/>
      <c r="J1580" s="21">
        <f>IF(B1580="","",F1580+G1580)</f>
        <v/>
      </c>
      <c r="K1580" s="21">
        <f>IF(B1580="","",J1580*(Settings!$C$11+Settings!$C$12+Settings!$C$14)+IF(C1580="",Settings!$C$13,IF(COUNTIF($C$5:C1580,C1580)=1,Settings!$C$13,0))+E1580*Settings!$C$15+IF(H1580="Yes",J1580*Settings!$C$16,0))</f>
        <v/>
      </c>
      <c r="L1580" s="21">
        <f>IF(B1580="","",IF(Settings!$C$5="Yes",0,K1580*Settings!$C$17))</f>
        <v/>
      </c>
      <c r="M1580" s="21">
        <f>IF(B1580="","",E1580*IFERROR(VLOOKUP(D1580,Products!$B$5:$F$204,5,FALSE),0))</f>
        <v/>
      </c>
      <c r="N1580" s="21">
        <f>IF(B1580="","",J1580-K1580-L1580-M1580-I1580)</f>
        <v/>
      </c>
    </row>
    <row r="1581">
      <c r="B1581" s="11" t="n"/>
      <c r="C1581" s="8" t="n"/>
      <c r="D1581" s="8" t="n"/>
      <c r="E1581" s="8" t="n"/>
      <c r="F1581" s="20" t="n"/>
      <c r="G1581" s="20" t="n"/>
      <c r="H1581" s="8" t="n"/>
      <c r="I1581" s="20" t="n"/>
      <c r="J1581" s="21">
        <f>IF(B1581="","",F1581+G1581)</f>
        <v/>
      </c>
      <c r="K1581" s="21">
        <f>IF(B1581="","",J1581*(Settings!$C$11+Settings!$C$12+Settings!$C$14)+IF(C1581="",Settings!$C$13,IF(COUNTIF($C$5:C1581,C1581)=1,Settings!$C$13,0))+E1581*Settings!$C$15+IF(H1581="Yes",J1581*Settings!$C$16,0))</f>
        <v/>
      </c>
      <c r="L1581" s="21">
        <f>IF(B1581="","",IF(Settings!$C$5="Yes",0,K1581*Settings!$C$17))</f>
        <v/>
      </c>
      <c r="M1581" s="21">
        <f>IF(B1581="","",E1581*IFERROR(VLOOKUP(D1581,Products!$B$5:$F$204,5,FALSE),0))</f>
        <v/>
      </c>
      <c r="N1581" s="21">
        <f>IF(B1581="","",J1581-K1581-L1581-M1581-I1581)</f>
        <v/>
      </c>
    </row>
    <row r="1582">
      <c r="B1582" s="11" t="n"/>
      <c r="C1582" s="8" t="n"/>
      <c r="D1582" s="8" t="n"/>
      <c r="E1582" s="8" t="n"/>
      <c r="F1582" s="20" t="n"/>
      <c r="G1582" s="20" t="n"/>
      <c r="H1582" s="8" t="n"/>
      <c r="I1582" s="20" t="n"/>
      <c r="J1582" s="21">
        <f>IF(B1582="","",F1582+G1582)</f>
        <v/>
      </c>
      <c r="K1582" s="21">
        <f>IF(B1582="","",J1582*(Settings!$C$11+Settings!$C$12+Settings!$C$14)+IF(C1582="",Settings!$C$13,IF(COUNTIF($C$5:C1582,C1582)=1,Settings!$C$13,0))+E1582*Settings!$C$15+IF(H1582="Yes",J1582*Settings!$C$16,0))</f>
        <v/>
      </c>
      <c r="L1582" s="21">
        <f>IF(B1582="","",IF(Settings!$C$5="Yes",0,K1582*Settings!$C$17))</f>
        <v/>
      </c>
      <c r="M1582" s="21">
        <f>IF(B1582="","",E1582*IFERROR(VLOOKUP(D1582,Products!$B$5:$F$204,5,FALSE),0))</f>
        <v/>
      </c>
      <c r="N1582" s="21">
        <f>IF(B1582="","",J1582-K1582-L1582-M1582-I1582)</f>
        <v/>
      </c>
    </row>
    <row r="1583">
      <c r="B1583" s="11" t="n"/>
      <c r="C1583" s="8" t="n"/>
      <c r="D1583" s="8" t="n"/>
      <c r="E1583" s="8" t="n"/>
      <c r="F1583" s="20" t="n"/>
      <c r="G1583" s="20" t="n"/>
      <c r="H1583" s="8" t="n"/>
      <c r="I1583" s="20" t="n"/>
      <c r="J1583" s="21">
        <f>IF(B1583="","",F1583+G1583)</f>
        <v/>
      </c>
      <c r="K1583" s="21">
        <f>IF(B1583="","",J1583*(Settings!$C$11+Settings!$C$12+Settings!$C$14)+IF(C1583="",Settings!$C$13,IF(COUNTIF($C$5:C1583,C1583)=1,Settings!$C$13,0))+E1583*Settings!$C$15+IF(H1583="Yes",J1583*Settings!$C$16,0))</f>
        <v/>
      </c>
      <c r="L1583" s="21">
        <f>IF(B1583="","",IF(Settings!$C$5="Yes",0,K1583*Settings!$C$17))</f>
        <v/>
      </c>
      <c r="M1583" s="21">
        <f>IF(B1583="","",E1583*IFERROR(VLOOKUP(D1583,Products!$B$5:$F$204,5,FALSE),0))</f>
        <v/>
      </c>
      <c r="N1583" s="21">
        <f>IF(B1583="","",J1583-K1583-L1583-M1583-I1583)</f>
        <v/>
      </c>
    </row>
    <row r="1584">
      <c r="B1584" s="11" t="n"/>
      <c r="C1584" s="8" t="n"/>
      <c r="D1584" s="8" t="n"/>
      <c r="E1584" s="8" t="n"/>
      <c r="F1584" s="20" t="n"/>
      <c r="G1584" s="20" t="n"/>
      <c r="H1584" s="8" t="n"/>
      <c r="I1584" s="20" t="n"/>
      <c r="J1584" s="21">
        <f>IF(B1584="","",F1584+G1584)</f>
        <v/>
      </c>
      <c r="K1584" s="21">
        <f>IF(B1584="","",J1584*(Settings!$C$11+Settings!$C$12+Settings!$C$14)+IF(C1584="",Settings!$C$13,IF(COUNTIF($C$5:C1584,C1584)=1,Settings!$C$13,0))+E1584*Settings!$C$15+IF(H1584="Yes",J1584*Settings!$C$16,0))</f>
        <v/>
      </c>
      <c r="L1584" s="21">
        <f>IF(B1584="","",IF(Settings!$C$5="Yes",0,K1584*Settings!$C$17))</f>
        <v/>
      </c>
      <c r="M1584" s="21">
        <f>IF(B1584="","",E1584*IFERROR(VLOOKUP(D1584,Products!$B$5:$F$204,5,FALSE),0))</f>
        <v/>
      </c>
      <c r="N1584" s="21">
        <f>IF(B1584="","",J1584-K1584-L1584-M1584-I1584)</f>
        <v/>
      </c>
    </row>
    <row r="1585">
      <c r="B1585" s="11" t="n"/>
      <c r="C1585" s="8" t="n"/>
      <c r="D1585" s="8" t="n"/>
      <c r="E1585" s="8" t="n"/>
      <c r="F1585" s="20" t="n"/>
      <c r="G1585" s="20" t="n"/>
      <c r="H1585" s="8" t="n"/>
      <c r="I1585" s="20" t="n"/>
      <c r="J1585" s="21">
        <f>IF(B1585="","",F1585+G1585)</f>
        <v/>
      </c>
      <c r="K1585" s="21">
        <f>IF(B1585="","",J1585*(Settings!$C$11+Settings!$C$12+Settings!$C$14)+IF(C1585="",Settings!$C$13,IF(COUNTIF($C$5:C1585,C1585)=1,Settings!$C$13,0))+E1585*Settings!$C$15+IF(H1585="Yes",J1585*Settings!$C$16,0))</f>
        <v/>
      </c>
      <c r="L1585" s="21">
        <f>IF(B1585="","",IF(Settings!$C$5="Yes",0,K1585*Settings!$C$17))</f>
        <v/>
      </c>
      <c r="M1585" s="21">
        <f>IF(B1585="","",E1585*IFERROR(VLOOKUP(D1585,Products!$B$5:$F$204,5,FALSE),0))</f>
        <v/>
      </c>
      <c r="N1585" s="21">
        <f>IF(B1585="","",J1585-K1585-L1585-M1585-I1585)</f>
        <v/>
      </c>
    </row>
    <row r="1586">
      <c r="B1586" s="11" t="n"/>
      <c r="C1586" s="8" t="n"/>
      <c r="D1586" s="8" t="n"/>
      <c r="E1586" s="8" t="n"/>
      <c r="F1586" s="20" t="n"/>
      <c r="G1586" s="20" t="n"/>
      <c r="H1586" s="8" t="n"/>
      <c r="I1586" s="20" t="n"/>
      <c r="J1586" s="21">
        <f>IF(B1586="","",F1586+G1586)</f>
        <v/>
      </c>
      <c r="K1586" s="21">
        <f>IF(B1586="","",J1586*(Settings!$C$11+Settings!$C$12+Settings!$C$14)+IF(C1586="",Settings!$C$13,IF(COUNTIF($C$5:C1586,C1586)=1,Settings!$C$13,0))+E1586*Settings!$C$15+IF(H1586="Yes",J1586*Settings!$C$16,0))</f>
        <v/>
      </c>
      <c r="L1586" s="21">
        <f>IF(B1586="","",IF(Settings!$C$5="Yes",0,K1586*Settings!$C$17))</f>
        <v/>
      </c>
      <c r="M1586" s="21">
        <f>IF(B1586="","",E1586*IFERROR(VLOOKUP(D1586,Products!$B$5:$F$204,5,FALSE),0))</f>
        <v/>
      </c>
      <c r="N1586" s="21">
        <f>IF(B1586="","",J1586-K1586-L1586-M1586-I1586)</f>
        <v/>
      </c>
    </row>
    <row r="1587">
      <c r="B1587" s="11" t="n"/>
      <c r="C1587" s="8" t="n"/>
      <c r="D1587" s="8" t="n"/>
      <c r="E1587" s="8" t="n"/>
      <c r="F1587" s="20" t="n"/>
      <c r="G1587" s="20" t="n"/>
      <c r="H1587" s="8" t="n"/>
      <c r="I1587" s="20" t="n"/>
      <c r="J1587" s="21">
        <f>IF(B1587="","",F1587+G1587)</f>
        <v/>
      </c>
      <c r="K1587" s="21">
        <f>IF(B1587="","",J1587*(Settings!$C$11+Settings!$C$12+Settings!$C$14)+IF(C1587="",Settings!$C$13,IF(COUNTIF($C$5:C1587,C1587)=1,Settings!$C$13,0))+E1587*Settings!$C$15+IF(H1587="Yes",J1587*Settings!$C$16,0))</f>
        <v/>
      </c>
      <c r="L1587" s="21">
        <f>IF(B1587="","",IF(Settings!$C$5="Yes",0,K1587*Settings!$C$17))</f>
        <v/>
      </c>
      <c r="M1587" s="21">
        <f>IF(B1587="","",E1587*IFERROR(VLOOKUP(D1587,Products!$B$5:$F$204,5,FALSE),0))</f>
        <v/>
      </c>
      <c r="N1587" s="21">
        <f>IF(B1587="","",J1587-K1587-L1587-M1587-I1587)</f>
        <v/>
      </c>
    </row>
    <row r="1588">
      <c r="B1588" s="11" t="n"/>
      <c r="C1588" s="8" t="n"/>
      <c r="D1588" s="8" t="n"/>
      <c r="E1588" s="8" t="n"/>
      <c r="F1588" s="20" t="n"/>
      <c r="G1588" s="20" t="n"/>
      <c r="H1588" s="8" t="n"/>
      <c r="I1588" s="20" t="n"/>
      <c r="J1588" s="21">
        <f>IF(B1588="","",F1588+G1588)</f>
        <v/>
      </c>
      <c r="K1588" s="21">
        <f>IF(B1588="","",J1588*(Settings!$C$11+Settings!$C$12+Settings!$C$14)+IF(C1588="",Settings!$C$13,IF(COUNTIF($C$5:C1588,C1588)=1,Settings!$C$13,0))+E1588*Settings!$C$15+IF(H1588="Yes",J1588*Settings!$C$16,0))</f>
        <v/>
      </c>
      <c r="L1588" s="21">
        <f>IF(B1588="","",IF(Settings!$C$5="Yes",0,K1588*Settings!$C$17))</f>
        <v/>
      </c>
      <c r="M1588" s="21">
        <f>IF(B1588="","",E1588*IFERROR(VLOOKUP(D1588,Products!$B$5:$F$204,5,FALSE),0))</f>
        <v/>
      </c>
      <c r="N1588" s="21">
        <f>IF(B1588="","",J1588-K1588-L1588-M1588-I1588)</f>
        <v/>
      </c>
    </row>
    <row r="1589">
      <c r="B1589" s="11" t="n"/>
      <c r="C1589" s="8" t="n"/>
      <c r="D1589" s="8" t="n"/>
      <c r="E1589" s="8" t="n"/>
      <c r="F1589" s="20" t="n"/>
      <c r="G1589" s="20" t="n"/>
      <c r="H1589" s="8" t="n"/>
      <c r="I1589" s="20" t="n"/>
      <c r="J1589" s="21">
        <f>IF(B1589="","",F1589+G1589)</f>
        <v/>
      </c>
      <c r="K1589" s="21">
        <f>IF(B1589="","",J1589*(Settings!$C$11+Settings!$C$12+Settings!$C$14)+IF(C1589="",Settings!$C$13,IF(COUNTIF($C$5:C1589,C1589)=1,Settings!$C$13,0))+E1589*Settings!$C$15+IF(H1589="Yes",J1589*Settings!$C$16,0))</f>
        <v/>
      </c>
      <c r="L1589" s="21">
        <f>IF(B1589="","",IF(Settings!$C$5="Yes",0,K1589*Settings!$C$17))</f>
        <v/>
      </c>
      <c r="M1589" s="21">
        <f>IF(B1589="","",E1589*IFERROR(VLOOKUP(D1589,Products!$B$5:$F$204,5,FALSE),0))</f>
        <v/>
      </c>
      <c r="N1589" s="21">
        <f>IF(B1589="","",J1589-K1589-L1589-M1589-I1589)</f>
        <v/>
      </c>
    </row>
    <row r="1590">
      <c r="B1590" s="11" t="n"/>
      <c r="C1590" s="8" t="n"/>
      <c r="D1590" s="8" t="n"/>
      <c r="E1590" s="8" t="n"/>
      <c r="F1590" s="20" t="n"/>
      <c r="G1590" s="20" t="n"/>
      <c r="H1590" s="8" t="n"/>
      <c r="I1590" s="20" t="n"/>
      <c r="J1590" s="21">
        <f>IF(B1590="","",F1590+G1590)</f>
        <v/>
      </c>
      <c r="K1590" s="21">
        <f>IF(B1590="","",J1590*(Settings!$C$11+Settings!$C$12+Settings!$C$14)+IF(C1590="",Settings!$C$13,IF(COUNTIF($C$5:C1590,C1590)=1,Settings!$C$13,0))+E1590*Settings!$C$15+IF(H1590="Yes",J1590*Settings!$C$16,0))</f>
        <v/>
      </c>
      <c r="L1590" s="21">
        <f>IF(B1590="","",IF(Settings!$C$5="Yes",0,K1590*Settings!$C$17))</f>
        <v/>
      </c>
      <c r="M1590" s="21">
        <f>IF(B1590="","",E1590*IFERROR(VLOOKUP(D1590,Products!$B$5:$F$204,5,FALSE),0))</f>
        <v/>
      </c>
      <c r="N1590" s="21">
        <f>IF(B1590="","",J1590-K1590-L1590-M1590-I1590)</f>
        <v/>
      </c>
    </row>
    <row r="1591">
      <c r="B1591" s="11" t="n"/>
      <c r="C1591" s="8" t="n"/>
      <c r="D1591" s="8" t="n"/>
      <c r="E1591" s="8" t="n"/>
      <c r="F1591" s="20" t="n"/>
      <c r="G1591" s="20" t="n"/>
      <c r="H1591" s="8" t="n"/>
      <c r="I1591" s="20" t="n"/>
      <c r="J1591" s="21">
        <f>IF(B1591="","",F1591+G1591)</f>
        <v/>
      </c>
      <c r="K1591" s="21">
        <f>IF(B1591="","",J1591*(Settings!$C$11+Settings!$C$12+Settings!$C$14)+IF(C1591="",Settings!$C$13,IF(COUNTIF($C$5:C1591,C1591)=1,Settings!$C$13,0))+E1591*Settings!$C$15+IF(H1591="Yes",J1591*Settings!$C$16,0))</f>
        <v/>
      </c>
      <c r="L1591" s="21">
        <f>IF(B1591="","",IF(Settings!$C$5="Yes",0,K1591*Settings!$C$17))</f>
        <v/>
      </c>
      <c r="M1591" s="21">
        <f>IF(B1591="","",E1591*IFERROR(VLOOKUP(D1591,Products!$B$5:$F$204,5,FALSE),0))</f>
        <v/>
      </c>
      <c r="N1591" s="21">
        <f>IF(B1591="","",J1591-K1591-L1591-M1591-I1591)</f>
        <v/>
      </c>
    </row>
    <row r="1592">
      <c r="B1592" s="11" t="n"/>
      <c r="C1592" s="8" t="n"/>
      <c r="D1592" s="8" t="n"/>
      <c r="E1592" s="8" t="n"/>
      <c r="F1592" s="20" t="n"/>
      <c r="G1592" s="20" t="n"/>
      <c r="H1592" s="8" t="n"/>
      <c r="I1592" s="20" t="n"/>
      <c r="J1592" s="21">
        <f>IF(B1592="","",F1592+G1592)</f>
        <v/>
      </c>
      <c r="K1592" s="21">
        <f>IF(B1592="","",J1592*(Settings!$C$11+Settings!$C$12+Settings!$C$14)+IF(C1592="",Settings!$C$13,IF(COUNTIF($C$5:C1592,C1592)=1,Settings!$C$13,0))+E1592*Settings!$C$15+IF(H1592="Yes",J1592*Settings!$C$16,0))</f>
        <v/>
      </c>
      <c r="L1592" s="21">
        <f>IF(B1592="","",IF(Settings!$C$5="Yes",0,K1592*Settings!$C$17))</f>
        <v/>
      </c>
      <c r="M1592" s="21">
        <f>IF(B1592="","",E1592*IFERROR(VLOOKUP(D1592,Products!$B$5:$F$204,5,FALSE),0))</f>
        <v/>
      </c>
      <c r="N1592" s="21">
        <f>IF(B1592="","",J1592-K1592-L1592-M1592-I1592)</f>
        <v/>
      </c>
    </row>
    <row r="1593">
      <c r="B1593" s="11" t="n"/>
      <c r="C1593" s="8" t="n"/>
      <c r="D1593" s="8" t="n"/>
      <c r="E1593" s="8" t="n"/>
      <c r="F1593" s="20" t="n"/>
      <c r="G1593" s="20" t="n"/>
      <c r="H1593" s="8" t="n"/>
      <c r="I1593" s="20" t="n"/>
      <c r="J1593" s="21">
        <f>IF(B1593="","",F1593+G1593)</f>
        <v/>
      </c>
      <c r="K1593" s="21">
        <f>IF(B1593="","",J1593*(Settings!$C$11+Settings!$C$12+Settings!$C$14)+IF(C1593="",Settings!$C$13,IF(COUNTIF($C$5:C1593,C1593)=1,Settings!$C$13,0))+E1593*Settings!$C$15+IF(H1593="Yes",J1593*Settings!$C$16,0))</f>
        <v/>
      </c>
      <c r="L1593" s="21">
        <f>IF(B1593="","",IF(Settings!$C$5="Yes",0,K1593*Settings!$C$17))</f>
        <v/>
      </c>
      <c r="M1593" s="21">
        <f>IF(B1593="","",E1593*IFERROR(VLOOKUP(D1593,Products!$B$5:$F$204,5,FALSE),0))</f>
        <v/>
      </c>
      <c r="N1593" s="21">
        <f>IF(B1593="","",J1593-K1593-L1593-M1593-I1593)</f>
        <v/>
      </c>
    </row>
    <row r="1594">
      <c r="B1594" s="11" t="n"/>
      <c r="C1594" s="8" t="n"/>
      <c r="D1594" s="8" t="n"/>
      <c r="E1594" s="8" t="n"/>
      <c r="F1594" s="20" t="n"/>
      <c r="G1594" s="20" t="n"/>
      <c r="H1594" s="8" t="n"/>
      <c r="I1594" s="20" t="n"/>
      <c r="J1594" s="21">
        <f>IF(B1594="","",F1594+G1594)</f>
        <v/>
      </c>
      <c r="K1594" s="21">
        <f>IF(B1594="","",J1594*(Settings!$C$11+Settings!$C$12+Settings!$C$14)+IF(C1594="",Settings!$C$13,IF(COUNTIF($C$5:C1594,C1594)=1,Settings!$C$13,0))+E1594*Settings!$C$15+IF(H1594="Yes",J1594*Settings!$C$16,0))</f>
        <v/>
      </c>
      <c r="L1594" s="21">
        <f>IF(B1594="","",IF(Settings!$C$5="Yes",0,K1594*Settings!$C$17))</f>
        <v/>
      </c>
      <c r="M1594" s="21">
        <f>IF(B1594="","",E1594*IFERROR(VLOOKUP(D1594,Products!$B$5:$F$204,5,FALSE),0))</f>
        <v/>
      </c>
      <c r="N1594" s="21">
        <f>IF(B1594="","",J1594-K1594-L1594-M1594-I1594)</f>
        <v/>
      </c>
    </row>
    <row r="1595">
      <c r="B1595" s="11" t="n"/>
      <c r="C1595" s="8" t="n"/>
      <c r="D1595" s="8" t="n"/>
      <c r="E1595" s="8" t="n"/>
      <c r="F1595" s="20" t="n"/>
      <c r="G1595" s="20" t="n"/>
      <c r="H1595" s="8" t="n"/>
      <c r="I1595" s="20" t="n"/>
      <c r="J1595" s="21">
        <f>IF(B1595="","",F1595+G1595)</f>
        <v/>
      </c>
      <c r="K1595" s="21">
        <f>IF(B1595="","",J1595*(Settings!$C$11+Settings!$C$12+Settings!$C$14)+IF(C1595="",Settings!$C$13,IF(COUNTIF($C$5:C1595,C1595)=1,Settings!$C$13,0))+E1595*Settings!$C$15+IF(H1595="Yes",J1595*Settings!$C$16,0))</f>
        <v/>
      </c>
      <c r="L1595" s="21">
        <f>IF(B1595="","",IF(Settings!$C$5="Yes",0,K1595*Settings!$C$17))</f>
        <v/>
      </c>
      <c r="M1595" s="21">
        <f>IF(B1595="","",E1595*IFERROR(VLOOKUP(D1595,Products!$B$5:$F$204,5,FALSE),0))</f>
        <v/>
      </c>
      <c r="N1595" s="21">
        <f>IF(B1595="","",J1595-K1595-L1595-M1595-I1595)</f>
        <v/>
      </c>
    </row>
    <row r="1596">
      <c r="B1596" s="11" t="n"/>
      <c r="C1596" s="8" t="n"/>
      <c r="D1596" s="8" t="n"/>
      <c r="E1596" s="8" t="n"/>
      <c r="F1596" s="20" t="n"/>
      <c r="G1596" s="20" t="n"/>
      <c r="H1596" s="8" t="n"/>
      <c r="I1596" s="20" t="n"/>
      <c r="J1596" s="21">
        <f>IF(B1596="","",F1596+G1596)</f>
        <v/>
      </c>
      <c r="K1596" s="21">
        <f>IF(B1596="","",J1596*(Settings!$C$11+Settings!$C$12+Settings!$C$14)+IF(C1596="",Settings!$C$13,IF(COUNTIF($C$5:C1596,C1596)=1,Settings!$C$13,0))+E1596*Settings!$C$15+IF(H1596="Yes",J1596*Settings!$C$16,0))</f>
        <v/>
      </c>
      <c r="L1596" s="21">
        <f>IF(B1596="","",IF(Settings!$C$5="Yes",0,K1596*Settings!$C$17))</f>
        <v/>
      </c>
      <c r="M1596" s="21">
        <f>IF(B1596="","",E1596*IFERROR(VLOOKUP(D1596,Products!$B$5:$F$204,5,FALSE),0))</f>
        <v/>
      </c>
      <c r="N1596" s="21">
        <f>IF(B1596="","",J1596-K1596-L1596-M1596-I1596)</f>
        <v/>
      </c>
    </row>
    <row r="1597">
      <c r="B1597" s="11" t="n"/>
      <c r="C1597" s="8" t="n"/>
      <c r="D1597" s="8" t="n"/>
      <c r="E1597" s="8" t="n"/>
      <c r="F1597" s="20" t="n"/>
      <c r="G1597" s="20" t="n"/>
      <c r="H1597" s="8" t="n"/>
      <c r="I1597" s="20" t="n"/>
      <c r="J1597" s="21">
        <f>IF(B1597="","",F1597+G1597)</f>
        <v/>
      </c>
      <c r="K1597" s="21">
        <f>IF(B1597="","",J1597*(Settings!$C$11+Settings!$C$12+Settings!$C$14)+IF(C1597="",Settings!$C$13,IF(COUNTIF($C$5:C1597,C1597)=1,Settings!$C$13,0))+E1597*Settings!$C$15+IF(H1597="Yes",J1597*Settings!$C$16,0))</f>
        <v/>
      </c>
      <c r="L1597" s="21">
        <f>IF(B1597="","",IF(Settings!$C$5="Yes",0,K1597*Settings!$C$17))</f>
        <v/>
      </c>
      <c r="M1597" s="21">
        <f>IF(B1597="","",E1597*IFERROR(VLOOKUP(D1597,Products!$B$5:$F$204,5,FALSE),0))</f>
        <v/>
      </c>
      <c r="N1597" s="21">
        <f>IF(B1597="","",J1597-K1597-L1597-M1597-I1597)</f>
        <v/>
      </c>
    </row>
    <row r="1598">
      <c r="B1598" s="11" t="n"/>
      <c r="C1598" s="8" t="n"/>
      <c r="D1598" s="8" t="n"/>
      <c r="E1598" s="8" t="n"/>
      <c r="F1598" s="20" t="n"/>
      <c r="G1598" s="20" t="n"/>
      <c r="H1598" s="8" t="n"/>
      <c r="I1598" s="20" t="n"/>
      <c r="J1598" s="21">
        <f>IF(B1598="","",F1598+G1598)</f>
        <v/>
      </c>
      <c r="K1598" s="21">
        <f>IF(B1598="","",J1598*(Settings!$C$11+Settings!$C$12+Settings!$C$14)+IF(C1598="",Settings!$C$13,IF(COUNTIF($C$5:C1598,C1598)=1,Settings!$C$13,0))+E1598*Settings!$C$15+IF(H1598="Yes",J1598*Settings!$C$16,0))</f>
        <v/>
      </c>
      <c r="L1598" s="21">
        <f>IF(B1598="","",IF(Settings!$C$5="Yes",0,K1598*Settings!$C$17))</f>
        <v/>
      </c>
      <c r="M1598" s="21">
        <f>IF(B1598="","",E1598*IFERROR(VLOOKUP(D1598,Products!$B$5:$F$204,5,FALSE),0))</f>
        <v/>
      </c>
      <c r="N1598" s="21">
        <f>IF(B1598="","",J1598-K1598-L1598-M1598-I1598)</f>
        <v/>
      </c>
    </row>
    <row r="1599">
      <c r="B1599" s="11" t="n"/>
      <c r="C1599" s="8" t="n"/>
      <c r="D1599" s="8" t="n"/>
      <c r="E1599" s="8" t="n"/>
      <c r="F1599" s="20" t="n"/>
      <c r="G1599" s="20" t="n"/>
      <c r="H1599" s="8" t="n"/>
      <c r="I1599" s="20" t="n"/>
      <c r="J1599" s="21">
        <f>IF(B1599="","",F1599+G1599)</f>
        <v/>
      </c>
      <c r="K1599" s="21">
        <f>IF(B1599="","",J1599*(Settings!$C$11+Settings!$C$12+Settings!$C$14)+IF(C1599="",Settings!$C$13,IF(COUNTIF($C$5:C1599,C1599)=1,Settings!$C$13,0))+E1599*Settings!$C$15+IF(H1599="Yes",J1599*Settings!$C$16,0))</f>
        <v/>
      </c>
      <c r="L1599" s="21">
        <f>IF(B1599="","",IF(Settings!$C$5="Yes",0,K1599*Settings!$C$17))</f>
        <v/>
      </c>
      <c r="M1599" s="21">
        <f>IF(B1599="","",E1599*IFERROR(VLOOKUP(D1599,Products!$B$5:$F$204,5,FALSE),0))</f>
        <v/>
      </c>
      <c r="N1599" s="21">
        <f>IF(B1599="","",J1599-K1599-L1599-M1599-I1599)</f>
        <v/>
      </c>
    </row>
    <row r="1600">
      <c r="B1600" s="11" t="n"/>
      <c r="C1600" s="8" t="n"/>
      <c r="D1600" s="8" t="n"/>
      <c r="E1600" s="8" t="n"/>
      <c r="F1600" s="20" t="n"/>
      <c r="G1600" s="20" t="n"/>
      <c r="H1600" s="8" t="n"/>
      <c r="I1600" s="20" t="n"/>
      <c r="J1600" s="21">
        <f>IF(B1600="","",F1600+G1600)</f>
        <v/>
      </c>
      <c r="K1600" s="21">
        <f>IF(B1600="","",J1600*(Settings!$C$11+Settings!$C$12+Settings!$C$14)+IF(C1600="",Settings!$C$13,IF(COUNTIF($C$5:C1600,C1600)=1,Settings!$C$13,0))+E1600*Settings!$C$15+IF(H1600="Yes",J1600*Settings!$C$16,0))</f>
        <v/>
      </c>
      <c r="L1600" s="21">
        <f>IF(B1600="","",IF(Settings!$C$5="Yes",0,K1600*Settings!$C$17))</f>
        <v/>
      </c>
      <c r="M1600" s="21">
        <f>IF(B1600="","",E1600*IFERROR(VLOOKUP(D1600,Products!$B$5:$F$204,5,FALSE),0))</f>
        <v/>
      </c>
      <c r="N1600" s="21">
        <f>IF(B1600="","",J1600-K1600-L1600-M1600-I1600)</f>
        <v/>
      </c>
    </row>
    <row r="1601">
      <c r="B1601" s="11" t="n"/>
      <c r="C1601" s="8" t="n"/>
      <c r="D1601" s="8" t="n"/>
      <c r="E1601" s="8" t="n"/>
      <c r="F1601" s="20" t="n"/>
      <c r="G1601" s="20" t="n"/>
      <c r="H1601" s="8" t="n"/>
      <c r="I1601" s="20" t="n"/>
      <c r="J1601" s="21">
        <f>IF(B1601="","",F1601+G1601)</f>
        <v/>
      </c>
      <c r="K1601" s="21">
        <f>IF(B1601="","",J1601*(Settings!$C$11+Settings!$C$12+Settings!$C$14)+IF(C1601="",Settings!$C$13,IF(COUNTIF($C$5:C1601,C1601)=1,Settings!$C$13,0))+E1601*Settings!$C$15+IF(H1601="Yes",J1601*Settings!$C$16,0))</f>
        <v/>
      </c>
      <c r="L1601" s="21">
        <f>IF(B1601="","",IF(Settings!$C$5="Yes",0,K1601*Settings!$C$17))</f>
        <v/>
      </c>
      <c r="M1601" s="21">
        <f>IF(B1601="","",E1601*IFERROR(VLOOKUP(D1601,Products!$B$5:$F$204,5,FALSE),0))</f>
        <v/>
      </c>
      <c r="N1601" s="21">
        <f>IF(B1601="","",J1601-K1601-L1601-M1601-I1601)</f>
        <v/>
      </c>
    </row>
    <row r="1602">
      <c r="B1602" s="11" t="n"/>
      <c r="C1602" s="8" t="n"/>
      <c r="D1602" s="8" t="n"/>
      <c r="E1602" s="8" t="n"/>
      <c r="F1602" s="20" t="n"/>
      <c r="G1602" s="20" t="n"/>
      <c r="H1602" s="8" t="n"/>
      <c r="I1602" s="20" t="n"/>
      <c r="J1602" s="21">
        <f>IF(B1602="","",F1602+G1602)</f>
        <v/>
      </c>
      <c r="K1602" s="21">
        <f>IF(B1602="","",J1602*(Settings!$C$11+Settings!$C$12+Settings!$C$14)+IF(C1602="",Settings!$C$13,IF(COUNTIF($C$5:C1602,C1602)=1,Settings!$C$13,0))+E1602*Settings!$C$15+IF(H1602="Yes",J1602*Settings!$C$16,0))</f>
        <v/>
      </c>
      <c r="L1602" s="21">
        <f>IF(B1602="","",IF(Settings!$C$5="Yes",0,K1602*Settings!$C$17))</f>
        <v/>
      </c>
      <c r="M1602" s="21">
        <f>IF(B1602="","",E1602*IFERROR(VLOOKUP(D1602,Products!$B$5:$F$204,5,FALSE),0))</f>
        <v/>
      </c>
      <c r="N1602" s="21">
        <f>IF(B1602="","",J1602-K1602-L1602-M1602-I1602)</f>
        <v/>
      </c>
    </row>
    <row r="1603">
      <c r="B1603" s="11" t="n"/>
      <c r="C1603" s="8" t="n"/>
      <c r="D1603" s="8" t="n"/>
      <c r="E1603" s="8" t="n"/>
      <c r="F1603" s="20" t="n"/>
      <c r="G1603" s="20" t="n"/>
      <c r="H1603" s="8" t="n"/>
      <c r="I1603" s="20" t="n"/>
      <c r="J1603" s="21">
        <f>IF(B1603="","",F1603+G1603)</f>
        <v/>
      </c>
      <c r="K1603" s="21">
        <f>IF(B1603="","",J1603*(Settings!$C$11+Settings!$C$12+Settings!$C$14)+IF(C1603="",Settings!$C$13,IF(COUNTIF($C$5:C1603,C1603)=1,Settings!$C$13,0))+E1603*Settings!$C$15+IF(H1603="Yes",J1603*Settings!$C$16,0))</f>
        <v/>
      </c>
      <c r="L1603" s="21">
        <f>IF(B1603="","",IF(Settings!$C$5="Yes",0,K1603*Settings!$C$17))</f>
        <v/>
      </c>
      <c r="M1603" s="21">
        <f>IF(B1603="","",E1603*IFERROR(VLOOKUP(D1603,Products!$B$5:$F$204,5,FALSE),0))</f>
        <v/>
      </c>
      <c r="N1603" s="21">
        <f>IF(B1603="","",J1603-K1603-L1603-M1603-I1603)</f>
        <v/>
      </c>
    </row>
    <row r="1604">
      <c r="B1604" s="11" t="n"/>
      <c r="C1604" s="8" t="n"/>
      <c r="D1604" s="8" t="n"/>
      <c r="E1604" s="8" t="n"/>
      <c r="F1604" s="20" t="n"/>
      <c r="G1604" s="20" t="n"/>
      <c r="H1604" s="8" t="n"/>
      <c r="I1604" s="20" t="n"/>
      <c r="J1604" s="21">
        <f>IF(B1604="","",F1604+G1604)</f>
        <v/>
      </c>
      <c r="K1604" s="21">
        <f>IF(B1604="","",J1604*(Settings!$C$11+Settings!$C$12+Settings!$C$14)+IF(C1604="",Settings!$C$13,IF(COUNTIF($C$5:C1604,C1604)=1,Settings!$C$13,0))+E1604*Settings!$C$15+IF(H1604="Yes",J1604*Settings!$C$16,0))</f>
        <v/>
      </c>
      <c r="L1604" s="21">
        <f>IF(B1604="","",IF(Settings!$C$5="Yes",0,K1604*Settings!$C$17))</f>
        <v/>
      </c>
      <c r="M1604" s="21">
        <f>IF(B1604="","",E1604*IFERROR(VLOOKUP(D1604,Products!$B$5:$F$204,5,FALSE),0))</f>
        <v/>
      </c>
      <c r="N1604" s="21">
        <f>IF(B1604="","",J1604-K1604-L1604-M1604-I1604)</f>
        <v/>
      </c>
    </row>
    <row r="1605">
      <c r="B1605" s="11" t="n"/>
      <c r="C1605" s="8" t="n"/>
      <c r="D1605" s="8" t="n"/>
      <c r="E1605" s="8" t="n"/>
      <c r="F1605" s="20" t="n"/>
      <c r="G1605" s="20" t="n"/>
      <c r="H1605" s="8" t="n"/>
      <c r="I1605" s="20" t="n"/>
      <c r="J1605" s="21">
        <f>IF(B1605="","",F1605+G1605)</f>
        <v/>
      </c>
      <c r="K1605" s="21">
        <f>IF(B1605="","",J1605*(Settings!$C$11+Settings!$C$12+Settings!$C$14)+IF(C1605="",Settings!$C$13,IF(COUNTIF($C$5:C1605,C1605)=1,Settings!$C$13,0))+E1605*Settings!$C$15+IF(H1605="Yes",J1605*Settings!$C$16,0))</f>
        <v/>
      </c>
      <c r="L1605" s="21">
        <f>IF(B1605="","",IF(Settings!$C$5="Yes",0,K1605*Settings!$C$17))</f>
        <v/>
      </c>
      <c r="M1605" s="21">
        <f>IF(B1605="","",E1605*IFERROR(VLOOKUP(D1605,Products!$B$5:$F$204,5,FALSE),0))</f>
        <v/>
      </c>
      <c r="N1605" s="21">
        <f>IF(B1605="","",J1605-K1605-L1605-M1605-I1605)</f>
        <v/>
      </c>
    </row>
    <row r="1606">
      <c r="B1606" s="11" t="n"/>
      <c r="C1606" s="8" t="n"/>
      <c r="D1606" s="8" t="n"/>
      <c r="E1606" s="8" t="n"/>
      <c r="F1606" s="20" t="n"/>
      <c r="G1606" s="20" t="n"/>
      <c r="H1606" s="8" t="n"/>
      <c r="I1606" s="20" t="n"/>
      <c r="J1606" s="21">
        <f>IF(B1606="","",F1606+G1606)</f>
        <v/>
      </c>
      <c r="K1606" s="21">
        <f>IF(B1606="","",J1606*(Settings!$C$11+Settings!$C$12+Settings!$C$14)+IF(C1606="",Settings!$C$13,IF(COUNTIF($C$5:C1606,C1606)=1,Settings!$C$13,0))+E1606*Settings!$C$15+IF(H1606="Yes",J1606*Settings!$C$16,0))</f>
        <v/>
      </c>
      <c r="L1606" s="21">
        <f>IF(B1606="","",IF(Settings!$C$5="Yes",0,K1606*Settings!$C$17))</f>
        <v/>
      </c>
      <c r="M1606" s="21">
        <f>IF(B1606="","",E1606*IFERROR(VLOOKUP(D1606,Products!$B$5:$F$204,5,FALSE),0))</f>
        <v/>
      </c>
      <c r="N1606" s="21">
        <f>IF(B1606="","",J1606-K1606-L1606-M1606-I1606)</f>
        <v/>
      </c>
    </row>
    <row r="1607">
      <c r="B1607" s="11" t="n"/>
      <c r="C1607" s="8" t="n"/>
      <c r="D1607" s="8" t="n"/>
      <c r="E1607" s="8" t="n"/>
      <c r="F1607" s="20" t="n"/>
      <c r="G1607" s="20" t="n"/>
      <c r="H1607" s="8" t="n"/>
      <c r="I1607" s="20" t="n"/>
      <c r="J1607" s="21">
        <f>IF(B1607="","",F1607+G1607)</f>
        <v/>
      </c>
      <c r="K1607" s="21">
        <f>IF(B1607="","",J1607*(Settings!$C$11+Settings!$C$12+Settings!$C$14)+IF(C1607="",Settings!$C$13,IF(COUNTIF($C$5:C1607,C1607)=1,Settings!$C$13,0))+E1607*Settings!$C$15+IF(H1607="Yes",J1607*Settings!$C$16,0))</f>
        <v/>
      </c>
      <c r="L1607" s="21">
        <f>IF(B1607="","",IF(Settings!$C$5="Yes",0,K1607*Settings!$C$17))</f>
        <v/>
      </c>
      <c r="M1607" s="21">
        <f>IF(B1607="","",E1607*IFERROR(VLOOKUP(D1607,Products!$B$5:$F$204,5,FALSE),0))</f>
        <v/>
      </c>
      <c r="N1607" s="21">
        <f>IF(B1607="","",J1607-K1607-L1607-M1607-I1607)</f>
        <v/>
      </c>
    </row>
    <row r="1608">
      <c r="B1608" s="11" t="n"/>
      <c r="C1608" s="8" t="n"/>
      <c r="D1608" s="8" t="n"/>
      <c r="E1608" s="8" t="n"/>
      <c r="F1608" s="20" t="n"/>
      <c r="G1608" s="20" t="n"/>
      <c r="H1608" s="8" t="n"/>
      <c r="I1608" s="20" t="n"/>
      <c r="J1608" s="21">
        <f>IF(B1608="","",F1608+G1608)</f>
        <v/>
      </c>
      <c r="K1608" s="21">
        <f>IF(B1608="","",J1608*(Settings!$C$11+Settings!$C$12+Settings!$C$14)+IF(C1608="",Settings!$C$13,IF(COUNTIF($C$5:C1608,C1608)=1,Settings!$C$13,0))+E1608*Settings!$C$15+IF(H1608="Yes",J1608*Settings!$C$16,0))</f>
        <v/>
      </c>
      <c r="L1608" s="21">
        <f>IF(B1608="","",IF(Settings!$C$5="Yes",0,K1608*Settings!$C$17))</f>
        <v/>
      </c>
      <c r="M1608" s="21">
        <f>IF(B1608="","",E1608*IFERROR(VLOOKUP(D1608,Products!$B$5:$F$204,5,FALSE),0))</f>
        <v/>
      </c>
      <c r="N1608" s="21">
        <f>IF(B1608="","",J1608-K1608-L1608-M1608-I1608)</f>
        <v/>
      </c>
    </row>
    <row r="1609">
      <c r="B1609" s="11" t="n"/>
      <c r="C1609" s="8" t="n"/>
      <c r="D1609" s="8" t="n"/>
      <c r="E1609" s="8" t="n"/>
      <c r="F1609" s="20" t="n"/>
      <c r="G1609" s="20" t="n"/>
      <c r="H1609" s="8" t="n"/>
      <c r="I1609" s="20" t="n"/>
      <c r="J1609" s="21">
        <f>IF(B1609="","",F1609+G1609)</f>
        <v/>
      </c>
      <c r="K1609" s="21">
        <f>IF(B1609="","",J1609*(Settings!$C$11+Settings!$C$12+Settings!$C$14)+IF(C1609="",Settings!$C$13,IF(COUNTIF($C$5:C1609,C1609)=1,Settings!$C$13,0))+E1609*Settings!$C$15+IF(H1609="Yes",J1609*Settings!$C$16,0))</f>
        <v/>
      </c>
      <c r="L1609" s="21">
        <f>IF(B1609="","",IF(Settings!$C$5="Yes",0,K1609*Settings!$C$17))</f>
        <v/>
      </c>
      <c r="M1609" s="21">
        <f>IF(B1609="","",E1609*IFERROR(VLOOKUP(D1609,Products!$B$5:$F$204,5,FALSE),0))</f>
        <v/>
      </c>
      <c r="N1609" s="21">
        <f>IF(B1609="","",J1609-K1609-L1609-M1609-I1609)</f>
        <v/>
      </c>
    </row>
    <row r="1610">
      <c r="B1610" s="11" t="n"/>
      <c r="C1610" s="8" t="n"/>
      <c r="D1610" s="8" t="n"/>
      <c r="E1610" s="8" t="n"/>
      <c r="F1610" s="20" t="n"/>
      <c r="G1610" s="20" t="n"/>
      <c r="H1610" s="8" t="n"/>
      <c r="I1610" s="20" t="n"/>
      <c r="J1610" s="21">
        <f>IF(B1610="","",F1610+G1610)</f>
        <v/>
      </c>
      <c r="K1610" s="21">
        <f>IF(B1610="","",J1610*(Settings!$C$11+Settings!$C$12+Settings!$C$14)+IF(C1610="",Settings!$C$13,IF(COUNTIF($C$5:C1610,C1610)=1,Settings!$C$13,0))+E1610*Settings!$C$15+IF(H1610="Yes",J1610*Settings!$C$16,0))</f>
        <v/>
      </c>
      <c r="L1610" s="21">
        <f>IF(B1610="","",IF(Settings!$C$5="Yes",0,K1610*Settings!$C$17))</f>
        <v/>
      </c>
      <c r="M1610" s="21">
        <f>IF(B1610="","",E1610*IFERROR(VLOOKUP(D1610,Products!$B$5:$F$204,5,FALSE),0))</f>
        <v/>
      </c>
      <c r="N1610" s="21">
        <f>IF(B1610="","",J1610-K1610-L1610-M1610-I1610)</f>
        <v/>
      </c>
    </row>
    <row r="1611">
      <c r="B1611" s="11" t="n"/>
      <c r="C1611" s="8" t="n"/>
      <c r="D1611" s="8" t="n"/>
      <c r="E1611" s="8" t="n"/>
      <c r="F1611" s="20" t="n"/>
      <c r="G1611" s="20" t="n"/>
      <c r="H1611" s="8" t="n"/>
      <c r="I1611" s="20" t="n"/>
      <c r="J1611" s="21">
        <f>IF(B1611="","",F1611+G1611)</f>
        <v/>
      </c>
      <c r="K1611" s="21">
        <f>IF(B1611="","",J1611*(Settings!$C$11+Settings!$C$12+Settings!$C$14)+IF(C1611="",Settings!$C$13,IF(COUNTIF($C$5:C1611,C1611)=1,Settings!$C$13,0))+E1611*Settings!$C$15+IF(H1611="Yes",J1611*Settings!$C$16,0))</f>
        <v/>
      </c>
      <c r="L1611" s="21">
        <f>IF(B1611="","",IF(Settings!$C$5="Yes",0,K1611*Settings!$C$17))</f>
        <v/>
      </c>
      <c r="M1611" s="21">
        <f>IF(B1611="","",E1611*IFERROR(VLOOKUP(D1611,Products!$B$5:$F$204,5,FALSE),0))</f>
        <v/>
      </c>
      <c r="N1611" s="21">
        <f>IF(B1611="","",J1611-K1611-L1611-M1611-I1611)</f>
        <v/>
      </c>
    </row>
    <row r="1612">
      <c r="B1612" s="11" t="n"/>
      <c r="C1612" s="8" t="n"/>
      <c r="D1612" s="8" t="n"/>
      <c r="E1612" s="8" t="n"/>
      <c r="F1612" s="20" t="n"/>
      <c r="G1612" s="20" t="n"/>
      <c r="H1612" s="8" t="n"/>
      <c r="I1612" s="20" t="n"/>
      <c r="J1612" s="21">
        <f>IF(B1612="","",F1612+G1612)</f>
        <v/>
      </c>
      <c r="K1612" s="21">
        <f>IF(B1612="","",J1612*(Settings!$C$11+Settings!$C$12+Settings!$C$14)+IF(C1612="",Settings!$C$13,IF(COUNTIF($C$5:C1612,C1612)=1,Settings!$C$13,0))+E1612*Settings!$C$15+IF(H1612="Yes",J1612*Settings!$C$16,0))</f>
        <v/>
      </c>
      <c r="L1612" s="21">
        <f>IF(B1612="","",IF(Settings!$C$5="Yes",0,K1612*Settings!$C$17))</f>
        <v/>
      </c>
      <c r="M1612" s="21">
        <f>IF(B1612="","",E1612*IFERROR(VLOOKUP(D1612,Products!$B$5:$F$204,5,FALSE),0))</f>
        <v/>
      </c>
      <c r="N1612" s="21">
        <f>IF(B1612="","",J1612-K1612-L1612-M1612-I1612)</f>
        <v/>
      </c>
    </row>
    <row r="1613">
      <c r="B1613" s="11" t="n"/>
      <c r="C1613" s="8" t="n"/>
      <c r="D1613" s="8" t="n"/>
      <c r="E1613" s="8" t="n"/>
      <c r="F1613" s="20" t="n"/>
      <c r="G1613" s="20" t="n"/>
      <c r="H1613" s="8" t="n"/>
      <c r="I1613" s="20" t="n"/>
      <c r="J1613" s="21">
        <f>IF(B1613="","",F1613+G1613)</f>
        <v/>
      </c>
      <c r="K1613" s="21">
        <f>IF(B1613="","",J1613*(Settings!$C$11+Settings!$C$12+Settings!$C$14)+IF(C1613="",Settings!$C$13,IF(COUNTIF($C$5:C1613,C1613)=1,Settings!$C$13,0))+E1613*Settings!$C$15+IF(H1613="Yes",J1613*Settings!$C$16,0))</f>
        <v/>
      </c>
      <c r="L1613" s="21">
        <f>IF(B1613="","",IF(Settings!$C$5="Yes",0,K1613*Settings!$C$17))</f>
        <v/>
      </c>
      <c r="M1613" s="21">
        <f>IF(B1613="","",E1613*IFERROR(VLOOKUP(D1613,Products!$B$5:$F$204,5,FALSE),0))</f>
        <v/>
      </c>
      <c r="N1613" s="21">
        <f>IF(B1613="","",J1613-K1613-L1613-M1613-I1613)</f>
        <v/>
      </c>
    </row>
    <row r="1614">
      <c r="B1614" s="11" t="n"/>
      <c r="C1614" s="8" t="n"/>
      <c r="D1614" s="8" t="n"/>
      <c r="E1614" s="8" t="n"/>
      <c r="F1614" s="20" t="n"/>
      <c r="G1614" s="20" t="n"/>
      <c r="H1614" s="8" t="n"/>
      <c r="I1614" s="20" t="n"/>
      <c r="J1614" s="21">
        <f>IF(B1614="","",F1614+G1614)</f>
        <v/>
      </c>
      <c r="K1614" s="21">
        <f>IF(B1614="","",J1614*(Settings!$C$11+Settings!$C$12+Settings!$C$14)+IF(C1614="",Settings!$C$13,IF(COUNTIF($C$5:C1614,C1614)=1,Settings!$C$13,0))+E1614*Settings!$C$15+IF(H1614="Yes",J1614*Settings!$C$16,0))</f>
        <v/>
      </c>
      <c r="L1614" s="21">
        <f>IF(B1614="","",IF(Settings!$C$5="Yes",0,K1614*Settings!$C$17))</f>
        <v/>
      </c>
      <c r="M1614" s="21">
        <f>IF(B1614="","",E1614*IFERROR(VLOOKUP(D1614,Products!$B$5:$F$204,5,FALSE),0))</f>
        <v/>
      </c>
      <c r="N1614" s="21">
        <f>IF(B1614="","",J1614-K1614-L1614-M1614-I1614)</f>
        <v/>
      </c>
    </row>
    <row r="1615">
      <c r="B1615" s="11" t="n"/>
      <c r="C1615" s="8" t="n"/>
      <c r="D1615" s="8" t="n"/>
      <c r="E1615" s="8" t="n"/>
      <c r="F1615" s="20" t="n"/>
      <c r="G1615" s="20" t="n"/>
      <c r="H1615" s="8" t="n"/>
      <c r="I1615" s="20" t="n"/>
      <c r="J1615" s="21">
        <f>IF(B1615="","",F1615+G1615)</f>
        <v/>
      </c>
      <c r="K1615" s="21">
        <f>IF(B1615="","",J1615*(Settings!$C$11+Settings!$C$12+Settings!$C$14)+IF(C1615="",Settings!$C$13,IF(COUNTIF($C$5:C1615,C1615)=1,Settings!$C$13,0))+E1615*Settings!$C$15+IF(H1615="Yes",J1615*Settings!$C$16,0))</f>
        <v/>
      </c>
      <c r="L1615" s="21">
        <f>IF(B1615="","",IF(Settings!$C$5="Yes",0,K1615*Settings!$C$17))</f>
        <v/>
      </c>
      <c r="M1615" s="21">
        <f>IF(B1615="","",E1615*IFERROR(VLOOKUP(D1615,Products!$B$5:$F$204,5,FALSE),0))</f>
        <v/>
      </c>
      <c r="N1615" s="21">
        <f>IF(B1615="","",J1615-K1615-L1615-M1615-I1615)</f>
        <v/>
      </c>
    </row>
    <row r="1616">
      <c r="B1616" s="11" t="n"/>
      <c r="C1616" s="8" t="n"/>
      <c r="D1616" s="8" t="n"/>
      <c r="E1616" s="8" t="n"/>
      <c r="F1616" s="20" t="n"/>
      <c r="G1616" s="20" t="n"/>
      <c r="H1616" s="8" t="n"/>
      <c r="I1616" s="20" t="n"/>
      <c r="J1616" s="21">
        <f>IF(B1616="","",F1616+G1616)</f>
        <v/>
      </c>
      <c r="K1616" s="21">
        <f>IF(B1616="","",J1616*(Settings!$C$11+Settings!$C$12+Settings!$C$14)+IF(C1616="",Settings!$C$13,IF(COUNTIF($C$5:C1616,C1616)=1,Settings!$C$13,0))+E1616*Settings!$C$15+IF(H1616="Yes",J1616*Settings!$C$16,0))</f>
        <v/>
      </c>
      <c r="L1616" s="21">
        <f>IF(B1616="","",IF(Settings!$C$5="Yes",0,K1616*Settings!$C$17))</f>
        <v/>
      </c>
      <c r="M1616" s="21">
        <f>IF(B1616="","",E1616*IFERROR(VLOOKUP(D1616,Products!$B$5:$F$204,5,FALSE),0))</f>
        <v/>
      </c>
      <c r="N1616" s="21">
        <f>IF(B1616="","",J1616-K1616-L1616-M1616-I1616)</f>
        <v/>
      </c>
    </row>
    <row r="1617">
      <c r="B1617" s="11" t="n"/>
      <c r="C1617" s="8" t="n"/>
      <c r="D1617" s="8" t="n"/>
      <c r="E1617" s="8" t="n"/>
      <c r="F1617" s="20" t="n"/>
      <c r="G1617" s="20" t="n"/>
      <c r="H1617" s="8" t="n"/>
      <c r="I1617" s="20" t="n"/>
      <c r="J1617" s="21">
        <f>IF(B1617="","",F1617+G1617)</f>
        <v/>
      </c>
      <c r="K1617" s="21">
        <f>IF(B1617="","",J1617*(Settings!$C$11+Settings!$C$12+Settings!$C$14)+IF(C1617="",Settings!$C$13,IF(COUNTIF($C$5:C1617,C1617)=1,Settings!$C$13,0))+E1617*Settings!$C$15+IF(H1617="Yes",J1617*Settings!$C$16,0))</f>
        <v/>
      </c>
      <c r="L1617" s="21">
        <f>IF(B1617="","",IF(Settings!$C$5="Yes",0,K1617*Settings!$C$17))</f>
        <v/>
      </c>
      <c r="M1617" s="21">
        <f>IF(B1617="","",E1617*IFERROR(VLOOKUP(D1617,Products!$B$5:$F$204,5,FALSE),0))</f>
        <v/>
      </c>
      <c r="N1617" s="21">
        <f>IF(B1617="","",J1617-K1617-L1617-M1617-I1617)</f>
        <v/>
      </c>
    </row>
    <row r="1618">
      <c r="B1618" s="11" t="n"/>
      <c r="C1618" s="8" t="n"/>
      <c r="D1618" s="8" t="n"/>
      <c r="E1618" s="8" t="n"/>
      <c r="F1618" s="20" t="n"/>
      <c r="G1618" s="20" t="n"/>
      <c r="H1618" s="8" t="n"/>
      <c r="I1618" s="20" t="n"/>
      <c r="J1618" s="21">
        <f>IF(B1618="","",F1618+G1618)</f>
        <v/>
      </c>
      <c r="K1618" s="21">
        <f>IF(B1618="","",J1618*(Settings!$C$11+Settings!$C$12+Settings!$C$14)+IF(C1618="",Settings!$C$13,IF(COUNTIF($C$5:C1618,C1618)=1,Settings!$C$13,0))+E1618*Settings!$C$15+IF(H1618="Yes",J1618*Settings!$C$16,0))</f>
        <v/>
      </c>
      <c r="L1618" s="21">
        <f>IF(B1618="","",IF(Settings!$C$5="Yes",0,K1618*Settings!$C$17))</f>
        <v/>
      </c>
      <c r="M1618" s="21">
        <f>IF(B1618="","",E1618*IFERROR(VLOOKUP(D1618,Products!$B$5:$F$204,5,FALSE),0))</f>
        <v/>
      </c>
      <c r="N1618" s="21">
        <f>IF(B1618="","",J1618-K1618-L1618-M1618-I1618)</f>
        <v/>
      </c>
    </row>
    <row r="1619">
      <c r="B1619" s="11" t="n"/>
      <c r="C1619" s="8" t="n"/>
      <c r="D1619" s="8" t="n"/>
      <c r="E1619" s="8" t="n"/>
      <c r="F1619" s="20" t="n"/>
      <c r="G1619" s="20" t="n"/>
      <c r="H1619" s="8" t="n"/>
      <c r="I1619" s="20" t="n"/>
      <c r="J1619" s="21">
        <f>IF(B1619="","",F1619+G1619)</f>
        <v/>
      </c>
      <c r="K1619" s="21">
        <f>IF(B1619="","",J1619*(Settings!$C$11+Settings!$C$12+Settings!$C$14)+IF(C1619="",Settings!$C$13,IF(COUNTIF($C$5:C1619,C1619)=1,Settings!$C$13,0))+E1619*Settings!$C$15+IF(H1619="Yes",J1619*Settings!$C$16,0))</f>
        <v/>
      </c>
      <c r="L1619" s="21">
        <f>IF(B1619="","",IF(Settings!$C$5="Yes",0,K1619*Settings!$C$17))</f>
        <v/>
      </c>
      <c r="M1619" s="21">
        <f>IF(B1619="","",E1619*IFERROR(VLOOKUP(D1619,Products!$B$5:$F$204,5,FALSE),0))</f>
        <v/>
      </c>
      <c r="N1619" s="21">
        <f>IF(B1619="","",J1619-K1619-L1619-M1619-I1619)</f>
        <v/>
      </c>
    </row>
    <row r="1620">
      <c r="B1620" s="11" t="n"/>
      <c r="C1620" s="8" t="n"/>
      <c r="D1620" s="8" t="n"/>
      <c r="E1620" s="8" t="n"/>
      <c r="F1620" s="20" t="n"/>
      <c r="G1620" s="20" t="n"/>
      <c r="H1620" s="8" t="n"/>
      <c r="I1620" s="20" t="n"/>
      <c r="J1620" s="21">
        <f>IF(B1620="","",F1620+G1620)</f>
        <v/>
      </c>
      <c r="K1620" s="21">
        <f>IF(B1620="","",J1620*(Settings!$C$11+Settings!$C$12+Settings!$C$14)+IF(C1620="",Settings!$C$13,IF(COUNTIF($C$5:C1620,C1620)=1,Settings!$C$13,0))+E1620*Settings!$C$15+IF(H1620="Yes",J1620*Settings!$C$16,0))</f>
        <v/>
      </c>
      <c r="L1620" s="21">
        <f>IF(B1620="","",IF(Settings!$C$5="Yes",0,K1620*Settings!$C$17))</f>
        <v/>
      </c>
      <c r="M1620" s="21">
        <f>IF(B1620="","",E1620*IFERROR(VLOOKUP(D1620,Products!$B$5:$F$204,5,FALSE),0))</f>
        <v/>
      </c>
      <c r="N1620" s="21">
        <f>IF(B1620="","",J1620-K1620-L1620-M1620-I1620)</f>
        <v/>
      </c>
    </row>
    <row r="1621">
      <c r="B1621" s="11" t="n"/>
      <c r="C1621" s="8" t="n"/>
      <c r="D1621" s="8" t="n"/>
      <c r="E1621" s="8" t="n"/>
      <c r="F1621" s="20" t="n"/>
      <c r="G1621" s="20" t="n"/>
      <c r="H1621" s="8" t="n"/>
      <c r="I1621" s="20" t="n"/>
      <c r="J1621" s="21">
        <f>IF(B1621="","",F1621+G1621)</f>
        <v/>
      </c>
      <c r="K1621" s="21">
        <f>IF(B1621="","",J1621*(Settings!$C$11+Settings!$C$12+Settings!$C$14)+IF(C1621="",Settings!$C$13,IF(COUNTIF($C$5:C1621,C1621)=1,Settings!$C$13,0))+E1621*Settings!$C$15+IF(H1621="Yes",J1621*Settings!$C$16,0))</f>
        <v/>
      </c>
      <c r="L1621" s="21">
        <f>IF(B1621="","",IF(Settings!$C$5="Yes",0,K1621*Settings!$C$17))</f>
        <v/>
      </c>
      <c r="M1621" s="21">
        <f>IF(B1621="","",E1621*IFERROR(VLOOKUP(D1621,Products!$B$5:$F$204,5,FALSE),0))</f>
        <v/>
      </c>
      <c r="N1621" s="21">
        <f>IF(B1621="","",J1621-K1621-L1621-M1621-I1621)</f>
        <v/>
      </c>
    </row>
    <row r="1622">
      <c r="B1622" s="11" t="n"/>
      <c r="C1622" s="8" t="n"/>
      <c r="D1622" s="8" t="n"/>
      <c r="E1622" s="8" t="n"/>
      <c r="F1622" s="20" t="n"/>
      <c r="G1622" s="20" t="n"/>
      <c r="H1622" s="8" t="n"/>
      <c r="I1622" s="20" t="n"/>
      <c r="J1622" s="21">
        <f>IF(B1622="","",F1622+G1622)</f>
        <v/>
      </c>
      <c r="K1622" s="21">
        <f>IF(B1622="","",J1622*(Settings!$C$11+Settings!$C$12+Settings!$C$14)+IF(C1622="",Settings!$C$13,IF(COUNTIF($C$5:C1622,C1622)=1,Settings!$C$13,0))+E1622*Settings!$C$15+IF(H1622="Yes",J1622*Settings!$C$16,0))</f>
        <v/>
      </c>
      <c r="L1622" s="21">
        <f>IF(B1622="","",IF(Settings!$C$5="Yes",0,K1622*Settings!$C$17))</f>
        <v/>
      </c>
      <c r="M1622" s="21">
        <f>IF(B1622="","",E1622*IFERROR(VLOOKUP(D1622,Products!$B$5:$F$204,5,FALSE),0))</f>
        <v/>
      </c>
      <c r="N1622" s="21">
        <f>IF(B1622="","",J1622-K1622-L1622-M1622-I1622)</f>
        <v/>
      </c>
    </row>
    <row r="1623">
      <c r="B1623" s="11" t="n"/>
      <c r="C1623" s="8" t="n"/>
      <c r="D1623" s="8" t="n"/>
      <c r="E1623" s="8" t="n"/>
      <c r="F1623" s="20" t="n"/>
      <c r="G1623" s="20" t="n"/>
      <c r="H1623" s="8" t="n"/>
      <c r="I1623" s="20" t="n"/>
      <c r="J1623" s="21">
        <f>IF(B1623="","",F1623+G1623)</f>
        <v/>
      </c>
      <c r="K1623" s="21">
        <f>IF(B1623="","",J1623*(Settings!$C$11+Settings!$C$12+Settings!$C$14)+IF(C1623="",Settings!$C$13,IF(COUNTIF($C$5:C1623,C1623)=1,Settings!$C$13,0))+E1623*Settings!$C$15+IF(H1623="Yes",J1623*Settings!$C$16,0))</f>
        <v/>
      </c>
      <c r="L1623" s="21">
        <f>IF(B1623="","",IF(Settings!$C$5="Yes",0,K1623*Settings!$C$17))</f>
        <v/>
      </c>
      <c r="M1623" s="21">
        <f>IF(B1623="","",E1623*IFERROR(VLOOKUP(D1623,Products!$B$5:$F$204,5,FALSE),0))</f>
        <v/>
      </c>
      <c r="N1623" s="21">
        <f>IF(B1623="","",J1623-K1623-L1623-M1623-I1623)</f>
        <v/>
      </c>
    </row>
    <row r="1624">
      <c r="B1624" s="11" t="n"/>
      <c r="C1624" s="8" t="n"/>
      <c r="D1624" s="8" t="n"/>
      <c r="E1624" s="8" t="n"/>
      <c r="F1624" s="20" t="n"/>
      <c r="G1624" s="20" t="n"/>
      <c r="H1624" s="8" t="n"/>
      <c r="I1624" s="20" t="n"/>
      <c r="J1624" s="21">
        <f>IF(B1624="","",F1624+G1624)</f>
        <v/>
      </c>
      <c r="K1624" s="21">
        <f>IF(B1624="","",J1624*(Settings!$C$11+Settings!$C$12+Settings!$C$14)+IF(C1624="",Settings!$C$13,IF(COUNTIF($C$5:C1624,C1624)=1,Settings!$C$13,0))+E1624*Settings!$C$15+IF(H1624="Yes",J1624*Settings!$C$16,0))</f>
        <v/>
      </c>
      <c r="L1624" s="21">
        <f>IF(B1624="","",IF(Settings!$C$5="Yes",0,K1624*Settings!$C$17))</f>
        <v/>
      </c>
      <c r="M1624" s="21">
        <f>IF(B1624="","",E1624*IFERROR(VLOOKUP(D1624,Products!$B$5:$F$204,5,FALSE),0))</f>
        <v/>
      </c>
      <c r="N1624" s="21">
        <f>IF(B1624="","",J1624-K1624-L1624-M1624-I1624)</f>
        <v/>
      </c>
    </row>
    <row r="1625">
      <c r="B1625" s="11" t="n"/>
      <c r="C1625" s="8" t="n"/>
      <c r="D1625" s="8" t="n"/>
      <c r="E1625" s="8" t="n"/>
      <c r="F1625" s="20" t="n"/>
      <c r="G1625" s="20" t="n"/>
      <c r="H1625" s="8" t="n"/>
      <c r="I1625" s="20" t="n"/>
      <c r="J1625" s="21">
        <f>IF(B1625="","",F1625+G1625)</f>
        <v/>
      </c>
      <c r="K1625" s="21">
        <f>IF(B1625="","",J1625*(Settings!$C$11+Settings!$C$12+Settings!$C$14)+IF(C1625="",Settings!$C$13,IF(COUNTIF($C$5:C1625,C1625)=1,Settings!$C$13,0))+E1625*Settings!$C$15+IF(H1625="Yes",J1625*Settings!$C$16,0))</f>
        <v/>
      </c>
      <c r="L1625" s="21">
        <f>IF(B1625="","",IF(Settings!$C$5="Yes",0,K1625*Settings!$C$17))</f>
        <v/>
      </c>
      <c r="M1625" s="21">
        <f>IF(B1625="","",E1625*IFERROR(VLOOKUP(D1625,Products!$B$5:$F$204,5,FALSE),0))</f>
        <v/>
      </c>
      <c r="N1625" s="21">
        <f>IF(B1625="","",J1625-K1625-L1625-M1625-I1625)</f>
        <v/>
      </c>
    </row>
    <row r="1626">
      <c r="B1626" s="11" t="n"/>
      <c r="C1626" s="8" t="n"/>
      <c r="D1626" s="8" t="n"/>
      <c r="E1626" s="8" t="n"/>
      <c r="F1626" s="20" t="n"/>
      <c r="G1626" s="20" t="n"/>
      <c r="H1626" s="8" t="n"/>
      <c r="I1626" s="20" t="n"/>
      <c r="J1626" s="21">
        <f>IF(B1626="","",F1626+G1626)</f>
        <v/>
      </c>
      <c r="K1626" s="21">
        <f>IF(B1626="","",J1626*(Settings!$C$11+Settings!$C$12+Settings!$C$14)+IF(C1626="",Settings!$C$13,IF(COUNTIF($C$5:C1626,C1626)=1,Settings!$C$13,0))+E1626*Settings!$C$15+IF(H1626="Yes",J1626*Settings!$C$16,0))</f>
        <v/>
      </c>
      <c r="L1626" s="21">
        <f>IF(B1626="","",IF(Settings!$C$5="Yes",0,K1626*Settings!$C$17))</f>
        <v/>
      </c>
      <c r="M1626" s="21">
        <f>IF(B1626="","",E1626*IFERROR(VLOOKUP(D1626,Products!$B$5:$F$204,5,FALSE),0))</f>
        <v/>
      </c>
      <c r="N1626" s="21">
        <f>IF(B1626="","",J1626-K1626-L1626-M1626-I1626)</f>
        <v/>
      </c>
    </row>
    <row r="1627">
      <c r="B1627" s="11" t="n"/>
      <c r="C1627" s="8" t="n"/>
      <c r="D1627" s="8" t="n"/>
      <c r="E1627" s="8" t="n"/>
      <c r="F1627" s="20" t="n"/>
      <c r="G1627" s="20" t="n"/>
      <c r="H1627" s="8" t="n"/>
      <c r="I1627" s="20" t="n"/>
      <c r="J1627" s="21">
        <f>IF(B1627="","",F1627+G1627)</f>
        <v/>
      </c>
      <c r="K1627" s="21">
        <f>IF(B1627="","",J1627*(Settings!$C$11+Settings!$C$12+Settings!$C$14)+IF(C1627="",Settings!$C$13,IF(COUNTIF($C$5:C1627,C1627)=1,Settings!$C$13,0))+E1627*Settings!$C$15+IF(H1627="Yes",J1627*Settings!$C$16,0))</f>
        <v/>
      </c>
      <c r="L1627" s="21">
        <f>IF(B1627="","",IF(Settings!$C$5="Yes",0,K1627*Settings!$C$17))</f>
        <v/>
      </c>
      <c r="M1627" s="21">
        <f>IF(B1627="","",E1627*IFERROR(VLOOKUP(D1627,Products!$B$5:$F$204,5,FALSE),0))</f>
        <v/>
      </c>
      <c r="N1627" s="21">
        <f>IF(B1627="","",J1627-K1627-L1627-M1627-I1627)</f>
        <v/>
      </c>
    </row>
    <row r="1628">
      <c r="B1628" s="11" t="n"/>
      <c r="C1628" s="8" t="n"/>
      <c r="D1628" s="8" t="n"/>
      <c r="E1628" s="8" t="n"/>
      <c r="F1628" s="20" t="n"/>
      <c r="G1628" s="20" t="n"/>
      <c r="H1628" s="8" t="n"/>
      <c r="I1628" s="20" t="n"/>
      <c r="J1628" s="21">
        <f>IF(B1628="","",F1628+G1628)</f>
        <v/>
      </c>
      <c r="K1628" s="21">
        <f>IF(B1628="","",J1628*(Settings!$C$11+Settings!$C$12+Settings!$C$14)+IF(C1628="",Settings!$C$13,IF(COUNTIF($C$5:C1628,C1628)=1,Settings!$C$13,0))+E1628*Settings!$C$15+IF(H1628="Yes",J1628*Settings!$C$16,0))</f>
        <v/>
      </c>
      <c r="L1628" s="21">
        <f>IF(B1628="","",IF(Settings!$C$5="Yes",0,K1628*Settings!$C$17))</f>
        <v/>
      </c>
      <c r="M1628" s="21">
        <f>IF(B1628="","",E1628*IFERROR(VLOOKUP(D1628,Products!$B$5:$F$204,5,FALSE),0))</f>
        <v/>
      </c>
      <c r="N1628" s="21">
        <f>IF(B1628="","",J1628-K1628-L1628-M1628-I1628)</f>
        <v/>
      </c>
    </row>
    <row r="1629">
      <c r="B1629" s="11" t="n"/>
      <c r="C1629" s="8" t="n"/>
      <c r="D1629" s="8" t="n"/>
      <c r="E1629" s="8" t="n"/>
      <c r="F1629" s="20" t="n"/>
      <c r="G1629" s="20" t="n"/>
      <c r="H1629" s="8" t="n"/>
      <c r="I1629" s="20" t="n"/>
      <c r="J1629" s="21">
        <f>IF(B1629="","",F1629+G1629)</f>
        <v/>
      </c>
      <c r="K1629" s="21">
        <f>IF(B1629="","",J1629*(Settings!$C$11+Settings!$C$12+Settings!$C$14)+IF(C1629="",Settings!$C$13,IF(COUNTIF($C$5:C1629,C1629)=1,Settings!$C$13,0))+E1629*Settings!$C$15+IF(H1629="Yes",J1629*Settings!$C$16,0))</f>
        <v/>
      </c>
      <c r="L1629" s="21">
        <f>IF(B1629="","",IF(Settings!$C$5="Yes",0,K1629*Settings!$C$17))</f>
        <v/>
      </c>
      <c r="M1629" s="21">
        <f>IF(B1629="","",E1629*IFERROR(VLOOKUP(D1629,Products!$B$5:$F$204,5,FALSE),0))</f>
        <v/>
      </c>
      <c r="N1629" s="21">
        <f>IF(B1629="","",J1629-K1629-L1629-M1629-I1629)</f>
        <v/>
      </c>
    </row>
    <row r="1630">
      <c r="B1630" s="11" t="n"/>
      <c r="C1630" s="8" t="n"/>
      <c r="D1630" s="8" t="n"/>
      <c r="E1630" s="8" t="n"/>
      <c r="F1630" s="20" t="n"/>
      <c r="G1630" s="20" t="n"/>
      <c r="H1630" s="8" t="n"/>
      <c r="I1630" s="20" t="n"/>
      <c r="J1630" s="21">
        <f>IF(B1630="","",F1630+G1630)</f>
        <v/>
      </c>
      <c r="K1630" s="21">
        <f>IF(B1630="","",J1630*(Settings!$C$11+Settings!$C$12+Settings!$C$14)+IF(C1630="",Settings!$C$13,IF(COUNTIF($C$5:C1630,C1630)=1,Settings!$C$13,0))+E1630*Settings!$C$15+IF(H1630="Yes",J1630*Settings!$C$16,0))</f>
        <v/>
      </c>
      <c r="L1630" s="21">
        <f>IF(B1630="","",IF(Settings!$C$5="Yes",0,K1630*Settings!$C$17))</f>
        <v/>
      </c>
      <c r="M1630" s="21">
        <f>IF(B1630="","",E1630*IFERROR(VLOOKUP(D1630,Products!$B$5:$F$204,5,FALSE),0))</f>
        <v/>
      </c>
      <c r="N1630" s="21">
        <f>IF(B1630="","",J1630-K1630-L1630-M1630-I1630)</f>
        <v/>
      </c>
    </row>
    <row r="1631">
      <c r="B1631" s="11" t="n"/>
      <c r="C1631" s="8" t="n"/>
      <c r="D1631" s="8" t="n"/>
      <c r="E1631" s="8" t="n"/>
      <c r="F1631" s="20" t="n"/>
      <c r="G1631" s="20" t="n"/>
      <c r="H1631" s="8" t="n"/>
      <c r="I1631" s="20" t="n"/>
      <c r="J1631" s="21">
        <f>IF(B1631="","",F1631+G1631)</f>
        <v/>
      </c>
      <c r="K1631" s="21">
        <f>IF(B1631="","",J1631*(Settings!$C$11+Settings!$C$12+Settings!$C$14)+IF(C1631="",Settings!$C$13,IF(COUNTIF($C$5:C1631,C1631)=1,Settings!$C$13,0))+E1631*Settings!$C$15+IF(H1631="Yes",J1631*Settings!$C$16,0))</f>
        <v/>
      </c>
      <c r="L1631" s="21">
        <f>IF(B1631="","",IF(Settings!$C$5="Yes",0,K1631*Settings!$C$17))</f>
        <v/>
      </c>
      <c r="M1631" s="21">
        <f>IF(B1631="","",E1631*IFERROR(VLOOKUP(D1631,Products!$B$5:$F$204,5,FALSE),0))</f>
        <v/>
      </c>
      <c r="N1631" s="21">
        <f>IF(B1631="","",J1631-K1631-L1631-M1631-I1631)</f>
        <v/>
      </c>
    </row>
    <row r="1632">
      <c r="B1632" s="11" t="n"/>
      <c r="C1632" s="8" t="n"/>
      <c r="D1632" s="8" t="n"/>
      <c r="E1632" s="8" t="n"/>
      <c r="F1632" s="20" t="n"/>
      <c r="G1632" s="20" t="n"/>
      <c r="H1632" s="8" t="n"/>
      <c r="I1632" s="20" t="n"/>
      <c r="J1632" s="21">
        <f>IF(B1632="","",F1632+G1632)</f>
        <v/>
      </c>
      <c r="K1632" s="21">
        <f>IF(B1632="","",J1632*(Settings!$C$11+Settings!$C$12+Settings!$C$14)+IF(C1632="",Settings!$C$13,IF(COUNTIF($C$5:C1632,C1632)=1,Settings!$C$13,0))+E1632*Settings!$C$15+IF(H1632="Yes",J1632*Settings!$C$16,0))</f>
        <v/>
      </c>
      <c r="L1632" s="21">
        <f>IF(B1632="","",IF(Settings!$C$5="Yes",0,K1632*Settings!$C$17))</f>
        <v/>
      </c>
      <c r="M1632" s="21">
        <f>IF(B1632="","",E1632*IFERROR(VLOOKUP(D1632,Products!$B$5:$F$204,5,FALSE),0))</f>
        <v/>
      </c>
      <c r="N1632" s="21">
        <f>IF(B1632="","",J1632-K1632-L1632-M1632-I1632)</f>
        <v/>
      </c>
    </row>
    <row r="1633">
      <c r="B1633" s="11" t="n"/>
      <c r="C1633" s="8" t="n"/>
      <c r="D1633" s="8" t="n"/>
      <c r="E1633" s="8" t="n"/>
      <c r="F1633" s="20" t="n"/>
      <c r="G1633" s="20" t="n"/>
      <c r="H1633" s="8" t="n"/>
      <c r="I1633" s="20" t="n"/>
      <c r="J1633" s="21">
        <f>IF(B1633="","",F1633+G1633)</f>
        <v/>
      </c>
      <c r="K1633" s="21">
        <f>IF(B1633="","",J1633*(Settings!$C$11+Settings!$C$12+Settings!$C$14)+IF(C1633="",Settings!$C$13,IF(COUNTIF($C$5:C1633,C1633)=1,Settings!$C$13,0))+E1633*Settings!$C$15+IF(H1633="Yes",J1633*Settings!$C$16,0))</f>
        <v/>
      </c>
      <c r="L1633" s="21">
        <f>IF(B1633="","",IF(Settings!$C$5="Yes",0,K1633*Settings!$C$17))</f>
        <v/>
      </c>
      <c r="M1633" s="21">
        <f>IF(B1633="","",E1633*IFERROR(VLOOKUP(D1633,Products!$B$5:$F$204,5,FALSE),0))</f>
        <v/>
      </c>
      <c r="N1633" s="21">
        <f>IF(B1633="","",J1633-K1633-L1633-M1633-I1633)</f>
        <v/>
      </c>
    </row>
    <row r="1634">
      <c r="B1634" s="11" t="n"/>
      <c r="C1634" s="8" t="n"/>
      <c r="D1634" s="8" t="n"/>
      <c r="E1634" s="8" t="n"/>
      <c r="F1634" s="20" t="n"/>
      <c r="G1634" s="20" t="n"/>
      <c r="H1634" s="8" t="n"/>
      <c r="I1634" s="20" t="n"/>
      <c r="J1634" s="21">
        <f>IF(B1634="","",F1634+G1634)</f>
        <v/>
      </c>
      <c r="K1634" s="21">
        <f>IF(B1634="","",J1634*(Settings!$C$11+Settings!$C$12+Settings!$C$14)+IF(C1634="",Settings!$C$13,IF(COUNTIF($C$5:C1634,C1634)=1,Settings!$C$13,0))+E1634*Settings!$C$15+IF(H1634="Yes",J1634*Settings!$C$16,0))</f>
        <v/>
      </c>
      <c r="L1634" s="21">
        <f>IF(B1634="","",IF(Settings!$C$5="Yes",0,K1634*Settings!$C$17))</f>
        <v/>
      </c>
      <c r="M1634" s="21">
        <f>IF(B1634="","",E1634*IFERROR(VLOOKUP(D1634,Products!$B$5:$F$204,5,FALSE),0))</f>
        <v/>
      </c>
      <c r="N1634" s="21">
        <f>IF(B1634="","",J1634-K1634-L1634-M1634-I1634)</f>
        <v/>
      </c>
    </row>
    <row r="1635">
      <c r="B1635" s="11" t="n"/>
      <c r="C1635" s="8" t="n"/>
      <c r="D1635" s="8" t="n"/>
      <c r="E1635" s="8" t="n"/>
      <c r="F1635" s="20" t="n"/>
      <c r="G1635" s="20" t="n"/>
      <c r="H1635" s="8" t="n"/>
      <c r="I1635" s="20" t="n"/>
      <c r="J1635" s="21">
        <f>IF(B1635="","",F1635+G1635)</f>
        <v/>
      </c>
      <c r="K1635" s="21">
        <f>IF(B1635="","",J1635*(Settings!$C$11+Settings!$C$12+Settings!$C$14)+IF(C1635="",Settings!$C$13,IF(COUNTIF($C$5:C1635,C1635)=1,Settings!$C$13,0))+E1635*Settings!$C$15+IF(H1635="Yes",J1635*Settings!$C$16,0))</f>
        <v/>
      </c>
      <c r="L1635" s="21">
        <f>IF(B1635="","",IF(Settings!$C$5="Yes",0,K1635*Settings!$C$17))</f>
        <v/>
      </c>
      <c r="M1635" s="21">
        <f>IF(B1635="","",E1635*IFERROR(VLOOKUP(D1635,Products!$B$5:$F$204,5,FALSE),0))</f>
        <v/>
      </c>
      <c r="N1635" s="21">
        <f>IF(B1635="","",J1635-K1635-L1635-M1635-I1635)</f>
        <v/>
      </c>
    </row>
    <row r="1636">
      <c r="B1636" s="11" t="n"/>
      <c r="C1636" s="8" t="n"/>
      <c r="D1636" s="8" t="n"/>
      <c r="E1636" s="8" t="n"/>
      <c r="F1636" s="20" t="n"/>
      <c r="G1636" s="20" t="n"/>
      <c r="H1636" s="8" t="n"/>
      <c r="I1636" s="20" t="n"/>
      <c r="J1636" s="21">
        <f>IF(B1636="","",F1636+G1636)</f>
        <v/>
      </c>
      <c r="K1636" s="21">
        <f>IF(B1636="","",J1636*(Settings!$C$11+Settings!$C$12+Settings!$C$14)+IF(C1636="",Settings!$C$13,IF(COUNTIF($C$5:C1636,C1636)=1,Settings!$C$13,0))+E1636*Settings!$C$15+IF(H1636="Yes",J1636*Settings!$C$16,0))</f>
        <v/>
      </c>
      <c r="L1636" s="21">
        <f>IF(B1636="","",IF(Settings!$C$5="Yes",0,K1636*Settings!$C$17))</f>
        <v/>
      </c>
      <c r="M1636" s="21">
        <f>IF(B1636="","",E1636*IFERROR(VLOOKUP(D1636,Products!$B$5:$F$204,5,FALSE),0))</f>
        <v/>
      </c>
      <c r="N1636" s="21">
        <f>IF(B1636="","",J1636-K1636-L1636-M1636-I1636)</f>
        <v/>
      </c>
    </row>
    <row r="1637">
      <c r="B1637" s="11" t="n"/>
      <c r="C1637" s="8" t="n"/>
      <c r="D1637" s="8" t="n"/>
      <c r="E1637" s="8" t="n"/>
      <c r="F1637" s="20" t="n"/>
      <c r="G1637" s="20" t="n"/>
      <c r="H1637" s="8" t="n"/>
      <c r="I1637" s="20" t="n"/>
      <c r="J1637" s="21">
        <f>IF(B1637="","",F1637+G1637)</f>
        <v/>
      </c>
      <c r="K1637" s="21">
        <f>IF(B1637="","",J1637*(Settings!$C$11+Settings!$C$12+Settings!$C$14)+IF(C1637="",Settings!$C$13,IF(COUNTIF($C$5:C1637,C1637)=1,Settings!$C$13,0))+E1637*Settings!$C$15+IF(H1637="Yes",J1637*Settings!$C$16,0))</f>
        <v/>
      </c>
      <c r="L1637" s="21">
        <f>IF(B1637="","",IF(Settings!$C$5="Yes",0,K1637*Settings!$C$17))</f>
        <v/>
      </c>
      <c r="M1637" s="21">
        <f>IF(B1637="","",E1637*IFERROR(VLOOKUP(D1637,Products!$B$5:$F$204,5,FALSE),0))</f>
        <v/>
      </c>
      <c r="N1637" s="21">
        <f>IF(B1637="","",J1637-K1637-L1637-M1637-I1637)</f>
        <v/>
      </c>
    </row>
    <row r="1638">
      <c r="B1638" s="11" t="n"/>
      <c r="C1638" s="8" t="n"/>
      <c r="D1638" s="8" t="n"/>
      <c r="E1638" s="8" t="n"/>
      <c r="F1638" s="20" t="n"/>
      <c r="G1638" s="20" t="n"/>
      <c r="H1638" s="8" t="n"/>
      <c r="I1638" s="20" t="n"/>
      <c r="J1638" s="21">
        <f>IF(B1638="","",F1638+G1638)</f>
        <v/>
      </c>
      <c r="K1638" s="21">
        <f>IF(B1638="","",J1638*(Settings!$C$11+Settings!$C$12+Settings!$C$14)+IF(C1638="",Settings!$C$13,IF(COUNTIF($C$5:C1638,C1638)=1,Settings!$C$13,0))+E1638*Settings!$C$15+IF(H1638="Yes",J1638*Settings!$C$16,0))</f>
        <v/>
      </c>
      <c r="L1638" s="21">
        <f>IF(B1638="","",IF(Settings!$C$5="Yes",0,K1638*Settings!$C$17))</f>
        <v/>
      </c>
      <c r="M1638" s="21">
        <f>IF(B1638="","",E1638*IFERROR(VLOOKUP(D1638,Products!$B$5:$F$204,5,FALSE),0))</f>
        <v/>
      </c>
      <c r="N1638" s="21">
        <f>IF(B1638="","",J1638-K1638-L1638-M1638-I1638)</f>
        <v/>
      </c>
    </row>
    <row r="1639">
      <c r="B1639" s="11" t="n"/>
      <c r="C1639" s="8" t="n"/>
      <c r="D1639" s="8" t="n"/>
      <c r="E1639" s="8" t="n"/>
      <c r="F1639" s="20" t="n"/>
      <c r="G1639" s="20" t="n"/>
      <c r="H1639" s="8" t="n"/>
      <c r="I1639" s="20" t="n"/>
      <c r="J1639" s="21">
        <f>IF(B1639="","",F1639+G1639)</f>
        <v/>
      </c>
      <c r="K1639" s="21">
        <f>IF(B1639="","",J1639*(Settings!$C$11+Settings!$C$12+Settings!$C$14)+IF(C1639="",Settings!$C$13,IF(COUNTIF($C$5:C1639,C1639)=1,Settings!$C$13,0))+E1639*Settings!$C$15+IF(H1639="Yes",J1639*Settings!$C$16,0))</f>
        <v/>
      </c>
      <c r="L1639" s="21">
        <f>IF(B1639="","",IF(Settings!$C$5="Yes",0,K1639*Settings!$C$17))</f>
        <v/>
      </c>
      <c r="M1639" s="21">
        <f>IF(B1639="","",E1639*IFERROR(VLOOKUP(D1639,Products!$B$5:$F$204,5,FALSE),0))</f>
        <v/>
      </c>
      <c r="N1639" s="21">
        <f>IF(B1639="","",J1639-K1639-L1639-M1639-I1639)</f>
        <v/>
      </c>
    </row>
    <row r="1640">
      <c r="B1640" s="11" t="n"/>
      <c r="C1640" s="8" t="n"/>
      <c r="D1640" s="8" t="n"/>
      <c r="E1640" s="8" t="n"/>
      <c r="F1640" s="20" t="n"/>
      <c r="G1640" s="20" t="n"/>
      <c r="H1640" s="8" t="n"/>
      <c r="I1640" s="20" t="n"/>
      <c r="J1640" s="21">
        <f>IF(B1640="","",F1640+G1640)</f>
        <v/>
      </c>
      <c r="K1640" s="21">
        <f>IF(B1640="","",J1640*(Settings!$C$11+Settings!$C$12+Settings!$C$14)+IF(C1640="",Settings!$C$13,IF(COUNTIF($C$5:C1640,C1640)=1,Settings!$C$13,0))+E1640*Settings!$C$15+IF(H1640="Yes",J1640*Settings!$C$16,0))</f>
        <v/>
      </c>
      <c r="L1640" s="21">
        <f>IF(B1640="","",IF(Settings!$C$5="Yes",0,K1640*Settings!$C$17))</f>
        <v/>
      </c>
      <c r="M1640" s="21">
        <f>IF(B1640="","",E1640*IFERROR(VLOOKUP(D1640,Products!$B$5:$F$204,5,FALSE),0))</f>
        <v/>
      </c>
      <c r="N1640" s="21">
        <f>IF(B1640="","",J1640-K1640-L1640-M1640-I1640)</f>
        <v/>
      </c>
    </row>
    <row r="1641">
      <c r="B1641" s="11" t="n"/>
      <c r="C1641" s="8" t="n"/>
      <c r="D1641" s="8" t="n"/>
      <c r="E1641" s="8" t="n"/>
      <c r="F1641" s="20" t="n"/>
      <c r="G1641" s="20" t="n"/>
      <c r="H1641" s="8" t="n"/>
      <c r="I1641" s="20" t="n"/>
      <c r="J1641" s="21">
        <f>IF(B1641="","",F1641+G1641)</f>
        <v/>
      </c>
      <c r="K1641" s="21">
        <f>IF(B1641="","",J1641*(Settings!$C$11+Settings!$C$12+Settings!$C$14)+IF(C1641="",Settings!$C$13,IF(COUNTIF($C$5:C1641,C1641)=1,Settings!$C$13,0))+E1641*Settings!$C$15+IF(H1641="Yes",J1641*Settings!$C$16,0))</f>
        <v/>
      </c>
      <c r="L1641" s="21">
        <f>IF(B1641="","",IF(Settings!$C$5="Yes",0,K1641*Settings!$C$17))</f>
        <v/>
      </c>
      <c r="M1641" s="21">
        <f>IF(B1641="","",E1641*IFERROR(VLOOKUP(D1641,Products!$B$5:$F$204,5,FALSE),0))</f>
        <v/>
      </c>
      <c r="N1641" s="21">
        <f>IF(B1641="","",J1641-K1641-L1641-M1641-I1641)</f>
        <v/>
      </c>
    </row>
    <row r="1642">
      <c r="B1642" s="11" t="n"/>
      <c r="C1642" s="8" t="n"/>
      <c r="D1642" s="8" t="n"/>
      <c r="E1642" s="8" t="n"/>
      <c r="F1642" s="20" t="n"/>
      <c r="G1642" s="20" t="n"/>
      <c r="H1642" s="8" t="n"/>
      <c r="I1642" s="20" t="n"/>
      <c r="J1642" s="21">
        <f>IF(B1642="","",F1642+G1642)</f>
        <v/>
      </c>
      <c r="K1642" s="21">
        <f>IF(B1642="","",J1642*(Settings!$C$11+Settings!$C$12+Settings!$C$14)+IF(C1642="",Settings!$C$13,IF(COUNTIF($C$5:C1642,C1642)=1,Settings!$C$13,0))+E1642*Settings!$C$15+IF(H1642="Yes",J1642*Settings!$C$16,0))</f>
        <v/>
      </c>
      <c r="L1642" s="21">
        <f>IF(B1642="","",IF(Settings!$C$5="Yes",0,K1642*Settings!$C$17))</f>
        <v/>
      </c>
      <c r="M1642" s="21">
        <f>IF(B1642="","",E1642*IFERROR(VLOOKUP(D1642,Products!$B$5:$F$204,5,FALSE),0))</f>
        <v/>
      </c>
      <c r="N1642" s="21">
        <f>IF(B1642="","",J1642-K1642-L1642-M1642-I1642)</f>
        <v/>
      </c>
    </row>
    <row r="1643">
      <c r="B1643" s="11" t="n"/>
      <c r="C1643" s="8" t="n"/>
      <c r="D1643" s="8" t="n"/>
      <c r="E1643" s="8" t="n"/>
      <c r="F1643" s="20" t="n"/>
      <c r="G1643" s="20" t="n"/>
      <c r="H1643" s="8" t="n"/>
      <c r="I1643" s="20" t="n"/>
      <c r="J1643" s="21">
        <f>IF(B1643="","",F1643+G1643)</f>
        <v/>
      </c>
      <c r="K1643" s="21">
        <f>IF(B1643="","",J1643*(Settings!$C$11+Settings!$C$12+Settings!$C$14)+IF(C1643="",Settings!$C$13,IF(COUNTIF($C$5:C1643,C1643)=1,Settings!$C$13,0))+E1643*Settings!$C$15+IF(H1643="Yes",J1643*Settings!$C$16,0))</f>
        <v/>
      </c>
      <c r="L1643" s="21">
        <f>IF(B1643="","",IF(Settings!$C$5="Yes",0,K1643*Settings!$C$17))</f>
        <v/>
      </c>
      <c r="M1643" s="21">
        <f>IF(B1643="","",E1643*IFERROR(VLOOKUP(D1643,Products!$B$5:$F$204,5,FALSE),0))</f>
        <v/>
      </c>
      <c r="N1643" s="21">
        <f>IF(B1643="","",J1643-K1643-L1643-M1643-I1643)</f>
        <v/>
      </c>
    </row>
    <row r="1644">
      <c r="B1644" s="11" t="n"/>
      <c r="C1644" s="8" t="n"/>
      <c r="D1644" s="8" t="n"/>
      <c r="E1644" s="8" t="n"/>
      <c r="F1644" s="20" t="n"/>
      <c r="G1644" s="20" t="n"/>
      <c r="H1644" s="8" t="n"/>
      <c r="I1644" s="20" t="n"/>
      <c r="J1644" s="21">
        <f>IF(B1644="","",F1644+G1644)</f>
        <v/>
      </c>
      <c r="K1644" s="21">
        <f>IF(B1644="","",J1644*(Settings!$C$11+Settings!$C$12+Settings!$C$14)+IF(C1644="",Settings!$C$13,IF(COUNTIF($C$5:C1644,C1644)=1,Settings!$C$13,0))+E1644*Settings!$C$15+IF(H1644="Yes",J1644*Settings!$C$16,0))</f>
        <v/>
      </c>
      <c r="L1644" s="21">
        <f>IF(B1644="","",IF(Settings!$C$5="Yes",0,K1644*Settings!$C$17))</f>
        <v/>
      </c>
      <c r="M1644" s="21">
        <f>IF(B1644="","",E1644*IFERROR(VLOOKUP(D1644,Products!$B$5:$F$204,5,FALSE),0))</f>
        <v/>
      </c>
      <c r="N1644" s="21">
        <f>IF(B1644="","",J1644-K1644-L1644-M1644-I1644)</f>
        <v/>
      </c>
    </row>
    <row r="1645">
      <c r="B1645" s="11" t="n"/>
      <c r="C1645" s="8" t="n"/>
      <c r="D1645" s="8" t="n"/>
      <c r="E1645" s="8" t="n"/>
      <c r="F1645" s="20" t="n"/>
      <c r="G1645" s="20" t="n"/>
      <c r="H1645" s="8" t="n"/>
      <c r="I1645" s="20" t="n"/>
      <c r="J1645" s="21">
        <f>IF(B1645="","",F1645+G1645)</f>
        <v/>
      </c>
      <c r="K1645" s="21">
        <f>IF(B1645="","",J1645*(Settings!$C$11+Settings!$C$12+Settings!$C$14)+IF(C1645="",Settings!$C$13,IF(COUNTIF($C$5:C1645,C1645)=1,Settings!$C$13,0))+E1645*Settings!$C$15+IF(H1645="Yes",J1645*Settings!$C$16,0))</f>
        <v/>
      </c>
      <c r="L1645" s="21">
        <f>IF(B1645="","",IF(Settings!$C$5="Yes",0,K1645*Settings!$C$17))</f>
        <v/>
      </c>
      <c r="M1645" s="21">
        <f>IF(B1645="","",E1645*IFERROR(VLOOKUP(D1645,Products!$B$5:$F$204,5,FALSE),0))</f>
        <v/>
      </c>
      <c r="N1645" s="21">
        <f>IF(B1645="","",J1645-K1645-L1645-M1645-I1645)</f>
        <v/>
      </c>
    </row>
    <row r="1646">
      <c r="B1646" s="11" t="n"/>
      <c r="C1646" s="8" t="n"/>
      <c r="D1646" s="8" t="n"/>
      <c r="E1646" s="8" t="n"/>
      <c r="F1646" s="20" t="n"/>
      <c r="G1646" s="20" t="n"/>
      <c r="H1646" s="8" t="n"/>
      <c r="I1646" s="20" t="n"/>
      <c r="J1646" s="21">
        <f>IF(B1646="","",F1646+G1646)</f>
        <v/>
      </c>
      <c r="K1646" s="21">
        <f>IF(B1646="","",J1646*(Settings!$C$11+Settings!$C$12+Settings!$C$14)+IF(C1646="",Settings!$C$13,IF(COUNTIF($C$5:C1646,C1646)=1,Settings!$C$13,0))+E1646*Settings!$C$15+IF(H1646="Yes",J1646*Settings!$C$16,0))</f>
        <v/>
      </c>
      <c r="L1646" s="21">
        <f>IF(B1646="","",IF(Settings!$C$5="Yes",0,K1646*Settings!$C$17))</f>
        <v/>
      </c>
      <c r="M1646" s="21">
        <f>IF(B1646="","",E1646*IFERROR(VLOOKUP(D1646,Products!$B$5:$F$204,5,FALSE),0))</f>
        <v/>
      </c>
      <c r="N1646" s="21">
        <f>IF(B1646="","",J1646-K1646-L1646-M1646-I1646)</f>
        <v/>
      </c>
    </row>
    <row r="1647">
      <c r="B1647" s="11" t="n"/>
      <c r="C1647" s="8" t="n"/>
      <c r="D1647" s="8" t="n"/>
      <c r="E1647" s="8" t="n"/>
      <c r="F1647" s="20" t="n"/>
      <c r="G1647" s="20" t="n"/>
      <c r="H1647" s="8" t="n"/>
      <c r="I1647" s="20" t="n"/>
      <c r="J1647" s="21">
        <f>IF(B1647="","",F1647+G1647)</f>
        <v/>
      </c>
      <c r="K1647" s="21">
        <f>IF(B1647="","",J1647*(Settings!$C$11+Settings!$C$12+Settings!$C$14)+IF(C1647="",Settings!$C$13,IF(COUNTIF($C$5:C1647,C1647)=1,Settings!$C$13,0))+E1647*Settings!$C$15+IF(H1647="Yes",J1647*Settings!$C$16,0))</f>
        <v/>
      </c>
      <c r="L1647" s="21">
        <f>IF(B1647="","",IF(Settings!$C$5="Yes",0,K1647*Settings!$C$17))</f>
        <v/>
      </c>
      <c r="M1647" s="21">
        <f>IF(B1647="","",E1647*IFERROR(VLOOKUP(D1647,Products!$B$5:$F$204,5,FALSE),0))</f>
        <v/>
      </c>
      <c r="N1647" s="21">
        <f>IF(B1647="","",J1647-K1647-L1647-M1647-I1647)</f>
        <v/>
      </c>
    </row>
    <row r="1648">
      <c r="B1648" s="11" t="n"/>
      <c r="C1648" s="8" t="n"/>
      <c r="D1648" s="8" t="n"/>
      <c r="E1648" s="8" t="n"/>
      <c r="F1648" s="20" t="n"/>
      <c r="G1648" s="20" t="n"/>
      <c r="H1648" s="8" t="n"/>
      <c r="I1648" s="20" t="n"/>
      <c r="J1648" s="21">
        <f>IF(B1648="","",F1648+G1648)</f>
        <v/>
      </c>
      <c r="K1648" s="21">
        <f>IF(B1648="","",J1648*(Settings!$C$11+Settings!$C$12+Settings!$C$14)+IF(C1648="",Settings!$C$13,IF(COUNTIF($C$5:C1648,C1648)=1,Settings!$C$13,0))+E1648*Settings!$C$15+IF(H1648="Yes",J1648*Settings!$C$16,0))</f>
        <v/>
      </c>
      <c r="L1648" s="21">
        <f>IF(B1648="","",IF(Settings!$C$5="Yes",0,K1648*Settings!$C$17))</f>
        <v/>
      </c>
      <c r="M1648" s="21">
        <f>IF(B1648="","",E1648*IFERROR(VLOOKUP(D1648,Products!$B$5:$F$204,5,FALSE),0))</f>
        <v/>
      </c>
      <c r="N1648" s="21">
        <f>IF(B1648="","",J1648-K1648-L1648-M1648-I1648)</f>
        <v/>
      </c>
    </row>
    <row r="1649">
      <c r="B1649" s="11" t="n"/>
      <c r="C1649" s="8" t="n"/>
      <c r="D1649" s="8" t="n"/>
      <c r="E1649" s="8" t="n"/>
      <c r="F1649" s="20" t="n"/>
      <c r="G1649" s="20" t="n"/>
      <c r="H1649" s="8" t="n"/>
      <c r="I1649" s="20" t="n"/>
      <c r="J1649" s="21">
        <f>IF(B1649="","",F1649+G1649)</f>
        <v/>
      </c>
      <c r="K1649" s="21">
        <f>IF(B1649="","",J1649*(Settings!$C$11+Settings!$C$12+Settings!$C$14)+IF(C1649="",Settings!$C$13,IF(COUNTIF($C$5:C1649,C1649)=1,Settings!$C$13,0))+E1649*Settings!$C$15+IF(H1649="Yes",J1649*Settings!$C$16,0))</f>
        <v/>
      </c>
      <c r="L1649" s="21">
        <f>IF(B1649="","",IF(Settings!$C$5="Yes",0,K1649*Settings!$C$17))</f>
        <v/>
      </c>
      <c r="M1649" s="21">
        <f>IF(B1649="","",E1649*IFERROR(VLOOKUP(D1649,Products!$B$5:$F$204,5,FALSE),0))</f>
        <v/>
      </c>
      <c r="N1649" s="21">
        <f>IF(B1649="","",J1649-K1649-L1649-M1649-I1649)</f>
        <v/>
      </c>
    </row>
    <row r="1650">
      <c r="B1650" s="11" t="n"/>
      <c r="C1650" s="8" t="n"/>
      <c r="D1650" s="8" t="n"/>
      <c r="E1650" s="8" t="n"/>
      <c r="F1650" s="20" t="n"/>
      <c r="G1650" s="20" t="n"/>
      <c r="H1650" s="8" t="n"/>
      <c r="I1650" s="20" t="n"/>
      <c r="J1650" s="21">
        <f>IF(B1650="","",F1650+G1650)</f>
        <v/>
      </c>
      <c r="K1650" s="21">
        <f>IF(B1650="","",J1650*(Settings!$C$11+Settings!$C$12+Settings!$C$14)+IF(C1650="",Settings!$C$13,IF(COUNTIF($C$5:C1650,C1650)=1,Settings!$C$13,0))+E1650*Settings!$C$15+IF(H1650="Yes",J1650*Settings!$C$16,0))</f>
        <v/>
      </c>
      <c r="L1650" s="21">
        <f>IF(B1650="","",IF(Settings!$C$5="Yes",0,K1650*Settings!$C$17))</f>
        <v/>
      </c>
      <c r="M1650" s="21">
        <f>IF(B1650="","",E1650*IFERROR(VLOOKUP(D1650,Products!$B$5:$F$204,5,FALSE),0))</f>
        <v/>
      </c>
      <c r="N1650" s="21">
        <f>IF(B1650="","",J1650-K1650-L1650-M1650-I1650)</f>
        <v/>
      </c>
    </row>
    <row r="1651">
      <c r="B1651" s="11" t="n"/>
      <c r="C1651" s="8" t="n"/>
      <c r="D1651" s="8" t="n"/>
      <c r="E1651" s="8" t="n"/>
      <c r="F1651" s="20" t="n"/>
      <c r="G1651" s="20" t="n"/>
      <c r="H1651" s="8" t="n"/>
      <c r="I1651" s="20" t="n"/>
      <c r="J1651" s="21">
        <f>IF(B1651="","",F1651+G1651)</f>
        <v/>
      </c>
      <c r="K1651" s="21">
        <f>IF(B1651="","",J1651*(Settings!$C$11+Settings!$C$12+Settings!$C$14)+IF(C1651="",Settings!$C$13,IF(COUNTIF($C$5:C1651,C1651)=1,Settings!$C$13,0))+E1651*Settings!$C$15+IF(H1651="Yes",J1651*Settings!$C$16,0))</f>
        <v/>
      </c>
      <c r="L1651" s="21">
        <f>IF(B1651="","",IF(Settings!$C$5="Yes",0,K1651*Settings!$C$17))</f>
        <v/>
      </c>
      <c r="M1651" s="21">
        <f>IF(B1651="","",E1651*IFERROR(VLOOKUP(D1651,Products!$B$5:$F$204,5,FALSE),0))</f>
        <v/>
      </c>
      <c r="N1651" s="21">
        <f>IF(B1651="","",J1651-K1651-L1651-M1651-I1651)</f>
        <v/>
      </c>
    </row>
    <row r="1652">
      <c r="B1652" s="11" t="n"/>
      <c r="C1652" s="8" t="n"/>
      <c r="D1652" s="8" t="n"/>
      <c r="E1652" s="8" t="n"/>
      <c r="F1652" s="20" t="n"/>
      <c r="G1652" s="20" t="n"/>
      <c r="H1652" s="8" t="n"/>
      <c r="I1652" s="20" t="n"/>
      <c r="J1652" s="21">
        <f>IF(B1652="","",F1652+G1652)</f>
        <v/>
      </c>
      <c r="K1652" s="21">
        <f>IF(B1652="","",J1652*(Settings!$C$11+Settings!$C$12+Settings!$C$14)+IF(C1652="",Settings!$C$13,IF(COUNTIF($C$5:C1652,C1652)=1,Settings!$C$13,0))+E1652*Settings!$C$15+IF(H1652="Yes",J1652*Settings!$C$16,0))</f>
        <v/>
      </c>
      <c r="L1652" s="21">
        <f>IF(B1652="","",IF(Settings!$C$5="Yes",0,K1652*Settings!$C$17))</f>
        <v/>
      </c>
      <c r="M1652" s="21">
        <f>IF(B1652="","",E1652*IFERROR(VLOOKUP(D1652,Products!$B$5:$F$204,5,FALSE),0))</f>
        <v/>
      </c>
      <c r="N1652" s="21">
        <f>IF(B1652="","",J1652-K1652-L1652-M1652-I1652)</f>
        <v/>
      </c>
    </row>
    <row r="1653">
      <c r="B1653" s="11" t="n"/>
      <c r="C1653" s="8" t="n"/>
      <c r="D1653" s="8" t="n"/>
      <c r="E1653" s="8" t="n"/>
      <c r="F1653" s="20" t="n"/>
      <c r="G1653" s="20" t="n"/>
      <c r="H1653" s="8" t="n"/>
      <c r="I1653" s="20" t="n"/>
      <c r="J1653" s="21">
        <f>IF(B1653="","",F1653+G1653)</f>
        <v/>
      </c>
      <c r="K1653" s="21">
        <f>IF(B1653="","",J1653*(Settings!$C$11+Settings!$C$12+Settings!$C$14)+IF(C1653="",Settings!$C$13,IF(COUNTIF($C$5:C1653,C1653)=1,Settings!$C$13,0))+E1653*Settings!$C$15+IF(H1653="Yes",J1653*Settings!$C$16,0))</f>
        <v/>
      </c>
      <c r="L1653" s="21">
        <f>IF(B1653="","",IF(Settings!$C$5="Yes",0,K1653*Settings!$C$17))</f>
        <v/>
      </c>
      <c r="M1653" s="21">
        <f>IF(B1653="","",E1653*IFERROR(VLOOKUP(D1653,Products!$B$5:$F$204,5,FALSE),0))</f>
        <v/>
      </c>
      <c r="N1653" s="21">
        <f>IF(B1653="","",J1653-K1653-L1653-M1653-I1653)</f>
        <v/>
      </c>
    </row>
    <row r="1654">
      <c r="B1654" s="11" t="n"/>
      <c r="C1654" s="8" t="n"/>
      <c r="D1654" s="8" t="n"/>
      <c r="E1654" s="8" t="n"/>
      <c r="F1654" s="20" t="n"/>
      <c r="G1654" s="20" t="n"/>
      <c r="H1654" s="8" t="n"/>
      <c r="I1654" s="20" t="n"/>
      <c r="J1654" s="21">
        <f>IF(B1654="","",F1654+G1654)</f>
        <v/>
      </c>
      <c r="K1654" s="21">
        <f>IF(B1654="","",J1654*(Settings!$C$11+Settings!$C$12+Settings!$C$14)+IF(C1654="",Settings!$C$13,IF(COUNTIF($C$5:C1654,C1654)=1,Settings!$C$13,0))+E1654*Settings!$C$15+IF(H1654="Yes",J1654*Settings!$C$16,0))</f>
        <v/>
      </c>
      <c r="L1654" s="21">
        <f>IF(B1654="","",IF(Settings!$C$5="Yes",0,K1654*Settings!$C$17))</f>
        <v/>
      </c>
      <c r="M1654" s="21">
        <f>IF(B1654="","",E1654*IFERROR(VLOOKUP(D1654,Products!$B$5:$F$204,5,FALSE),0))</f>
        <v/>
      </c>
      <c r="N1654" s="21">
        <f>IF(B1654="","",J1654-K1654-L1654-M1654-I1654)</f>
        <v/>
      </c>
    </row>
    <row r="1655">
      <c r="B1655" s="11" t="n"/>
      <c r="C1655" s="8" t="n"/>
      <c r="D1655" s="8" t="n"/>
      <c r="E1655" s="8" t="n"/>
      <c r="F1655" s="20" t="n"/>
      <c r="G1655" s="20" t="n"/>
      <c r="H1655" s="8" t="n"/>
      <c r="I1655" s="20" t="n"/>
      <c r="J1655" s="21">
        <f>IF(B1655="","",F1655+G1655)</f>
        <v/>
      </c>
      <c r="K1655" s="21">
        <f>IF(B1655="","",J1655*(Settings!$C$11+Settings!$C$12+Settings!$C$14)+IF(C1655="",Settings!$C$13,IF(COUNTIF($C$5:C1655,C1655)=1,Settings!$C$13,0))+E1655*Settings!$C$15+IF(H1655="Yes",J1655*Settings!$C$16,0))</f>
        <v/>
      </c>
      <c r="L1655" s="21">
        <f>IF(B1655="","",IF(Settings!$C$5="Yes",0,K1655*Settings!$C$17))</f>
        <v/>
      </c>
      <c r="M1655" s="21">
        <f>IF(B1655="","",E1655*IFERROR(VLOOKUP(D1655,Products!$B$5:$F$204,5,FALSE),0))</f>
        <v/>
      </c>
      <c r="N1655" s="21">
        <f>IF(B1655="","",J1655-K1655-L1655-M1655-I1655)</f>
        <v/>
      </c>
    </row>
    <row r="1656">
      <c r="B1656" s="11" t="n"/>
      <c r="C1656" s="8" t="n"/>
      <c r="D1656" s="8" t="n"/>
      <c r="E1656" s="8" t="n"/>
      <c r="F1656" s="20" t="n"/>
      <c r="G1656" s="20" t="n"/>
      <c r="H1656" s="8" t="n"/>
      <c r="I1656" s="20" t="n"/>
      <c r="J1656" s="21">
        <f>IF(B1656="","",F1656+G1656)</f>
        <v/>
      </c>
      <c r="K1656" s="21">
        <f>IF(B1656="","",J1656*(Settings!$C$11+Settings!$C$12+Settings!$C$14)+IF(C1656="",Settings!$C$13,IF(COUNTIF($C$5:C1656,C1656)=1,Settings!$C$13,0))+E1656*Settings!$C$15+IF(H1656="Yes",J1656*Settings!$C$16,0))</f>
        <v/>
      </c>
      <c r="L1656" s="21">
        <f>IF(B1656="","",IF(Settings!$C$5="Yes",0,K1656*Settings!$C$17))</f>
        <v/>
      </c>
      <c r="M1656" s="21">
        <f>IF(B1656="","",E1656*IFERROR(VLOOKUP(D1656,Products!$B$5:$F$204,5,FALSE),0))</f>
        <v/>
      </c>
      <c r="N1656" s="21">
        <f>IF(B1656="","",J1656-K1656-L1656-M1656-I1656)</f>
        <v/>
      </c>
    </row>
    <row r="1657">
      <c r="B1657" s="11" t="n"/>
      <c r="C1657" s="8" t="n"/>
      <c r="D1657" s="8" t="n"/>
      <c r="E1657" s="8" t="n"/>
      <c r="F1657" s="20" t="n"/>
      <c r="G1657" s="20" t="n"/>
      <c r="H1657" s="8" t="n"/>
      <c r="I1657" s="20" t="n"/>
      <c r="J1657" s="21">
        <f>IF(B1657="","",F1657+G1657)</f>
        <v/>
      </c>
      <c r="K1657" s="21">
        <f>IF(B1657="","",J1657*(Settings!$C$11+Settings!$C$12+Settings!$C$14)+IF(C1657="",Settings!$C$13,IF(COUNTIF($C$5:C1657,C1657)=1,Settings!$C$13,0))+E1657*Settings!$C$15+IF(H1657="Yes",J1657*Settings!$C$16,0))</f>
        <v/>
      </c>
      <c r="L1657" s="21">
        <f>IF(B1657="","",IF(Settings!$C$5="Yes",0,K1657*Settings!$C$17))</f>
        <v/>
      </c>
      <c r="M1657" s="21">
        <f>IF(B1657="","",E1657*IFERROR(VLOOKUP(D1657,Products!$B$5:$F$204,5,FALSE),0))</f>
        <v/>
      </c>
      <c r="N1657" s="21">
        <f>IF(B1657="","",J1657-K1657-L1657-M1657-I1657)</f>
        <v/>
      </c>
    </row>
    <row r="1658">
      <c r="B1658" s="11" t="n"/>
      <c r="C1658" s="8" t="n"/>
      <c r="D1658" s="8" t="n"/>
      <c r="E1658" s="8" t="n"/>
      <c r="F1658" s="20" t="n"/>
      <c r="G1658" s="20" t="n"/>
      <c r="H1658" s="8" t="n"/>
      <c r="I1658" s="20" t="n"/>
      <c r="J1658" s="21">
        <f>IF(B1658="","",F1658+G1658)</f>
        <v/>
      </c>
      <c r="K1658" s="21">
        <f>IF(B1658="","",J1658*(Settings!$C$11+Settings!$C$12+Settings!$C$14)+IF(C1658="",Settings!$C$13,IF(COUNTIF($C$5:C1658,C1658)=1,Settings!$C$13,0))+E1658*Settings!$C$15+IF(H1658="Yes",J1658*Settings!$C$16,0))</f>
        <v/>
      </c>
      <c r="L1658" s="21">
        <f>IF(B1658="","",IF(Settings!$C$5="Yes",0,K1658*Settings!$C$17))</f>
        <v/>
      </c>
      <c r="M1658" s="21">
        <f>IF(B1658="","",E1658*IFERROR(VLOOKUP(D1658,Products!$B$5:$F$204,5,FALSE),0))</f>
        <v/>
      </c>
      <c r="N1658" s="21">
        <f>IF(B1658="","",J1658-K1658-L1658-M1658-I1658)</f>
        <v/>
      </c>
    </row>
    <row r="1659">
      <c r="B1659" s="11" t="n"/>
      <c r="C1659" s="8" t="n"/>
      <c r="D1659" s="8" t="n"/>
      <c r="E1659" s="8" t="n"/>
      <c r="F1659" s="20" t="n"/>
      <c r="G1659" s="20" t="n"/>
      <c r="H1659" s="8" t="n"/>
      <c r="I1659" s="20" t="n"/>
      <c r="J1659" s="21">
        <f>IF(B1659="","",F1659+G1659)</f>
        <v/>
      </c>
      <c r="K1659" s="21">
        <f>IF(B1659="","",J1659*(Settings!$C$11+Settings!$C$12+Settings!$C$14)+IF(C1659="",Settings!$C$13,IF(COUNTIF($C$5:C1659,C1659)=1,Settings!$C$13,0))+E1659*Settings!$C$15+IF(H1659="Yes",J1659*Settings!$C$16,0))</f>
        <v/>
      </c>
      <c r="L1659" s="21">
        <f>IF(B1659="","",IF(Settings!$C$5="Yes",0,K1659*Settings!$C$17))</f>
        <v/>
      </c>
      <c r="M1659" s="21">
        <f>IF(B1659="","",E1659*IFERROR(VLOOKUP(D1659,Products!$B$5:$F$204,5,FALSE),0))</f>
        <v/>
      </c>
      <c r="N1659" s="21">
        <f>IF(B1659="","",J1659-K1659-L1659-M1659-I1659)</f>
        <v/>
      </c>
    </row>
    <row r="1660">
      <c r="B1660" s="11" t="n"/>
      <c r="C1660" s="8" t="n"/>
      <c r="D1660" s="8" t="n"/>
      <c r="E1660" s="8" t="n"/>
      <c r="F1660" s="20" t="n"/>
      <c r="G1660" s="20" t="n"/>
      <c r="H1660" s="8" t="n"/>
      <c r="I1660" s="20" t="n"/>
      <c r="J1660" s="21">
        <f>IF(B1660="","",F1660+G1660)</f>
        <v/>
      </c>
      <c r="K1660" s="21">
        <f>IF(B1660="","",J1660*(Settings!$C$11+Settings!$C$12+Settings!$C$14)+IF(C1660="",Settings!$C$13,IF(COUNTIF($C$5:C1660,C1660)=1,Settings!$C$13,0))+E1660*Settings!$C$15+IF(H1660="Yes",J1660*Settings!$C$16,0))</f>
        <v/>
      </c>
      <c r="L1660" s="21">
        <f>IF(B1660="","",IF(Settings!$C$5="Yes",0,K1660*Settings!$C$17))</f>
        <v/>
      </c>
      <c r="M1660" s="21">
        <f>IF(B1660="","",E1660*IFERROR(VLOOKUP(D1660,Products!$B$5:$F$204,5,FALSE),0))</f>
        <v/>
      </c>
      <c r="N1660" s="21">
        <f>IF(B1660="","",J1660-K1660-L1660-M1660-I1660)</f>
        <v/>
      </c>
    </row>
    <row r="1661">
      <c r="B1661" s="11" t="n"/>
      <c r="C1661" s="8" t="n"/>
      <c r="D1661" s="8" t="n"/>
      <c r="E1661" s="8" t="n"/>
      <c r="F1661" s="20" t="n"/>
      <c r="G1661" s="20" t="n"/>
      <c r="H1661" s="8" t="n"/>
      <c r="I1661" s="20" t="n"/>
      <c r="J1661" s="21">
        <f>IF(B1661="","",F1661+G1661)</f>
        <v/>
      </c>
      <c r="K1661" s="21">
        <f>IF(B1661="","",J1661*(Settings!$C$11+Settings!$C$12+Settings!$C$14)+IF(C1661="",Settings!$C$13,IF(COUNTIF($C$5:C1661,C1661)=1,Settings!$C$13,0))+E1661*Settings!$C$15+IF(H1661="Yes",J1661*Settings!$C$16,0))</f>
        <v/>
      </c>
      <c r="L1661" s="21">
        <f>IF(B1661="","",IF(Settings!$C$5="Yes",0,K1661*Settings!$C$17))</f>
        <v/>
      </c>
      <c r="M1661" s="21">
        <f>IF(B1661="","",E1661*IFERROR(VLOOKUP(D1661,Products!$B$5:$F$204,5,FALSE),0))</f>
        <v/>
      </c>
      <c r="N1661" s="21">
        <f>IF(B1661="","",J1661-K1661-L1661-M1661-I1661)</f>
        <v/>
      </c>
    </row>
    <row r="1662">
      <c r="B1662" s="11" t="n"/>
      <c r="C1662" s="8" t="n"/>
      <c r="D1662" s="8" t="n"/>
      <c r="E1662" s="8" t="n"/>
      <c r="F1662" s="20" t="n"/>
      <c r="G1662" s="20" t="n"/>
      <c r="H1662" s="8" t="n"/>
      <c r="I1662" s="20" t="n"/>
      <c r="J1662" s="21">
        <f>IF(B1662="","",F1662+G1662)</f>
        <v/>
      </c>
      <c r="K1662" s="21">
        <f>IF(B1662="","",J1662*(Settings!$C$11+Settings!$C$12+Settings!$C$14)+IF(C1662="",Settings!$C$13,IF(COUNTIF($C$5:C1662,C1662)=1,Settings!$C$13,0))+E1662*Settings!$C$15+IF(H1662="Yes",J1662*Settings!$C$16,0))</f>
        <v/>
      </c>
      <c r="L1662" s="21">
        <f>IF(B1662="","",IF(Settings!$C$5="Yes",0,K1662*Settings!$C$17))</f>
        <v/>
      </c>
      <c r="M1662" s="21">
        <f>IF(B1662="","",E1662*IFERROR(VLOOKUP(D1662,Products!$B$5:$F$204,5,FALSE),0))</f>
        <v/>
      </c>
      <c r="N1662" s="21">
        <f>IF(B1662="","",J1662-K1662-L1662-M1662-I1662)</f>
        <v/>
      </c>
    </row>
    <row r="1663">
      <c r="B1663" s="11" t="n"/>
      <c r="C1663" s="8" t="n"/>
      <c r="D1663" s="8" t="n"/>
      <c r="E1663" s="8" t="n"/>
      <c r="F1663" s="20" t="n"/>
      <c r="G1663" s="20" t="n"/>
      <c r="H1663" s="8" t="n"/>
      <c r="I1663" s="20" t="n"/>
      <c r="J1663" s="21">
        <f>IF(B1663="","",F1663+G1663)</f>
        <v/>
      </c>
      <c r="K1663" s="21">
        <f>IF(B1663="","",J1663*(Settings!$C$11+Settings!$C$12+Settings!$C$14)+IF(C1663="",Settings!$C$13,IF(COUNTIF($C$5:C1663,C1663)=1,Settings!$C$13,0))+E1663*Settings!$C$15+IF(H1663="Yes",J1663*Settings!$C$16,0))</f>
        <v/>
      </c>
      <c r="L1663" s="21">
        <f>IF(B1663="","",IF(Settings!$C$5="Yes",0,K1663*Settings!$C$17))</f>
        <v/>
      </c>
      <c r="M1663" s="21">
        <f>IF(B1663="","",E1663*IFERROR(VLOOKUP(D1663,Products!$B$5:$F$204,5,FALSE),0))</f>
        <v/>
      </c>
      <c r="N1663" s="21">
        <f>IF(B1663="","",J1663-K1663-L1663-M1663-I1663)</f>
        <v/>
      </c>
    </row>
    <row r="1664">
      <c r="B1664" s="11" t="n"/>
      <c r="C1664" s="8" t="n"/>
      <c r="D1664" s="8" t="n"/>
      <c r="E1664" s="8" t="n"/>
      <c r="F1664" s="20" t="n"/>
      <c r="G1664" s="20" t="n"/>
      <c r="H1664" s="8" t="n"/>
      <c r="I1664" s="20" t="n"/>
      <c r="J1664" s="21">
        <f>IF(B1664="","",F1664+G1664)</f>
        <v/>
      </c>
      <c r="K1664" s="21">
        <f>IF(B1664="","",J1664*(Settings!$C$11+Settings!$C$12+Settings!$C$14)+IF(C1664="",Settings!$C$13,IF(COUNTIF($C$5:C1664,C1664)=1,Settings!$C$13,0))+E1664*Settings!$C$15+IF(H1664="Yes",J1664*Settings!$C$16,0))</f>
        <v/>
      </c>
      <c r="L1664" s="21">
        <f>IF(B1664="","",IF(Settings!$C$5="Yes",0,K1664*Settings!$C$17))</f>
        <v/>
      </c>
      <c r="M1664" s="21">
        <f>IF(B1664="","",E1664*IFERROR(VLOOKUP(D1664,Products!$B$5:$F$204,5,FALSE),0))</f>
        <v/>
      </c>
      <c r="N1664" s="21">
        <f>IF(B1664="","",J1664-K1664-L1664-M1664-I1664)</f>
        <v/>
      </c>
    </row>
    <row r="1665">
      <c r="B1665" s="11" t="n"/>
      <c r="C1665" s="8" t="n"/>
      <c r="D1665" s="8" t="n"/>
      <c r="E1665" s="8" t="n"/>
      <c r="F1665" s="20" t="n"/>
      <c r="G1665" s="20" t="n"/>
      <c r="H1665" s="8" t="n"/>
      <c r="I1665" s="20" t="n"/>
      <c r="J1665" s="21">
        <f>IF(B1665="","",F1665+G1665)</f>
        <v/>
      </c>
      <c r="K1665" s="21">
        <f>IF(B1665="","",J1665*(Settings!$C$11+Settings!$C$12+Settings!$C$14)+IF(C1665="",Settings!$C$13,IF(COUNTIF($C$5:C1665,C1665)=1,Settings!$C$13,0))+E1665*Settings!$C$15+IF(H1665="Yes",J1665*Settings!$C$16,0))</f>
        <v/>
      </c>
      <c r="L1665" s="21">
        <f>IF(B1665="","",IF(Settings!$C$5="Yes",0,K1665*Settings!$C$17))</f>
        <v/>
      </c>
      <c r="M1665" s="21">
        <f>IF(B1665="","",E1665*IFERROR(VLOOKUP(D1665,Products!$B$5:$F$204,5,FALSE),0))</f>
        <v/>
      </c>
      <c r="N1665" s="21">
        <f>IF(B1665="","",J1665-K1665-L1665-M1665-I1665)</f>
        <v/>
      </c>
    </row>
    <row r="1666">
      <c r="B1666" s="11" t="n"/>
      <c r="C1666" s="8" t="n"/>
      <c r="D1666" s="8" t="n"/>
      <c r="E1666" s="8" t="n"/>
      <c r="F1666" s="20" t="n"/>
      <c r="G1666" s="20" t="n"/>
      <c r="H1666" s="8" t="n"/>
      <c r="I1666" s="20" t="n"/>
      <c r="J1666" s="21">
        <f>IF(B1666="","",F1666+G1666)</f>
        <v/>
      </c>
      <c r="K1666" s="21">
        <f>IF(B1666="","",J1666*(Settings!$C$11+Settings!$C$12+Settings!$C$14)+IF(C1666="",Settings!$C$13,IF(COUNTIF($C$5:C1666,C1666)=1,Settings!$C$13,0))+E1666*Settings!$C$15+IF(H1666="Yes",J1666*Settings!$C$16,0))</f>
        <v/>
      </c>
      <c r="L1666" s="21">
        <f>IF(B1666="","",IF(Settings!$C$5="Yes",0,K1666*Settings!$C$17))</f>
        <v/>
      </c>
      <c r="M1666" s="21">
        <f>IF(B1666="","",E1666*IFERROR(VLOOKUP(D1666,Products!$B$5:$F$204,5,FALSE),0))</f>
        <v/>
      </c>
      <c r="N1666" s="21">
        <f>IF(B1666="","",J1666-K1666-L1666-M1666-I1666)</f>
        <v/>
      </c>
    </row>
    <row r="1667">
      <c r="B1667" s="11" t="n"/>
      <c r="C1667" s="8" t="n"/>
      <c r="D1667" s="8" t="n"/>
      <c r="E1667" s="8" t="n"/>
      <c r="F1667" s="20" t="n"/>
      <c r="G1667" s="20" t="n"/>
      <c r="H1667" s="8" t="n"/>
      <c r="I1667" s="20" t="n"/>
      <c r="J1667" s="21">
        <f>IF(B1667="","",F1667+G1667)</f>
        <v/>
      </c>
      <c r="K1667" s="21">
        <f>IF(B1667="","",J1667*(Settings!$C$11+Settings!$C$12+Settings!$C$14)+IF(C1667="",Settings!$C$13,IF(COUNTIF($C$5:C1667,C1667)=1,Settings!$C$13,0))+E1667*Settings!$C$15+IF(H1667="Yes",J1667*Settings!$C$16,0))</f>
        <v/>
      </c>
      <c r="L1667" s="21">
        <f>IF(B1667="","",IF(Settings!$C$5="Yes",0,K1667*Settings!$C$17))</f>
        <v/>
      </c>
      <c r="M1667" s="21">
        <f>IF(B1667="","",E1667*IFERROR(VLOOKUP(D1667,Products!$B$5:$F$204,5,FALSE),0))</f>
        <v/>
      </c>
      <c r="N1667" s="21">
        <f>IF(B1667="","",J1667-K1667-L1667-M1667-I1667)</f>
        <v/>
      </c>
    </row>
    <row r="1668">
      <c r="B1668" s="11" t="n"/>
      <c r="C1668" s="8" t="n"/>
      <c r="D1668" s="8" t="n"/>
      <c r="E1668" s="8" t="n"/>
      <c r="F1668" s="20" t="n"/>
      <c r="G1668" s="20" t="n"/>
      <c r="H1668" s="8" t="n"/>
      <c r="I1668" s="20" t="n"/>
      <c r="J1668" s="21">
        <f>IF(B1668="","",F1668+G1668)</f>
        <v/>
      </c>
      <c r="K1668" s="21">
        <f>IF(B1668="","",J1668*(Settings!$C$11+Settings!$C$12+Settings!$C$14)+IF(C1668="",Settings!$C$13,IF(COUNTIF($C$5:C1668,C1668)=1,Settings!$C$13,0))+E1668*Settings!$C$15+IF(H1668="Yes",J1668*Settings!$C$16,0))</f>
        <v/>
      </c>
      <c r="L1668" s="21">
        <f>IF(B1668="","",IF(Settings!$C$5="Yes",0,K1668*Settings!$C$17))</f>
        <v/>
      </c>
      <c r="M1668" s="21">
        <f>IF(B1668="","",E1668*IFERROR(VLOOKUP(D1668,Products!$B$5:$F$204,5,FALSE),0))</f>
        <v/>
      </c>
      <c r="N1668" s="21">
        <f>IF(B1668="","",J1668-K1668-L1668-M1668-I1668)</f>
        <v/>
      </c>
    </row>
    <row r="1669">
      <c r="B1669" s="11" t="n"/>
      <c r="C1669" s="8" t="n"/>
      <c r="D1669" s="8" t="n"/>
      <c r="E1669" s="8" t="n"/>
      <c r="F1669" s="20" t="n"/>
      <c r="G1669" s="20" t="n"/>
      <c r="H1669" s="8" t="n"/>
      <c r="I1669" s="20" t="n"/>
      <c r="J1669" s="21">
        <f>IF(B1669="","",F1669+G1669)</f>
        <v/>
      </c>
      <c r="K1669" s="21">
        <f>IF(B1669="","",J1669*(Settings!$C$11+Settings!$C$12+Settings!$C$14)+IF(C1669="",Settings!$C$13,IF(COUNTIF($C$5:C1669,C1669)=1,Settings!$C$13,0))+E1669*Settings!$C$15+IF(H1669="Yes",J1669*Settings!$C$16,0))</f>
        <v/>
      </c>
      <c r="L1669" s="21">
        <f>IF(B1669="","",IF(Settings!$C$5="Yes",0,K1669*Settings!$C$17))</f>
        <v/>
      </c>
      <c r="M1669" s="21">
        <f>IF(B1669="","",E1669*IFERROR(VLOOKUP(D1669,Products!$B$5:$F$204,5,FALSE),0))</f>
        <v/>
      </c>
      <c r="N1669" s="21">
        <f>IF(B1669="","",J1669-K1669-L1669-M1669-I1669)</f>
        <v/>
      </c>
    </row>
    <row r="1670">
      <c r="B1670" s="11" t="n"/>
      <c r="C1670" s="8" t="n"/>
      <c r="D1670" s="8" t="n"/>
      <c r="E1670" s="8" t="n"/>
      <c r="F1670" s="20" t="n"/>
      <c r="G1670" s="20" t="n"/>
      <c r="H1670" s="8" t="n"/>
      <c r="I1670" s="20" t="n"/>
      <c r="J1670" s="21">
        <f>IF(B1670="","",F1670+G1670)</f>
        <v/>
      </c>
      <c r="K1670" s="21">
        <f>IF(B1670="","",J1670*(Settings!$C$11+Settings!$C$12+Settings!$C$14)+IF(C1670="",Settings!$C$13,IF(COUNTIF($C$5:C1670,C1670)=1,Settings!$C$13,0))+E1670*Settings!$C$15+IF(H1670="Yes",J1670*Settings!$C$16,0))</f>
        <v/>
      </c>
      <c r="L1670" s="21">
        <f>IF(B1670="","",IF(Settings!$C$5="Yes",0,K1670*Settings!$C$17))</f>
        <v/>
      </c>
      <c r="M1670" s="21">
        <f>IF(B1670="","",E1670*IFERROR(VLOOKUP(D1670,Products!$B$5:$F$204,5,FALSE),0))</f>
        <v/>
      </c>
      <c r="N1670" s="21">
        <f>IF(B1670="","",J1670-K1670-L1670-M1670-I1670)</f>
        <v/>
      </c>
    </row>
    <row r="1671">
      <c r="B1671" s="11" t="n"/>
      <c r="C1671" s="8" t="n"/>
      <c r="D1671" s="8" t="n"/>
      <c r="E1671" s="8" t="n"/>
      <c r="F1671" s="20" t="n"/>
      <c r="G1671" s="20" t="n"/>
      <c r="H1671" s="8" t="n"/>
      <c r="I1671" s="20" t="n"/>
      <c r="J1671" s="21">
        <f>IF(B1671="","",F1671+G1671)</f>
        <v/>
      </c>
      <c r="K1671" s="21">
        <f>IF(B1671="","",J1671*(Settings!$C$11+Settings!$C$12+Settings!$C$14)+IF(C1671="",Settings!$C$13,IF(COUNTIF($C$5:C1671,C1671)=1,Settings!$C$13,0))+E1671*Settings!$C$15+IF(H1671="Yes",J1671*Settings!$C$16,0))</f>
        <v/>
      </c>
      <c r="L1671" s="21">
        <f>IF(B1671="","",IF(Settings!$C$5="Yes",0,K1671*Settings!$C$17))</f>
        <v/>
      </c>
      <c r="M1671" s="21">
        <f>IF(B1671="","",E1671*IFERROR(VLOOKUP(D1671,Products!$B$5:$F$204,5,FALSE),0))</f>
        <v/>
      </c>
      <c r="N1671" s="21">
        <f>IF(B1671="","",J1671-K1671-L1671-M1671-I1671)</f>
        <v/>
      </c>
    </row>
    <row r="1672">
      <c r="B1672" s="11" t="n"/>
      <c r="C1672" s="8" t="n"/>
      <c r="D1672" s="8" t="n"/>
      <c r="E1672" s="8" t="n"/>
      <c r="F1672" s="20" t="n"/>
      <c r="G1672" s="20" t="n"/>
      <c r="H1672" s="8" t="n"/>
      <c r="I1672" s="20" t="n"/>
      <c r="J1672" s="21">
        <f>IF(B1672="","",F1672+G1672)</f>
        <v/>
      </c>
      <c r="K1672" s="21">
        <f>IF(B1672="","",J1672*(Settings!$C$11+Settings!$C$12+Settings!$C$14)+IF(C1672="",Settings!$C$13,IF(COUNTIF($C$5:C1672,C1672)=1,Settings!$C$13,0))+E1672*Settings!$C$15+IF(H1672="Yes",J1672*Settings!$C$16,0))</f>
        <v/>
      </c>
      <c r="L1672" s="21">
        <f>IF(B1672="","",IF(Settings!$C$5="Yes",0,K1672*Settings!$C$17))</f>
        <v/>
      </c>
      <c r="M1672" s="21">
        <f>IF(B1672="","",E1672*IFERROR(VLOOKUP(D1672,Products!$B$5:$F$204,5,FALSE),0))</f>
        <v/>
      </c>
      <c r="N1672" s="21">
        <f>IF(B1672="","",J1672-K1672-L1672-M1672-I1672)</f>
        <v/>
      </c>
    </row>
    <row r="1673">
      <c r="B1673" s="11" t="n"/>
      <c r="C1673" s="8" t="n"/>
      <c r="D1673" s="8" t="n"/>
      <c r="E1673" s="8" t="n"/>
      <c r="F1673" s="20" t="n"/>
      <c r="G1673" s="20" t="n"/>
      <c r="H1673" s="8" t="n"/>
      <c r="I1673" s="20" t="n"/>
      <c r="J1673" s="21">
        <f>IF(B1673="","",F1673+G1673)</f>
        <v/>
      </c>
      <c r="K1673" s="21">
        <f>IF(B1673="","",J1673*(Settings!$C$11+Settings!$C$12+Settings!$C$14)+IF(C1673="",Settings!$C$13,IF(COUNTIF($C$5:C1673,C1673)=1,Settings!$C$13,0))+E1673*Settings!$C$15+IF(H1673="Yes",J1673*Settings!$C$16,0))</f>
        <v/>
      </c>
      <c r="L1673" s="21">
        <f>IF(B1673="","",IF(Settings!$C$5="Yes",0,K1673*Settings!$C$17))</f>
        <v/>
      </c>
      <c r="M1673" s="21">
        <f>IF(B1673="","",E1673*IFERROR(VLOOKUP(D1673,Products!$B$5:$F$204,5,FALSE),0))</f>
        <v/>
      </c>
      <c r="N1673" s="21">
        <f>IF(B1673="","",J1673-K1673-L1673-M1673-I1673)</f>
        <v/>
      </c>
    </row>
    <row r="1674">
      <c r="B1674" s="11" t="n"/>
      <c r="C1674" s="8" t="n"/>
      <c r="D1674" s="8" t="n"/>
      <c r="E1674" s="8" t="n"/>
      <c r="F1674" s="20" t="n"/>
      <c r="G1674" s="20" t="n"/>
      <c r="H1674" s="8" t="n"/>
      <c r="I1674" s="20" t="n"/>
      <c r="J1674" s="21">
        <f>IF(B1674="","",F1674+G1674)</f>
        <v/>
      </c>
      <c r="K1674" s="21">
        <f>IF(B1674="","",J1674*(Settings!$C$11+Settings!$C$12+Settings!$C$14)+IF(C1674="",Settings!$C$13,IF(COUNTIF($C$5:C1674,C1674)=1,Settings!$C$13,0))+E1674*Settings!$C$15+IF(H1674="Yes",J1674*Settings!$C$16,0))</f>
        <v/>
      </c>
      <c r="L1674" s="21">
        <f>IF(B1674="","",IF(Settings!$C$5="Yes",0,K1674*Settings!$C$17))</f>
        <v/>
      </c>
      <c r="M1674" s="21">
        <f>IF(B1674="","",E1674*IFERROR(VLOOKUP(D1674,Products!$B$5:$F$204,5,FALSE),0))</f>
        <v/>
      </c>
      <c r="N1674" s="21">
        <f>IF(B1674="","",J1674-K1674-L1674-M1674-I1674)</f>
        <v/>
      </c>
    </row>
    <row r="1675">
      <c r="B1675" s="11" t="n"/>
      <c r="C1675" s="8" t="n"/>
      <c r="D1675" s="8" t="n"/>
      <c r="E1675" s="8" t="n"/>
      <c r="F1675" s="20" t="n"/>
      <c r="G1675" s="20" t="n"/>
      <c r="H1675" s="8" t="n"/>
      <c r="I1675" s="20" t="n"/>
      <c r="J1675" s="21">
        <f>IF(B1675="","",F1675+G1675)</f>
        <v/>
      </c>
      <c r="K1675" s="21">
        <f>IF(B1675="","",J1675*(Settings!$C$11+Settings!$C$12+Settings!$C$14)+IF(C1675="",Settings!$C$13,IF(COUNTIF($C$5:C1675,C1675)=1,Settings!$C$13,0))+E1675*Settings!$C$15+IF(H1675="Yes",J1675*Settings!$C$16,0))</f>
        <v/>
      </c>
      <c r="L1675" s="21">
        <f>IF(B1675="","",IF(Settings!$C$5="Yes",0,K1675*Settings!$C$17))</f>
        <v/>
      </c>
      <c r="M1675" s="21">
        <f>IF(B1675="","",E1675*IFERROR(VLOOKUP(D1675,Products!$B$5:$F$204,5,FALSE),0))</f>
        <v/>
      </c>
      <c r="N1675" s="21">
        <f>IF(B1675="","",J1675-K1675-L1675-M1675-I1675)</f>
        <v/>
      </c>
    </row>
    <row r="1676">
      <c r="B1676" s="11" t="n"/>
      <c r="C1676" s="8" t="n"/>
      <c r="D1676" s="8" t="n"/>
      <c r="E1676" s="8" t="n"/>
      <c r="F1676" s="20" t="n"/>
      <c r="G1676" s="20" t="n"/>
      <c r="H1676" s="8" t="n"/>
      <c r="I1676" s="20" t="n"/>
      <c r="J1676" s="21">
        <f>IF(B1676="","",F1676+G1676)</f>
        <v/>
      </c>
      <c r="K1676" s="21">
        <f>IF(B1676="","",J1676*(Settings!$C$11+Settings!$C$12+Settings!$C$14)+IF(C1676="",Settings!$C$13,IF(COUNTIF($C$5:C1676,C1676)=1,Settings!$C$13,0))+E1676*Settings!$C$15+IF(H1676="Yes",J1676*Settings!$C$16,0))</f>
        <v/>
      </c>
      <c r="L1676" s="21">
        <f>IF(B1676="","",IF(Settings!$C$5="Yes",0,K1676*Settings!$C$17))</f>
        <v/>
      </c>
      <c r="M1676" s="21">
        <f>IF(B1676="","",E1676*IFERROR(VLOOKUP(D1676,Products!$B$5:$F$204,5,FALSE),0))</f>
        <v/>
      </c>
      <c r="N1676" s="21">
        <f>IF(B1676="","",J1676-K1676-L1676-M1676-I1676)</f>
        <v/>
      </c>
    </row>
    <row r="1677">
      <c r="B1677" s="11" t="n"/>
      <c r="C1677" s="8" t="n"/>
      <c r="D1677" s="8" t="n"/>
      <c r="E1677" s="8" t="n"/>
      <c r="F1677" s="20" t="n"/>
      <c r="G1677" s="20" t="n"/>
      <c r="H1677" s="8" t="n"/>
      <c r="I1677" s="20" t="n"/>
      <c r="J1677" s="21">
        <f>IF(B1677="","",F1677+G1677)</f>
        <v/>
      </c>
      <c r="K1677" s="21">
        <f>IF(B1677="","",J1677*(Settings!$C$11+Settings!$C$12+Settings!$C$14)+IF(C1677="",Settings!$C$13,IF(COUNTIF($C$5:C1677,C1677)=1,Settings!$C$13,0))+E1677*Settings!$C$15+IF(H1677="Yes",J1677*Settings!$C$16,0))</f>
        <v/>
      </c>
      <c r="L1677" s="21">
        <f>IF(B1677="","",IF(Settings!$C$5="Yes",0,K1677*Settings!$C$17))</f>
        <v/>
      </c>
      <c r="M1677" s="21">
        <f>IF(B1677="","",E1677*IFERROR(VLOOKUP(D1677,Products!$B$5:$F$204,5,FALSE),0))</f>
        <v/>
      </c>
      <c r="N1677" s="21">
        <f>IF(B1677="","",J1677-K1677-L1677-M1677-I1677)</f>
        <v/>
      </c>
    </row>
    <row r="1678">
      <c r="B1678" s="11" t="n"/>
      <c r="C1678" s="8" t="n"/>
      <c r="D1678" s="8" t="n"/>
      <c r="E1678" s="8" t="n"/>
      <c r="F1678" s="20" t="n"/>
      <c r="G1678" s="20" t="n"/>
      <c r="H1678" s="8" t="n"/>
      <c r="I1678" s="20" t="n"/>
      <c r="J1678" s="21">
        <f>IF(B1678="","",F1678+G1678)</f>
        <v/>
      </c>
      <c r="K1678" s="21">
        <f>IF(B1678="","",J1678*(Settings!$C$11+Settings!$C$12+Settings!$C$14)+IF(C1678="",Settings!$C$13,IF(COUNTIF($C$5:C1678,C1678)=1,Settings!$C$13,0))+E1678*Settings!$C$15+IF(H1678="Yes",J1678*Settings!$C$16,0))</f>
        <v/>
      </c>
      <c r="L1678" s="21">
        <f>IF(B1678="","",IF(Settings!$C$5="Yes",0,K1678*Settings!$C$17))</f>
        <v/>
      </c>
      <c r="M1678" s="21">
        <f>IF(B1678="","",E1678*IFERROR(VLOOKUP(D1678,Products!$B$5:$F$204,5,FALSE),0))</f>
        <v/>
      </c>
      <c r="N1678" s="21">
        <f>IF(B1678="","",J1678-K1678-L1678-M1678-I1678)</f>
        <v/>
      </c>
    </row>
    <row r="1679">
      <c r="B1679" s="11" t="n"/>
      <c r="C1679" s="8" t="n"/>
      <c r="D1679" s="8" t="n"/>
      <c r="E1679" s="8" t="n"/>
      <c r="F1679" s="20" t="n"/>
      <c r="G1679" s="20" t="n"/>
      <c r="H1679" s="8" t="n"/>
      <c r="I1679" s="20" t="n"/>
      <c r="J1679" s="21">
        <f>IF(B1679="","",F1679+G1679)</f>
        <v/>
      </c>
      <c r="K1679" s="21">
        <f>IF(B1679="","",J1679*(Settings!$C$11+Settings!$C$12+Settings!$C$14)+IF(C1679="",Settings!$C$13,IF(COUNTIF($C$5:C1679,C1679)=1,Settings!$C$13,0))+E1679*Settings!$C$15+IF(H1679="Yes",J1679*Settings!$C$16,0))</f>
        <v/>
      </c>
      <c r="L1679" s="21">
        <f>IF(B1679="","",IF(Settings!$C$5="Yes",0,K1679*Settings!$C$17))</f>
        <v/>
      </c>
      <c r="M1679" s="21">
        <f>IF(B1679="","",E1679*IFERROR(VLOOKUP(D1679,Products!$B$5:$F$204,5,FALSE),0))</f>
        <v/>
      </c>
      <c r="N1679" s="21">
        <f>IF(B1679="","",J1679-K1679-L1679-M1679-I1679)</f>
        <v/>
      </c>
    </row>
    <row r="1680">
      <c r="B1680" s="11" t="n"/>
      <c r="C1680" s="8" t="n"/>
      <c r="D1680" s="8" t="n"/>
      <c r="E1680" s="8" t="n"/>
      <c r="F1680" s="20" t="n"/>
      <c r="G1680" s="20" t="n"/>
      <c r="H1680" s="8" t="n"/>
      <c r="I1680" s="20" t="n"/>
      <c r="J1680" s="21">
        <f>IF(B1680="","",F1680+G1680)</f>
        <v/>
      </c>
      <c r="K1680" s="21">
        <f>IF(B1680="","",J1680*(Settings!$C$11+Settings!$C$12+Settings!$C$14)+IF(C1680="",Settings!$C$13,IF(COUNTIF($C$5:C1680,C1680)=1,Settings!$C$13,0))+E1680*Settings!$C$15+IF(H1680="Yes",J1680*Settings!$C$16,0))</f>
        <v/>
      </c>
      <c r="L1680" s="21">
        <f>IF(B1680="","",IF(Settings!$C$5="Yes",0,K1680*Settings!$C$17))</f>
        <v/>
      </c>
      <c r="M1680" s="21">
        <f>IF(B1680="","",E1680*IFERROR(VLOOKUP(D1680,Products!$B$5:$F$204,5,FALSE),0))</f>
        <v/>
      </c>
      <c r="N1680" s="21">
        <f>IF(B1680="","",J1680-K1680-L1680-M1680-I1680)</f>
        <v/>
      </c>
    </row>
    <row r="1681">
      <c r="B1681" s="11" t="n"/>
      <c r="C1681" s="8" t="n"/>
      <c r="D1681" s="8" t="n"/>
      <c r="E1681" s="8" t="n"/>
      <c r="F1681" s="20" t="n"/>
      <c r="G1681" s="20" t="n"/>
      <c r="H1681" s="8" t="n"/>
      <c r="I1681" s="20" t="n"/>
      <c r="J1681" s="21">
        <f>IF(B1681="","",F1681+G1681)</f>
        <v/>
      </c>
      <c r="K1681" s="21">
        <f>IF(B1681="","",J1681*(Settings!$C$11+Settings!$C$12+Settings!$C$14)+IF(C1681="",Settings!$C$13,IF(COUNTIF($C$5:C1681,C1681)=1,Settings!$C$13,0))+E1681*Settings!$C$15+IF(H1681="Yes",J1681*Settings!$C$16,0))</f>
        <v/>
      </c>
      <c r="L1681" s="21">
        <f>IF(B1681="","",IF(Settings!$C$5="Yes",0,K1681*Settings!$C$17))</f>
        <v/>
      </c>
      <c r="M1681" s="21">
        <f>IF(B1681="","",E1681*IFERROR(VLOOKUP(D1681,Products!$B$5:$F$204,5,FALSE),0))</f>
        <v/>
      </c>
      <c r="N1681" s="21">
        <f>IF(B1681="","",J1681-K1681-L1681-M1681-I1681)</f>
        <v/>
      </c>
    </row>
    <row r="1682">
      <c r="B1682" s="11" t="n"/>
      <c r="C1682" s="8" t="n"/>
      <c r="D1682" s="8" t="n"/>
      <c r="E1682" s="8" t="n"/>
      <c r="F1682" s="20" t="n"/>
      <c r="G1682" s="20" t="n"/>
      <c r="H1682" s="8" t="n"/>
      <c r="I1682" s="20" t="n"/>
      <c r="J1682" s="21">
        <f>IF(B1682="","",F1682+G1682)</f>
        <v/>
      </c>
      <c r="K1682" s="21">
        <f>IF(B1682="","",J1682*(Settings!$C$11+Settings!$C$12+Settings!$C$14)+IF(C1682="",Settings!$C$13,IF(COUNTIF($C$5:C1682,C1682)=1,Settings!$C$13,0))+E1682*Settings!$C$15+IF(H1682="Yes",J1682*Settings!$C$16,0))</f>
        <v/>
      </c>
      <c r="L1682" s="21">
        <f>IF(B1682="","",IF(Settings!$C$5="Yes",0,K1682*Settings!$C$17))</f>
        <v/>
      </c>
      <c r="M1682" s="21">
        <f>IF(B1682="","",E1682*IFERROR(VLOOKUP(D1682,Products!$B$5:$F$204,5,FALSE),0))</f>
        <v/>
      </c>
      <c r="N1682" s="21">
        <f>IF(B1682="","",J1682-K1682-L1682-M1682-I1682)</f>
        <v/>
      </c>
    </row>
    <row r="1683">
      <c r="B1683" s="11" t="n"/>
      <c r="C1683" s="8" t="n"/>
      <c r="D1683" s="8" t="n"/>
      <c r="E1683" s="8" t="n"/>
      <c r="F1683" s="20" t="n"/>
      <c r="G1683" s="20" t="n"/>
      <c r="H1683" s="8" t="n"/>
      <c r="I1683" s="20" t="n"/>
      <c r="J1683" s="21">
        <f>IF(B1683="","",F1683+G1683)</f>
        <v/>
      </c>
      <c r="K1683" s="21">
        <f>IF(B1683="","",J1683*(Settings!$C$11+Settings!$C$12+Settings!$C$14)+IF(C1683="",Settings!$C$13,IF(COUNTIF($C$5:C1683,C1683)=1,Settings!$C$13,0))+E1683*Settings!$C$15+IF(H1683="Yes",J1683*Settings!$C$16,0))</f>
        <v/>
      </c>
      <c r="L1683" s="21">
        <f>IF(B1683="","",IF(Settings!$C$5="Yes",0,K1683*Settings!$C$17))</f>
        <v/>
      </c>
      <c r="M1683" s="21">
        <f>IF(B1683="","",E1683*IFERROR(VLOOKUP(D1683,Products!$B$5:$F$204,5,FALSE),0))</f>
        <v/>
      </c>
      <c r="N1683" s="21">
        <f>IF(B1683="","",J1683-K1683-L1683-M1683-I1683)</f>
        <v/>
      </c>
    </row>
    <row r="1684">
      <c r="B1684" s="11" t="n"/>
      <c r="C1684" s="8" t="n"/>
      <c r="D1684" s="8" t="n"/>
      <c r="E1684" s="8" t="n"/>
      <c r="F1684" s="20" t="n"/>
      <c r="G1684" s="20" t="n"/>
      <c r="H1684" s="8" t="n"/>
      <c r="I1684" s="20" t="n"/>
      <c r="J1684" s="21">
        <f>IF(B1684="","",F1684+G1684)</f>
        <v/>
      </c>
      <c r="K1684" s="21">
        <f>IF(B1684="","",J1684*(Settings!$C$11+Settings!$C$12+Settings!$C$14)+IF(C1684="",Settings!$C$13,IF(COUNTIF($C$5:C1684,C1684)=1,Settings!$C$13,0))+E1684*Settings!$C$15+IF(H1684="Yes",J1684*Settings!$C$16,0))</f>
        <v/>
      </c>
      <c r="L1684" s="21">
        <f>IF(B1684="","",IF(Settings!$C$5="Yes",0,K1684*Settings!$C$17))</f>
        <v/>
      </c>
      <c r="M1684" s="21">
        <f>IF(B1684="","",E1684*IFERROR(VLOOKUP(D1684,Products!$B$5:$F$204,5,FALSE),0))</f>
        <v/>
      </c>
      <c r="N1684" s="21">
        <f>IF(B1684="","",J1684-K1684-L1684-M1684-I1684)</f>
        <v/>
      </c>
    </row>
    <row r="1685">
      <c r="B1685" s="11" t="n"/>
      <c r="C1685" s="8" t="n"/>
      <c r="D1685" s="8" t="n"/>
      <c r="E1685" s="8" t="n"/>
      <c r="F1685" s="20" t="n"/>
      <c r="G1685" s="20" t="n"/>
      <c r="H1685" s="8" t="n"/>
      <c r="I1685" s="20" t="n"/>
      <c r="J1685" s="21">
        <f>IF(B1685="","",F1685+G1685)</f>
        <v/>
      </c>
      <c r="K1685" s="21">
        <f>IF(B1685="","",J1685*(Settings!$C$11+Settings!$C$12+Settings!$C$14)+IF(C1685="",Settings!$C$13,IF(COUNTIF($C$5:C1685,C1685)=1,Settings!$C$13,0))+E1685*Settings!$C$15+IF(H1685="Yes",J1685*Settings!$C$16,0))</f>
        <v/>
      </c>
      <c r="L1685" s="21">
        <f>IF(B1685="","",IF(Settings!$C$5="Yes",0,K1685*Settings!$C$17))</f>
        <v/>
      </c>
      <c r="M1685" s="21">
        <f>IF(B1685="","",E1685*IFERROR(VLOOKUP(D1685,Products!$B$5:$F$204,5,FALSE),0))</f>
        <v/>
      </c>
      <c r="N1685" s="21">
        <f>IF(B1685="","",J1685-K1685-L1685-M1685-I1685)</f>
        <v/>
      </c>
    </row>
    <row r="1686">
      <c r="B1686" s="11" t="n"/>
      <c r="C1686" s="8" t="n"/>
      <c r="D1686" s="8" t="n"/>
      <c r="E1686" s="8" t="n"/>
      <c r="F1686" s="20" t="n"/>
      <c r="G1686" s="20" t="n"/>
      <c r="H1686" s="8" t="n"/>
      <c r="I1686" s="20" t="n"/>
      <c r="J1686" s="21">
        <f>IF(B1686="","",F1686+G1686)</f>
        <v/>
      </c>
      <c r="K1686" s="21">
        <f>IF(B1686="","",J1686*(Settings!$C$11+Settings!$C$12+Settings!$C$14)+IF(C1686="",Settings!$C$13,IF(COUNTIF($C$5:C1686,C1686)=1,Settings!$C$13,0))+E1686*Settings!$C$15+IF(H1686="Yes",J1686*Settings!$C$16,0))</f>
        <v/>
      </c>
      <c r="L1686" s="21">
        <f>IF(B1686="","",IF(Settings!$C$5="Yes",0,K1686*Settings!$C$17))</f>
        <v/>
      </c>
      <c r="M1686" s="21">
        <f>IF(B1686="","",E1686*IFERROR(VLOOKUP(D1686,Products!$B$5:$F$204,5,FALSE),0))</f>
        <v/>
      </c>
      <c r="N1686" s="21">
        <f>IF(B1686="","",J1686-K1686-L1686-M1686-I1686)</f>
        <v/>
      </c>
    </row>
    <row r="1687">
      <c r="B1687" s="11" t="n"/>
      <c r="C1687" s="8" t="n"/>
      <c r="D1687" s="8" t="n"/>
      <c r="E1687" s="8" t="n"/>
      <c r="F1687" s="20" t="n"/>
      <c r="G1687" s="20" t="n"/>
      <c r="H1687" s="8" t="n"/>
      <c r="I1687" s="20" t="n"/>
      <c r="J1687" s="21">
        <f>IF(B1687="","",F1687+G1687)</f>
        <v/>
      </c>
      <c r="K1687" s="21">
        <f>IF(B1687="","",J1687*(Settings!$C$11+Settings!$C$12+Settings!$C$14)+IF(C1687="",Settings!$C$13,IF(COUNTIF($C$5:C1687,C1687)=1,Settings!$C$13,0))+E1687*Settings!$C$15+IF(H1687="Yes",J1687*Settings!$C$16,0))</f>
        <v/>
      </c>
      <c r="L1687" s="21">
        <f>IF(B1687="","",IF(Settings!$C$5="Yes",0,K1687*Settings!$C$17))</f>
        <v/>
      </c>
      <c r="M1687" s="21">
        <f>IF(B1687="","",E1687*IFERROR(VLOOKUP(D1687,Products!$B$5:$F$204,5,FALSE),0))</f>
        <v/>
      </c>
      <c r="N1687" s="21">
        <f>IF(B1687="","",J1687-K1687-L1687-M1687-I1687)</f>
        <v/>
      </c>
    </row>
    <row r="1688">
      <c r="B1688" s="11" t="n"/>
      <c r="C1688" s="8" t="n"/>
      <c r="D1688" s="8" t="n"/>
      <c r="E1688" s="8" t="n"/>
      <c r="F1688" s="20" t="n"/>
      <c r="G1688" s="20" t="n"/>
      <c r="H1688" s="8" t="n"/>
      <c r="I1688" s="20" t="n"/>
      <c r="J1688" s="21">
        <f>IF(B1688="","",F1688+G1688)</f>
        <v/>
      </c>
      <c r="K1688" s="21">
        <f>IF(B1688="","",J1688*(Settings!$C$11+Settings!$C$12+Settings!$C$14)+IF(C1688="",Settings!$C$13,IF(COUNTIF($C$5:C1688,C1688)=1,Settings!$C$13,0))+E1688*Settings!$C$15+IF(H1688="Yes",J1688*Settings!$C$16,0))</f>
        <v/>
      </c>
      <c r="L1688" s="21">
        <f>IF(B1688="","",IF(Settings!$C$5="Yes",0,K1688*Settings!$C$17))</f>
        <v/>
      </c>
      <c r="M1688" s="21">
        <f>IF(B1688="","",E1688*IFERROR(VLOOKUP(D1688,Products!$B$5:$F$204,5,FALSE),0))</f>
        <v/>
      </c>
      <c r="N1688" s="21">
        <f>IF(B1688="","",J1688-K1688-L1688-M1688-I1688)</f>
        <v/>
      </c>
    </row>
    <row r="1689">
      <c r="B1689" s="11" t="n"/>
      <c r="C1689" s="8" t="n"/>
      <c r="D1689" s="8" t="n"/>
      <c r="E1689" s="8" t="n"/>
      <c r="F1689" s="20" t="n"/>
      <c r="G1689" s="20" t="n"/>
      <c r="H1689" s="8" t="n"/>
      <c r="I1689" s="20" t="n"/>
      <c r="J1689" s="21">
        <f>IF(B1689="","",F1689+G1689)</f>
        <v/>
      </c>
      <c r="K1689" s="21">
        <f>IF(B1689="","",J1689*(Settings!$C$11+Settings!$C$12+Settings!$C$14)+IF(C1689="",Settings!$C$13,IF(COUNTIF($C$5:C1689,C1689)=1,Settings!$C$13,0))+E1689*Settings!$C$15+IF(H1689="Yes",J1689*Settings!$C$16,0))</f>
        <v/>
      </c>
      <c r="L1689" s="21">
        <f>IF(B1689="","",IF(Settings!$C$5="Yes",0,K1689*Settings!$C$17))</f>
        <v/>
      </c>
      <c r="M1689" s="21">
        <f>IF(B1689="","",E1689*IFERROR(VLOOKUP(D1689,Products!$B$5:$F$204,5,FALSE),0))</f>
        <v/>
      </c>
      <c r="N1689" s="21">
        <f>IF(B1689="","",J1689-K1689-L1689-M1689-I1689)</f>
        <v/>
      </c>
    </row>
    <row r="1690">
      <c r="B1690" s="11" t="n"/>
      <c r="C1690" s="8" t="n"/>
      <c r="D1690" s="8" t="n"/>
      <c r="E1690" s="8" t="n"/>
      <c r="F1690" s="20" t="n"/>
      <c r="G1690" s="20" t="n"/>
      <c r="H1690" s="8" t="n"/>
      <c r="I1690" s="20" t="n"/>
      <c r="J1690" s="21">
        <f>IF(B1690="","",F1690+G1690)</f>
        <v/>
      </c>
      <c r="K1690" s="21">
        <f>IF(B1690="","",J1690*(Settings!$C$11+Settings!$C$12+Settings!$C$14)+IF(C1690="",Settings!$C$13,IF(COUNTIF($C$5:C1690,C1690)=1,Settings!$C$13,0))+E1690*Settings!$C$15+IF(H1690="Yes",J1690*Settings!$C$16,0))</f>
        <v/>
      </c>
      <c r="L1690" s="21">
        <f>IF(B1690="","",IF(Settings!$C$5="Yes",0,K1690*Settings!$C$17))</f>
        <v/>
      </c>
      <c r="M1690" s="21">
        <f>IF(B1690="","",E1690*IFERROR(VLOOKUP(D1690,Products!$B$5:$F$204,5,FALSE),0))</f>
        <v/>
      </c>
      <c r="N1690" s="21">
        <f>IF(B1690="","",J1690-K1690-L1690-M1690-I1690)</f>
        <v/>
      </c>
    </row>
    <row r="1691">
      <c r="B1691" s="11" t="n"/>
      <c r="C1691" s="8" t="n"/>
      <c r="D1691" s="8" t="n"/>
      <c r="E1691" s="8" t="n"/>
      <c r="F1691" s="20" t="n"/>
      <c r="G1691" s="20" t="n"/>
      <c r="H1691" s="8" t="n"/>
      <c r="I1691" s="20" t="n"/>
      <c r="J1691" s="21">
        <f>IF(B1691="","",F1691+G1691)</f>
        <v/>
      </c>
      <c r="K1691" s="21">
        <f>IF(B1691="","",J1691*(Settings!$C$11+Settings!$C$12+Settings!$C$14)+IF(C1691="",Settings!$C$13,IF(COUNTIF($C$5:C1691,C1691)=1,Settings!$C$13,0))+E1691*Settings!$C$15+IF(H1691="Yes",J1691*Settings!$C$16,0))</f>
        <v/>
      </c>
      <c r="L1691" s="21">
        <f>IF(B1691="","",IF(Settings!$C$5="Yes",0,K1691*Settings!$C$17))</f>
        <v/>
      </c>
      <c r="M1691" s="21">
        <f>IF(B1691="","",E1691*IFERROR(VLOOKUP(D1691,Products!$B$5:$F$204,5,FALSE),0))</f>
        <v/>
      </c>
      <c r="N1691" s="21">
        <f>IF(B1691="","",J1691-K1691-L1691-M1691-I1691)</f>
        <v/>
      </c>
    </row>
    <row r="1692">
      <c r="B1692" s="11" t="n"/>
      <c r="C1692" s="8" t="n"/>
      <c r="D1692" s="8" t="n"/>
      <c r="E1692" s="8" t="n"/>
      <c r="F1692" s="20" t="n"/>
      <c r="G1692" s="20" t="n"/>
      <c r="H1692" s="8" t="n"/>
      <c r="I1692" s="20" t="n"/>
      <c r="J1692" s="21">
        <f>IF(B1692="","",F1692+G1692)</f>
        <v/>
      </c>
      <c r="K1692" s="21">
        <f>IF(B1692="","",J1692*(Settings!$C$11+Settings!$C$12+Settings!$C$14)+IF(C1692="",Settings!$C$13,IF(COUNTIF($C$5:C1692,C1692)=1,Settings!$C$13,0))+E1692*Settings!$C$15+IF(H1692="Yes",J1692*Settings!$C$16,0))</f>
        <v/>
      </c>
      <c r="L1692" s="21">
        <f>IF(B1692="","",IF(Settings!$C$5="Yes",0,K1692*Settings!$C$17))</f>
        <v/>
      </c>
      <c r="M1692" s="21">
        <f>IF(B1692="","",E1692*IFERROR(VLOOKUP(D1692,Products!$B$5:$F$204,5,FALSE),0))</f>
        <v/>
      </c>
      <c r="N1692" s="21">
        <f>IF(B1692="","",J1692-K1692-L1692-M1692-I1692)</f>
        <v/>
      </c>
    </row>
    <row r="1693">
      <c r="B1693" s="11" t="n"/>
      <c r="C1693" s="8" t="n"/>
      <c r="D1693" s="8" t="n"/>
      <c r="E1693" s="8" t="n"/>
      <c r="F1693" s="20" t="n"/>
      <c r="G1693" s="20" t="n"/>
      <c r="H1693" s="8" t="n"/>
      <c r="I1693" s="20" t="n"/>
      <c r="J1693" s="21">
        <f>IF(B1693="","",F1693+G1693)</f>
        <v/>
      </c>
      <c r="K1693" s="21">
        <f>IF(B1693="","",J1693*(Settings!$C$11+Settings!$C$12+Settings!$C$14)+IF(C1693="",Settings!$C$13,IF(COUNTIF($C$5:C1693,C1693)=1,Settings!$C$13,0))+E1693*Settings!$C$15+IF(H1693="Yes",J1693*Settings!$C$16,0))</f>
        <v/>
      </c>
      <c r="L1693" s="21">
        <f>IF(B1693="","",IF(Settings!$C$5="Yes",0,K1693*Settings!$C$17))</f>
        <v/>
      </c>
      <c r="M1693" s="21">
        <f>IF(B1693="","",E1693*IFERROR(VLOOKUP(D1693,Products!$B$5:$F$204,5,FALSE),0))</f>
        <v/>
      </c>
      <c r="N1693" s="21">
        <f>IF(B1693="","",J1693-K1693-L1693-M1693-I1693)</f>
        <v/>
      </c>
    </row>
    <row r="1694">
      <c r="B1694" s="11" t="n"/>
      <c r="C1694" s="8" t="n"/>
      <c r="D1694" s="8" t="n"/>
      <c r="E1694" s="8" t="n"/>
      <c r="F1694" s="20" t="n"/>
      <c r="G1694" s="20" t="n"/>
      <c r="H1694" s="8" t="n"/>
      <c r="I1694" s="20" t="n"/>
      <c r="J1694" s="21">
        <f>IF(B1694="","",F1694+G1694)</f>
        <v/>
      </c>
      <c r="K1694" s="21">
        <f>IF(B1694="","",J1694*(Settings!$C$11+Settings!$C$12+Settings!$C$14)+IF(C1694="",Settings!$C$13,IF(COUNTIF($C$5:C1694,C1694)=1,Settings!$C$13,0))+E1694*Settings!$C$15+IF(H1694="Yes",J1694*Settings!$C$16,0))</f>
        <v/>
      </c>
      <c r="L1694" s="21">
        <f>IF(B1694="","",IF(Settings!$C$5="Yes",0,K1694*Settings!$C$17))</f>
        <v/>
      </c>
      <c r="M1694" s="21">
        <f>IF(B1694="","",E1694*IFERROR(VLOOKUP(D1694,Products!$B$5:$F$204,5,FALSE),0))</f>
        <v/>
      </c>
      <c r="N1694" s="21">
        <f>IF(B1694="","",J1694-K1694-L1694-M1694-I1694)</f>
        <v/>
      </c>
    </row>
    <row r="1695">
      <c r="B1695" s="11" t="n"/>
      <c r="C1695" s="8" t="n"/>
      <c r="D1695" s="8" t="n"/>
      <c r="E1695" s="8" t="n"/>
      <c r="F1695" s="20" t="n"/>
      <c r="G1695" s="20" t="n"/>
      <c r="H1695" s="8" t="n"/>
      <c r="I1695" s="20" t="n"/>
      <c r="J1695" s="21">
        <f>IF(B1695="","",F1695+G1695)</f>
        <v/>
      </c>
      <c r="K1695" s="21">
        <f>IF(B1695="","",J1695*(Settings!$C$11+Settings!$C$12+Settings!$C$14)+IF(C1695="",Settings!$C$13,IF(COUNTIF($C$5:C1695,C1695)=1,Settings!$C$13,0))+E1695*Settings!$C$15+IF(H1695="Yes",J1695*Settings!$C$16,0))</f>
        <v/>
      </c>
      <c r="L1695" s="21">
        <f>IF(B1695="","",IF(Settings!$C$5="Yes",0,K1695*Settings!$C$17))</f>
        <v/>
      </c>
      <c r="M1695" s="21">
        <f>IF(B1695="","",E1695*IFERROR(VLOOKUP(D1695,Products!$B$5:$F$204,5,FALSE),0))</f>
        <v/>
      </c>
      <c r="N1695" s="21">
        <f>IF(B1695="","",J1695-K1695-L1695-M1695-I1695)</f>
        <v/>
      </c>
    </row>
    <row r="1696">
      <c r="B1696" s="11" t="n"/>
      <c r="C1696" s="8" t="n"/>
      <c r="D1696" s="8" t="n"/>
      <c r="E1696" s="8" t="n"/>
      <c r="F1696" s="20" t="n"/>
      <c r="G1696" s="20" t="n"/>
      <c r="H1696" s="8" t="n"/>
      <c r="I1696" s="20" t="n"/>
      <c r="J1696" s="21">
        <f>IF(B1696="","",F1696+G1696)</f>
        <v/>
      </c>
      <c r="K1696" s="21">
        <f>IF(B1696="","",J1696*(Settings!$C$11+Settings!$C$12+Settings!$C$14)+IF(C1696="",Settings!$C$13,IF(COUNTIF($C$5:C1696,C1696)=1,Settings!$C$13,0))+E1696*Settings!$C$15+IF(H1696="Yes",J1696*Settings!$C$16,0))</f>
        <v/>
      </c>
      <c r="L1696" s="21">
        <f>IF(B1696="","",IF(Settings!$C$5="Yes",0,K1696*Settings!$C$17))</f>
        <v/>
      </c>
      <c r="M1696" s="21">
        <f>IF(B1696="","",E1696*IFERROR(VLOOKUP(D1696,Products!$B$5:$F$204,5,FALSE),0))</f>
        <v/>
      </c>
      <c r="N1696" s="21">
        <f>IF(B1696="","",J1696-K1696-L1696-M1696-I1696)</f>
        <v/>
      </c>
    </row>
    <row r="1697">
      <c r="B1697" s="11" t="n"/>
      <c r="C1697" s="8" t="n"/>
      <c r="D1697" s="8" t="n"/>
      <c r="E1697" s="8" t="n"/>
      <c r="F1697" s="20" t="n"/>
      <c r="G1697" s="20" t="n"/>
      <c r="H1697" s="8" t="n"/>
      <c r="I1697" s="20" t="n"/>
      <c r="J1697" s="21">
        <f>IF(B1697="","",F1697+G1697)</f>
        <v/>
      </c>
      <c r="K1697" s="21">
        <f>IF(B1697="","",J1697*(Settings!$C$11+Settings!$C$12+Settings!$C$14)+IF(C1697="",Settings!$C$13,IF(COUNTIF($C$5:C1697,C1697)=1,Settings!$C$13,0))+E1697*Settings!$C$15+IF(H1697="Yes",J1697*Settings!$C$16,0))</f>
        <v/>
      </c>
      <c r="L1697" s="21">
        <f>IF(B1697="","",IF(Settings!$C$5="Yes",0,K1697*Settings!$C$17))</f>
        <v/>
      </c>
      <c r="M1697" s="21">
        <f>IF(B1697="","",E1697*IFERROR(VLOOKUP(D1697,Products!$B$5:$F$204,5,FALSE),0))</f>
        <v/>
      </c>
      <c r="N1697" s="21">
        <f>IF(B1697="","",J1697-K1697-L1697-M1697-I1697)</f>
        <v/>
      </c>
    </row>
    <row r="1698">
      <c r="B1698" s="11" t="n"/>
      <c r="C1698" s="8" t="n"/>
      <c r="D1698" s="8" t="n"/>
      <c r="E1698" s="8" t="n"/>
      <c r="F1698" s="20" t="n"/>
      <c r="G1698" s="20" t="n"/>
      <c r="H1698" s="8" t="n"/>
      <c r="I1698" s="20" t="n"/>
      <c r="J1698" s="21">
        <f>IF(B1698="","",F1698+G1698)</f>
        <v/>
      </c>
      <c r="K1698" s="21">
        <f>IF(B1698="","",J1698*(Settings!$C$11+Settings!$C$12+Settings!$C$14)+IF(C1698="",Settings!$C$13,IF(COUNTIF($C$5:C1698,C1698)=1,Settings!$C$13,0))+E1698*Settings!$C$15+IF(H1698="Yes",J1698*Settings!$C$16,0))</f>
        <v/>
      </c>
      <c r="L1698" s="21">
        <f>IF(B1698="","",IF(Settings!$C$5="Yes",0,K1698*Settings!$C$17))</f>
        <v/>
      </c>
      <c r="M1698" s="21">
        <f>IF(B1698="","",E1698*IFERROR(VLOOKUP(D1698,Products!$B$5:$F$204,5,FALSE),0))</f>
        <v/>
      </c>
      <c r="N1698" s="21">
        <f>IF(B1698="","",J1698-K1698-L1698-M1698-I1698)</f>
        <v/>
      </c>
    </row>
    <row r="1699">
      <c r="B1699" s="11" t="n"/>
      <c r="C1699" s="8" t="n"/>
      <c r="D1699" s="8" t="n"/>
      <c r="E1699" s="8" t="n"/>
      <c r="F1699" s="20" t="n"/>
      <c r="G1699" s="20" t="n"/>
      <c r="H1699" s="8" t="n"/>
      <c r="I1699" s="20" t="n"/>
      <c r="J1699" s="21">
        <f>IF(B1699="","",F1699+G1699)</f>
        <v/>
      </c>
      <c r="K1699" s="21">
        <f>IF(B1699="","",J1699*(Settings!$C$11+Settings!$C$12+Settings!$C$14)+IF(C1699="",Settings!$C$13,IF(COUNTIF($C$5:C1699,C1699)=1,Settings!$C$13,0))+E1699*Settings!$C$15+IF(H1699="Yes",J1699*Settings!$C$16,0))</f>
        <v/>
      </c>
      <c r="L1699" s="21">
        <f>IF(B1699="","",IF(Settings!$C$5="Yes",0,K1699*Settings!$C$17))</f>
        <v/>
      </c>
      <c r="M1699" s="21">
        <f>IF(B1699="","",E1699*IFERROR(VLOOKUP(D1699,Products!$B$5:$F$204,5,FALSE),0))</f>
        <v/>
      </c>
      <c r="N1699" s="21">
        <f>IF(B1699="","",J1699-K1699-L1699-M1699-I1699)</f>
        <v/>
      </c>
    </row>
    <row r="1700">
      <c r="B1700" s="11" t="n"/>
      <c r="C1700" s="8" t="n"/>
      <c r="D1700" s="8" t="n"/>
      <c r="E1700" s="8" t="n"/>
      <c r="F1700" s="20" t="n"/>
      <c r="G1700" s="20" t="n"/>
      <c r="H1700" s="8" t="n"/>
      <c r="I1700" s="20" t="n"/>
      <c r="J1700" s="21">
        <f>IF(B1700="","",F1700+G1700)</f>
        <v/>
      </c>
      <c r="K1700" s="21">
        <f>IF(B1700="","",J1700*(Settings!$C$11+Settings!$C$12+Settings!$C$14)+IF(C1700="",Settings!$C$13,IF(COUNTIF($C$5:C1700,C1700)=1,Settings!$C$13,0))+E1700*Settings!$C$15+IF(H1700="Yes",J1700*Settings!$C$16,0))</f>
        <v/>
      </c>
      <c r="L1700" s="21">
        <f>IF(B1700="","",IF(Settings!$C$5="Yes",0,K1700*Settings!$C$17))</f>
        <v/>
      </c>
      <c r="M1700" s="21">
        <f>IF(B1700="","",E1700*IFERROR(VLOOKUP(D1700,Products!$B$5:$F$204,5,FALSE),0))</f>
        <v/>
      </c>
      <c r="N1700" s="21">
        <f>IF(B1700="","",J1700-K1700-L1700-M1700-I1700)</f>
        <v/>
      </c>
    </row>
    <row r="1701">
      <c r="B1701" s="11" t="n"/>
      <c r="C1701" s="8" t="n"/>
      <c r="D1701" s="8" t="n"/>
      <c r="E1701" s="8" t="n"/>
      <c r="F1701" s="20" t="n"/>
      <c r="G1701" s="20" t="n"/>
      <c r="H1701" s="8" t="n"/>
      <c r="I1701" s="20" t="n"/>
      <c r="J1701" s="21">
        <f>IF(B1701="","",F1701+G1701)</f>
        <v/>
      </c>
      <c r="K1701" s="21">
        <f>IF(B1701="","",J1701*(Settings!$C$11+Settings!$C$12+Settings!$C$14)+IF(C1701="",Settings!$C$13,IF(COUNTIF($C$5:C1701,C1701)=1,Settings!$C$13,0))+E1701*Settings!$C$15+IF(H1701="Yes",J1701*Settings!$C$16,0))</f>
        <v/>
      </c>
      <c r="L1701" s="21">
        <f>IF(B1701="","",IF(Settings!$C$5="Yes",0,K1701*Settings!$C$17))</f>
        <v/>
      </c>
      <c r="M1701" s="21">
        <f>IF(B1701="","",E1701*IFERROR(VLOOKUP(D1701,Products!$B$5:$F$204,5,FALSE),0))</f>
        <v/>
      </c>
      <c r="N1701" s="21">
        <f>IF(B1701="","",J1701-K1701-L1701-M1701-I1701)</f>
        <v/>
      </c>
    </row>
    <row r="1702">
      <c r="B1702" s="11" t="n"/>
      <c r="C1702" s="8" t="n"/>
      <c r="D1702" s="8" t="n"/>
      <c r="E1702" s="8" t="n"/>
      <c r="F1702" s="20" t="n"/>
      <c r="G1702" s="20" t="n"/>
      <c r="H1702" s="8" t="n"/>
      <c r="I1702" s="20" t="n"/>
      <c r="J1702" s="21">
        <f>IF(B1702="","",F1702+G1702)</f>
        <v/>
      </c>
      <c r="K1702" s="21">
        <f>IF(B1702="","",J1702*(Settings!$C$11+Settings!$C$12+Settings!$C$14)+IF(C1702="",Settings!$C$13,IF(COUNTIF($C$5:C1702,C1702)=1,Settings!$C$13,0))+E1702*Settings!$C$15+IF(H1702="Yes",J1702*Settings!$C$16,0))</f>
        <v/>
      </c>
      <c r="L1702" s="21">
        <f>IF(B1702="","",IF(Settings!$C$5="Yes",0,K1702*Settings!$C$17))</f>
        <v/>
      </c>
      <c r="M1702" s="21">
        <f>IF(B1702="","",E1702*IFERROR(VLOOKUP(D1702,Products!$B$5:$F$204,5,FALSE),0))</f>
        <v/>
      </c>
      <c r="N1702" s="21">
        <f>IF(B1702="","",J1702-K1702-L1702-M1702-I1702)</f>
        <v/>
      </c>
    </row>
    <row r="1703">
      <c r="B1703" s="11" t="n"/>
      <c r="C1703" s="8" t="n"/>
      <c r="D1703" s="8" t="n"/>
      <c r="E1703" s="8" t="n"/>
      <c r="F1703" s="20" t="n"/>
      <c r="G1703" s="20" t="n"/>
      <c r="H1703" s="8" t="n"/>
      <c r="I1703" s="20" t="n"/>
      <c r="J1703" s="21">
        <f>IF(B1703="","",F1703+G1703)</f>
        <v/>
      </c>
      <c r="K1703" s="21">
        <f>IF(B1703="","",J1703*(Settings!$C$11+Settings!$C$12+Settings!$C$14)+IF(C1703="",Settings!$C$13,IF(COUNTIF($C$5:C1703,C1703)=1,Settings!$C$13,0))+E1703*Settings!$C$15+IF(H1703="Yes",J1703*Settings!$C$16,0))</f>
        <v/>
      </c>
      <c r="L1703" s="21">
        <f>IF(B1703="","",IF(Settings!$C$5="Yes",0,K1703*Settings!$C$17))</f>
        <v/>
      </c>
      <c r="M1703" s="21">
        <f>IF(B1703="","",E1703*IFERROR(VLOOKUP(D1703,Products!$B$5:$F$204,5,FALSE),0))</f>
        <v/>
      </c>
      <c r="N1703" s="21">
        <f>IF(B1703="","",J1703-K1703-L1703-M1703-I1703)</f>
        <v/>
      </c>
    </row>
    <row r="1704">
      <c r="B1704" s="11" t="n"/>
      <c r="C1704" s="8" t="n"/>
      <c r="D1704" s="8" t="n"/>
      <c r="E1704" s="8" t="n"/>
      <c r="F1704" s="20" t="n"/>
      <c r="G1704" s="20" t="n"/>
      <c r="H1704" s="8" t="n"/>
      <c r="I1704" s="20" t="n"/>
      <c r="J1704" s="21">
        <f>IF(B1704="","",F1704+G1704)</f>
        <v/>
      </c>
      <c r="K1704" s="21">
        <f>IF(B1704="","",J1704*(Settings!$C$11+Settings!$C$12+Settings!$C$14)+IF(C1704="",Settings!$C$13,IF(COUNTIF($C$5:C1704,C1704)=1,Settings!$C$13,0))+E1704*Settings!$C$15+IF(H1704="Yes",J1704*Settings!$C$16,0))</f>
        <v/>
      </c>
      <c r="L1704" s="21">
        <f>IF(B1704="","",IF(Settings!$C$5="Yes",0,K1704*Settings!$C$17))</f>
        <v/>
      </c>
      <c r="M1704" s="21">
        <f>IF(B1704="","",E1704*IFERROR(VLOOKUP(D1704,Products!$B$5:$F$204,5,FALSE),0))</f>
        <v/>
      </c>
      <c r="N1704" s="21">
        <f>IF(B1704="","",J1704-K1704-L1704-M1704-I1704)</f>
        <v/>
      </c>
    </row>
    <row r="1705">
      <c r="B1705" s="11" t="n"/>
      <c r="C1705" s="8" t="n"/>
      <c r="D1705" s="8" t="n"/>
      <c r="E1705" s="8" t="n"/>
      <c r="F1705" s="20" t="n"/>
      <c r="G1705" s="20" t="n"/>
      <c r="H1705" s="8" t="n"/>
      <c r="I1705" s="20" t="n"/>
      <c r="J1705" s="21">
        <f>IF(B1705="","",F1705+G1705)</f>
        <v/>
      </c>
      <c r="K1705" s="21">
        <f>IF(B1705="","",J1705*(Settings!$C$11+Settings!$C$12+Settings!$C$14)+IF(C1705="",Settings!$C$13,IF(COUNTIF($C$5:C1705,C1705)=1,Settings!$C$13,0))+E1705*Settings!$C$15+IF(H1705="Yes",J1705*Settings!$C$16,0))</f>
        <v/>
      </c>
      <c r="L1705" s="21">
        <f>IF(B1705="","",IF(Settings!$C$5="Yes",0,K1705*Settings!$C$17))</f>
        <v/>
      </c>
      <c r="M1705" s="21">
        <f>IF(B1705="","",E1705*IFERROR(VLOOKUP(D1705,Products!$B$5:$F$204,5,FALSE),0))</f>
        <v/>
      </c>
      <c r="N1705" s="21">
        <f>IF(B1705="","",J1705-K1705-L1705-M1705-I1705)</f>
        <v/>
      </c>
    </row>
    <row r="1706">
      <c r="B1706" s="11" t="n"/>
      <c r="C1706" s="8" t="n"/>
      <c r="D1706" s="8" t="n"/>
      <c r="E1706" s="8" t="n"/>
      <c r="F1706" s="20" t="n"/>
      <c r="G1706" s="20" t="n"/>
      <c r="H1706" s="8" t="n"/>
      <c r="I1706" s="20" t="n"/>
      <c r="J1706" s="21">
        <f>IF(B1706="","",F1706+G1706)</f>
        <v/>
      </c>
      <c r="K1706" s="21">
        <f>IF(B1706="","",J1706*(Settings!$C$11+Settings!$C$12+Settings!$C$14)+IF(C1706="",Settings!$C$13,IF(COUNTIF($C$5:C1706,C1706)=1,Settings!$C$13,0))+E1706*Settings!$C$15+IF(H1706="Yes",J1706*Settings!$C$16,0))</f>
        <v/>
      </c>
      <c r="L1706" s="21">
        <f>IF(B1706="","",IF(Settings!$C$5="Yes",0,K1706*Settings!$C$17))</f>
        <v/>
      </c>
      <c r="M1706" s="21">
        <f>IF(B1706="","",E1706*IFERROR(VLOOKUP(D1706,Products!$B$5:$F$204,5,FALSE),0))</f>
        <v/>
      </c>
      <c r="N1706" s="21">
        <f>IF(B1706="","",J1706-K1706-L1706-M1706-I1706)</f>
        <v/>
      </c>
    </row>
    <row r="1707">
      <c r="B1707" s="11" t="n"/>
      <c r="C1707" s="8" t="n"/>
      <c r="D1707" s="8" t="n"/>
      <c r="E1707" s="8" t="n"/>
      <c r="F1707" s="20" t="n"/>
      <c r="G1707" s="20" t="n"/>
      <c r="H1707" s="8" t="n"/>
      <c r="I1707" s="20" t="n"/>
      <c r="J1707" s="21">
        <f>IF(B1707="","",F1707+G1707)</f>
        <v/>
      </c>
      <c r="K1707" s="21">
        <f>IF(B1707="","",J1707*(Settings!$C$11+Settings!$C$12+Settings!$C$14)+IF(C1707="",Settings!$C$13,IF(COUNTIF($C$5:C1707,C1707)=1,Settings!$C$13,0))+E1707*Settings!$C$15+IF(H1707="Yes",J1707*Settings!$C$16,0))</f>
        <v/>
      </c>
      <c r="L1707" s="21">
        <f>IF(B1707="","",IF(Settings!$C$5="Yes",0,K1707*Settings!$C$17))</f>
        <v/>
      </c>
      <c r="M1707" s="21">
        <f>IF(B1707="","",E1707*IFERROR(VLOOKUP(D1707,Products!$B$5:$F$204,5,FALSE),0))</f>
        <v/>
      </c>
      <c r="N1707" s="21">
        <f>IF(B1707="","",J1707-K1707-L1707-M1707-I1707)</f>
        <v/>
      </c>
    </row>
    <row r="1708">
      <c r="B1708" s="11" t="n"/>
      <c r="C1708" s="8" t="n"/>
      <c r="D1708" s="8" t="n"/>
      <c r="E1708" s="8" t="n"/>
      <c r="F1708" s="20" t="n"/>
      <c r="G1708" s="20" t="n"/>
      <c r="H1708" s="8" t="n"/>
      <c r="I1708" s="20" t="n"/>
      <c r="J1708" s="21">
        <f>IF(B1708="","",F1708+G1708)</f>
        <v/>
      </c>
      <c r="K1708" s="21">
        <f>IF(B1708="","",J1708*(Settings!$C$11+Settings!$C$12+Settings!$C$14)+IF(C1708="",Settings!$C$13,IF(COUNTIF($C$5:C1708,C1708)=1,Settings!$C$13,0))+E1708*Settings!$C$15+IF(H1708="Yes",J1708*Settings!$C$16,0))</f>
        <v/>
      </c>
      <c r="L1708" s="21">
        <f>IF(B1708="","",IF(Settings!$C$5="Yes",0,K1708*Settings!$C$17))</f>
        <v/>
      </c>
      <c r="M1708" s="21">
        <f>IF(B1708="","",E1708*IFERROR(VLOOKUP(D1708,Products!$B$5:$F$204,5,FALSE),0))</f>
        <v/>
      </c>
      <c r="N1708" s="21">
        <f>IF(B1708="","",J1708-K1708-L1708-M1708-I1708)</f>
        <v/>
      </c>
    </row>
    <row r="1709">
      <c r="B1709" s="11" t="n"/>
      <c r="C1709" s="8" t="n"/>
      <c r="D1709" s="8" t="n"/>
      <c r="E1709" s="8" t="n"/>
      <c r="F1709" s="20" t="n"/>
      <c r="G1709" s="20" t="n"/>
      <c r="H1709" s="8" t="n"/>
      <c r="I1709" s="20" t="n"/>
      <c r="J1709" s="21">
        <f>IF(B1709="","",F1709+G1709)</f>
        <v/>
      </c>
      <c r="K1709" s="21">
        <f>IF(B1709="","",J1709*(Settings!$C$11+Settings!$C$12+Settings!$C$14)+IF(C1709="",Settings!$C$13,IF(COUNTIF($C$5:C1709,C1709)=1,Settings!$C$13,0))+E1709*Settings!$C$15+IF(H1709="Yes",J1709*Settings!$C$16,0))</f>
        <v/>
      </c>
      <c r="L1709" s="21">
        <f>IF(B1709="","",IF(Settings!$C$5="Yes",0,K1709*Settings!$C$17))</f>
        <v/>
      </c>
      <c r="M1709" s="21">
        <f>IF(B1709="","",E1709*IFERROR(VLOOKUP(D1709,Products!$B$5:$F$204,5,FALSE),0))</f>
        <v/>
      </c>
      <c r="N1709" s="21">
        <f>IF(B1709="","",J1709-K1709-L1709-M1709-I1709)</f>
        <v/>
      </c>
    </row>
    <row r="1710">
      <c r="B1710" s="11" t="n"/>
      <c r="C1710" s="8" t="n"/>
      <c r="D1710" s="8" t="n"/>
      <c r="E1710" s="8" t="n"/>
      <c r="F1710" s="20" t="n"/>
      <c r="G1710" s="20" t="n"/>
      <c r="H1710" s="8" t="n"/>
      <c r="I1710" s="20" t="n"/>
      <c r="J1710" s="21">
        <f>IF(B1710="","",F1710+G1710)</f>
        <v/>
      </c>
      <c r="K1710" s="21">
        <f>IF(B1710="","",J1710*(Settings!$C$11+Settings!$C$12+Settings!$C$14)+IF(C1710="",Settings!$C$13,IF(COUNTIF($C$5:C1710,C1710)=1,Settings!$C$13,0))+E1710*Settings!$C$15+IF(H1710="Yes",J1710*Settings!$C$16,0))</f>
        <v/>
      </c>
      <c r="L1710" s="21">
        <f>IF(B1710="","",IF(Settings!$C$5="Yes",0,K1710*Settings!$C$17))</f>
        <v/>
      </c>
      <c r="M1710" s="21">
        <f>IF(B1710="","",E1710*IFERROR(VLOOKUP(D1710,Products!$B$5:$F$204,5,FALSE),0))</f>
        <v/>
      </c>
      <c r="N1710" s="21">
        <f>IF(B1710="","",J1710-K1710-L1710-M1710-I1710)</f>
        <v/>
      </c>
    </row>
    <row r="1711">
      <c r="B1711" s="11" t="n"/>
      <c r="C1711" s="8" t="n"/>
      <c r="D1711" s="8" t="n"/>
      <c r="E1711" s="8" t="n"/>
      <c r="F1711" s="20" t="n"/>
      <c r="G1711" s="20" t="n"/>
      <c r="H1711" s="8" t="n"/>
      <c r="I1711" s="20" t="n"/>
      <c r="J1711" s="21">
        <f>IF(B1711="","",F1711+G1711)</f>
        <v/>
      </c>
      <c r="K1711" s="21">
        <f>IF(B1711="","",J1711*(Settings!$C$11+Settings!$C$12+Settings!$C$14)+IF(C1711="",Settings!$C$13,IF(COUNTIF($C$5:C1711,C1711)=1,Settings!$C$13,0))+E1711*Settings!$C$15+IF(H1711="Yes",J1711*Settings!$C$16,0))</f>
        <v/>
      </c>
      <c r="L1711" s="21">
        <f>IF(B1711="","",IF(Settings!$C$5="Yes",0,K1711*Settings!$C$17))</f>
        <v/>
      </c>
      <c r="M1711" s="21">
        <f>IF(B1711="","",E1711*IFERROR(VLOOKUP(D1711,Products!$B$5:$F$204,5,FALSE),0))</f>
        <v/>
      </c>
      <c r="N1711" s="21">
        <f>IF(B1711="","",J1711-K1711-L1711-M1711-I1711)</f>
        <v/>
      </c>
    </row>
    <row r="1712">
      <c r="B1712" s="11" t="n"/>
      <c r="C1712" s="8" t="n"/>
      <c r="D1712" s="8" t="n"/>
      <c r="E1712" s="8" t="n"/>
      <c r="F1712" s="20" t="n"/>
      <c r="G1712" s="20" t="n"/>
      <c r="H1712" s="8" t="n"/>
      <c r="I1712" s="20" t="n"/>
      <c r="J1712" s="21">
        <f>IF(B1712="","",F1712+G1712)</f>
        <v/>
      </c>
      <c r="K1712" s="21">
        <f>IF(B1712="","",J1712*(Settings!$C$11+Settings!$C$12+Settings!$C$14)+IF(C1712="",Settings!$C$13,IF(COUNTIF($C$5:C1712,C1712)=1,Settings!$C$13,0))+E1712*Settings!$C$15+IF(H1712="Yes",J1712*Settings!$C$16,0))</f>
        <v/>
      </c>
      <c r="L1712" s="21">
        <f>IF(B1712="","",IF(Settings!$C$5="Yes",0,K1712*Settings!$C$17))</f>
        <v/>
      </c>
      <c r="M1712" s="21">
        <f>IF(B1712="","",E1712*IFERROR(VLOOKUP(D1712,Products!$B$5:$F$204,5,FALSE),0))</f>
        <v/>
      </c>
      <c r="N1712" s="21">
        <f>IF(B1712="","",J1712-K1712-L1712-M1712-I1712)</f>
        <v/>
      </c>
    </row>
    <row r="1713">
      <c r="B1713" s="11" t="n"/>
      <c r="C1713" s="8" t="n"/>
      <c r="D1713" s="8" t="n"/>
      <c r="E1713" s="8" t="n"/>
      <c r="F1713" s="20" t="n"/>
      <c r="G1713" s="20" t="n"/>
      <c r="H1713" s="8" t="n"/>
      <c r="I1713" s="20" t="n"/>
      <c r="J1713" s="21">
        <f>IF(B1713="","",F1713+G1713)</f>
        <v/>
      </c>
      <c r="K1713" s="21">
        <f>IF(B1713="","",J1713*(Settings!$C$11+Settings!$C$12+Settings!$C$14)+IF(C1713="",Settings!$C$13,IF(COUNTIF($C$5:C1713,C1713)=1,Settings!$C$13,0))+E1713*Settings!$C$15+IF(H1713="Yes",J1713*Settings!$C$16,0))</f>
        <v/>
      </c>
      <c r="L1713" s="21">
        <f>IF(B1713="","",IF(Settings!$C$5="Yes",0,K1713*Settings!$C$17))</f>
        <v/>
      </c>
      <c r="M1713" s="21">
        <f>IF(B1713="","",E1713*IFERROR(VLOOKUP(D1713,Products!$B$5:$F$204,5,FALSE),0))</f>
        <v/>
      </c>
      <c r="N1713" s="21">
        <f>IF(B1713="","",J1713-K1713-L1713-M1713-I1713)</f>
        <v/>
      </c>
    </row>
    <row r="1714">
      <c r="B1714" s="11" t="n"/>
      <c r="C1714" s="8" t="n"/>
      <c r="D1714" s="8" t="n"/>
      <c r="E1714" s="8" t="n"/>
      <c r="F1714" s="20" t="n"/>
      <c r="G1714" s="20" t="n"/>
      <c r="H1714" s="8" t="n"/>
      <c r="I1714" s="20" t="n"/>
      <c r="J1714" s="21">
        <f>IF(B1714="","",F1714+G1714)</f>
        <v/>
      </c>
      <c r="K1714" s="21">
        <f>IF(B1714="","",J1714*(Settings!$C$11+Settings!$C$12+Settings!$C$14)+IF(C1714="",Settings!$C$13,IF(COUNTIF($C$5:C1714,C1714)=1,Settings!$C$13,0))+E1714*Settings!$C$15+IF(H1714="Yes",J1714*Settings!$C$16,0))</f>
        <v/>
      </c>
      <c r="L1714" s="21">
        <f>IF(B1714="","",IF(Settings!$C$5="Yes",0,K1714*Settings!$C$17))</f>
        <v/>
      </c>
      <c r="M1714" s="21">
        <f>IF(B1714="","",E1714*IFERROR(VLOOKUP(D1714,Products!$B$5:$F$204,5,FALSE),0))</f>
        <v/>
      </c>
      <c r="N1714" s="21">
        <f>IF(B1714="","",J1714-K1714-L1714-M1714-I1714)</f>
        <v/>
      </c>
    </row>
    <row r="1715">
      <c r="B1715" s="11" t="n"/>
      <c r="C1715" s="8" t="n"/>
      <c r="D1715" s="8" t="n"/>
      <c r="E1715" s="8" t="n"/>
      <c r="F1715" s="20" t="n"/>
      <c r="G1715" s="20" t="n"/>
      <c r="H1715" s="8" t="n"/>
      <c r="I1715" s="20" t="n"/>
      <c r="J1715" s="21">
        <f>IF(B1715="","",F1715+G1715)</f>
        <v/>
      </c>
      <c r="K1715" s="21">
        <f>IF(B1715="","",J1715*(Settings!$C$11+Settings!$C$12+Settings!$C$14)+IF(C1715="",Settings!$C$13,IF(COUNTIF($C$5:C1715,C1715)=1,Settings!$C$13,0))+E1715*Settings!$C$15+IF(H1715="Yes",J1715*Settings!$C$16,0))</f>
        <v/>
      </c>
      <c r="L1715" s="21">
        <f>IF(B1715="","",IF(Settings!$C$5="Yes",0,K1715*Settings!$C$17))</f>
        <v/>
      </c>
      <c r="M1715" s="21">
        <f>IF(B1715="","",E1715*IFERROR(VLOOKUP(D1715,Products!$B$5:$F$204,5,FALSE),0))</f>
        <v/>
      </c>
      <c r="N1715" s="21">
        <f>IF(B1715="","",J1715-K1715-L1715-M1715-I1715)</f>
        <v/>
      </c>
    </row>
    <row r="1716">
      <c r="B1716" s="11" t="n"/>
      <c r="C1716" s="8" t="n"/>
      <c r="D1716" s="8" t="n"/>
      <c r="E1716" s="8" t="n"/>
      <c r="F1716" s="20" t="n"/>
      <c r="G1716" s="20" t="n"/>
      <c r="H1716" s="8" t="n"/>
      <c r="I1716" s="20" t="n"/>
      <c r="J1716" s="21">
        <f>IF(B1716="","",F1716+G1716)</f>
        <v/>
      </c>
      <c r="K1716" s="21">
        <f>IF(B1716="","",J1716*(Settings!$C$11+Settings!$C$12+Settings!$C$14)+IF(C1716="",Settings!$C$13,IF(COUNTIF($C$5:C1716,C1716)=1,Settings!$C$13,0))+E1716*Settings!$C$15+IF(H1716="Yes",J1716*Settings!$C$16,0))</f>
        <v/>
      </c>
      <c r="L1716" s="21">
        <f>IF(B1716="","",IF(Settings!$C$5="Yes",0,K1716*Settings!$C$17))</f>
        <v/>
      </c>
      <c r="M1716" s="21">
        <f>IF(B1716="","",E1716*IFERROR(VLOOKUP(D1716,Products!$B$5:$F$204,5,FALSE),0))</f>
        <v/>
      </c>
      <c r="N1716" s="21">
        <f>IF(B1716="","",J1716-K1716-L1716-M1716-I1716)</f>
        <v/>
      </c>
    </row>
    <row r="1717">
      <c r="B1717" s="11" t="n"/>
      <c r="C1717" s="8" t="n"/>
      <c r="D1717" s="8" t="n"/>
      <c r="E1717" s="8" t="n"/>
      <c r="F1717" s="20" t="n"/>
      <c r="G1717" s="20" t="n"/>
      <c r="H1717" s="8" t="n"/>
      <c r="I1717" s="20" t="n"/>
      <c r="J1717" s="21">
        <f>IF(B1717="","",F1717+G1717)</f>
        <v/>
      </c>
      <c r="K1717" s="21">
        <f>IF(B1717="","",J1717*(Settings!$C$11+Settings!$C$12+Settings!$C$14)+IF(C1717="",Settings!$C$13,IF(COUNTIF($C$5:C1717,C1717)=1,Settings!$C$13,0))+E1717*Settings!$C$15+IF(H1717="Yes",J1717*Settings!$C$16,0))</f>
        <v/>
      </c>
      <c r="L1717" s="21">
        <f>IF(B1717="","",IF(Settings!$C$5="Yes",0,K1717*Settings!$C$17))</f>
        <v/>
      </c>
      <c r="M1717" s="21">
        <f>IF(B1717="","",E1717*IFERROR(VLOOKUP(D1717,Products!$B$5:$F$204,5,FALSE),0))</f>
        <v/>
      </c>
      <c r="N1717" s="21">
        <f>IF(B1717="","",J1717-K1717-L1717-M1717-I1717)</f>
        <v/>
      </c>
    </row>
    <row r="1718">
      <c r="B1718" s="11" t="n"/>
      <c r="C1718" s="8" t="n"/>
      <c r="D1718" s="8" t="n"/>
      <c r="E1718" s="8" t="n"/>
      <c r="F1718" s="20" t="n"/>
      <c r="G1718" s="20" t="n"/>
      <c r="H1718" s="8" t="n"/>
      <c r="I1718" s="20" t="n"/>
      <c r="J1718" s="21">
        <f>IF(B1718="","",F1718+G1718)</f>
        <v/>
      </c>
      <c r="K1718" s="21">
        <f>IF(B1718="","",J1718*(Settings!$C$11+Settings!$C$12+Settings!$C$14)+IF(C1718="",Settings!$C$13,IF(COUNTIF($C$5:C1718,C1718)=1,Settings!$C$13,0))+E1718*Settings!$C$15+IF(H1718="Yes",J1718*Settings!$C$16,0))</f>
        <v/>
      </c>
      <c r="L1718" s="21">
        <f>IF(B1718="","",IF(Settings!$C$5="Yes",0,K1718*Settings!$C$17))</f>
        <v/>
      </c>
      <c r="M1718" s="21">
        <f>IF(B1718="","",E1718*IFERROR(VLOOKUP(D1718,Products!$B$5:$F$204,5,FALSE),0))</f>
        <v/>
      </c>
      <c r="N1718" s="21">
        <f>IF(B1718="","",J1718-K1718-L1718-M1718-I1718)</f>
        <v/>
      </c>
    </row>
    <row r="1719">
      <c r="B1719" s="11" t="n"/>
      <c r="C1719" s="8" t="n"/>
      <c r="D1719" s="8" t="n"/>
      <c r="E1719" s="8" t="n"/>
      <c r="F1719" s="20" t="n"/>
      <c r="G1719" s="20" t="n"/>
      <c r="H1719" s="8" t="n"/>
      <c r="I1719" s="20" t="n"/>
      <c r="J1719" s="21">
        <f>IF(B1719="","",F1719+G1719)</f>
        <v/>
      </c>
      <c r="K1719" s="21">
        <f>IF(B1719="","",J1719*(Settings!$C$11+Settings!$C$12+Settings!$C$14)+IF(C1719="",Settings!$C$13,IF(COUNTIF($C$5:C1719,C1719)=1,Settings!$C$13,0))+E1719*Settings!$C$15+IF(H1719="Yes",J1719*Settings!$C$16,0))</f>
        <v/>
      </c>
      <c r="L1719" s="21">
        <f>IF(B1719="","",IF(Settings!$C$5="Yes",0,K1719*Settings!$C$17))</f>
        <v/>
      </c>
      <c r="M1719" s="21">
        <f>IF(B1719="","",E1719*IFERROR(VLOOKUP(D1719,Products!$B$5:$F$204,5,FALSE),0))</f>
        <v/>
      </c>
      <c r="N1719" s="21">
        <f>IF(B1719="","",J1719-K1719-L1719-M1719-I1719)</f>
        <v/>
      </c>
    </row>
    <row r="1720">
      <c r="B1720" s="11" t="n"/>
      <c r="C1720" s="8" t="n"/>
      <c r="D1720" s="8" t="n"/>
      <c r="E1720" s="8" t="n"/>
      <c r="F1720" s="20" t="n"/>
      <c r="G1720" s="20" t="n"/>
      <c r="H1720" s="8" t="n"/>
      <c r="I1720" s="20" t="n"/>
      <c r="J1720" s="21">
        <f>IF(B1720="","",F1720+G1720)</f>
        <v/>
      </c>
      <c r="K1720" s="21">
        <f>IF(B1720="","",J1720*(Settings!$C$11+Settings!$C$12+Settings!$C$14)+IF(C1720="",Settings!$C$13,IF(COUNTIF($C$5:C1720,C1720)=1,Settings!$C$13,0))+E1720*Settings!$C$15+IF(H1720="Yes",J1720*Settings!$C$16,0))</f>
        <v/>
      </c>
      <c r="L1720" s="21">
        <f>IF(B1720="","",IF(Settings!$C$5="Yes",0,K1720*Settings!$C$17))</f>
        <v/>
      </c>
      <c r="M1720" s="21">
        <f>IF(B1720="","",E1720*IFERROR(VLOOKUP(D1720,Products!$B$5:$F$204,5,FALSE),0))</f>
        <v/>
      </c>
      <c r="N1720" s="21">
        <f>IF(B1720="","",J1720-K1720-L1720-M1720-I1720)</f>
        <v/>
      </c>
    </row>
    <row r="1721">
      <c r="B1721" s="11" t="n"/>
      <c r="C1721" s="8" t="n"/>
      <c r="D1721" s="8" t="n"/>
      <c r="E1721" s="8" t="n"/>
      <c r="F1721" s="20" t="n"/>
      <c r="G1721" s="20" t="n"/>
      <c r="H1721" s="8" t="n"/>
      <c r="I1721" s="20" t="n"/>
      <c r="J1721" s="21">
        <f>IF(B1721="","",F1721+G1721)</f>
        <v/>
      </c>
      <c r="K1721" s="21">
        <f>IF(B1721="","",J1721*(Settings!$C$11+Settings!$C$12+Settings!$C$14)+IF(C1721="",Settings!$C$13,IF(COUNTIF($C$5:C1721,C1721)=1,Settings!$C$13,0))+E1721*Settings!$C$15+IF(H1721="Yes",J1721*Settings!$C$16,0))</f>
        <v/>
      </c>
      <c r="L1721" s="21">
        <f>IF(B1721="","",IF(Settings!$C$5="Yes",0,K1721*Settings!$C$17))</f>
        <v/>
      </c>
      <c r="M1721" s="21">
        <f>IF(B1721="","",E1721*IFERROR(VLOOKUP(D1721,Products!$B$5:$F$204,5,FALSE),0))</f>
        <v/>
      </c>
      <c r="N1721" s="21">
        <f>IF(B1721="","",J1721-K1721-L1721-M1721-I1721)</f>
        <v/>
      </c>
    </row>
    <row r="1722">
      <c r="B1722" s="11" t="n"/>
      <c r="C1722" s="8" t="n"/>
      <c r="D1722" s="8" t="n"/>
      <c r="E1722" s="8" t="n"/>
      <c r="F1722" s="20" t="n"/>
      <c r="G1722" s="20" t="n"/>
      <c r="H1722" s="8" t="n"/>
      <c r="I1722" s="20" t="n"/>
      <c r="J1722" s="21">
        <f>IF(B1722="","",F1722+G1722)</f>
        <v/>
      </c>
      <c r="K1722" s="21">
        <f>IF(B1722="","",J1722*(Settings!$C$11+Settings!$C$12+Settings!$C$14)+IF(C1722="",Settings!$C$13,IF(COUNTIF($C$5:C1722,C1722)=1,Settings!$C$13,0))+E1722*Settings!$C$15+IF(H1722="Yes",J1722*Settings!$C$16,0))</f>
        <v/>
      </c>
      <c r="L1722" s="21">
        <f>IF(B1722="","",IF(Settings!$C$5="Yes",0,K1722*Settings!$C$17))</f>
        <v/>
      </c>
      <c r="M1722" s="21">
        <f>IF(B1722="","",E1722*IFERROR(VLOOKUP(D1722,Products!$B$5:$F$204,5,FALSE),0))</f>
        <v/>
      </c>
      <c r="N1722" s="21">
        <f>IF(B1722="","",J1722-K1722-L1722-M1722-I1722)</f>
        <v/>
      </c>
    </row>
    <row r="1723">
      <c r="B1723" s="11" t="n"/>
      <c r="C1723" s="8" t="n"/>
      <c r="D1723" s="8" t="n"/>
      <c r="E1723" s="8" t="n"/>
      <c r="F1723" s="20" t="n"/>
      <c r="G1723" s="20" t="n"/>
      <c r="H1723" s="8" t="n"/>
      <c r="I1723" s="20" t="n"/>
      <c r="J1723" s="21">
        <f>IF(B1723="","",F1723+G1723)</f>
        <v/>
      </c>
      <c r="K1723" s="21">
        <f>IF(B1723="","",J1723*(Settings!$C$11+Settings!$C$12+Settings!$C$14)+IF(C1723="",Settings!$C$13,IF(COUNTIF($C$5:C1723,C1723)=1,Settings!$C$13,0))+E1723*Settings!$C$15+IF(H1723="Yes",J1723*Settings!$C$16,0))</f>
        <v/>
      </c>
      <c r="L1723" s="21">
        <f>IF(B1723="","",IF(Settings!$C$5="Yes",0,K1723*Settings!$C$17))</f>
        <v/>
      </c>
      <c r="M1723" s="21">
        <f>IF(B1723="","",E1723*IFERROR(VLOOKUP(D1723,Products!$B$5:$F$204,5,FALSE),0))</f>
        <v/>
      </c>
      <c r="N1723" s="21">
        <f>IF(B1723="","",J1723-K1723-L1723-M1723-I1723)</f>
        <v/>
      </c>
    </row>
    <row r="1724">
      <c r="B1724" s="11" t="n"/>
      <c r="C1724" s="8" t="n"/>
      <c r="D1724" s="8" t="n"/>
      <c r="E1724" s="8" t="n"/>
      <c r="F1724" s="20" t="n"/>
      <c r="G1724" s="20" t="n"/>
      <c r="H1724" s="8" t="n"/>
      <c r="I1724" s="20" t="n"/>
      <c r="J1724" s="21">
        <f>IF(B1724="","",F1724+G1724)</f>
        <v/>
      </c>
      <c r="K1724" s="21">
        <f>IF(B1724="","",J1724*(Settings!$C$11+Settings!$C$12+Settings!$C$14)+IF(C1724="",Settings!$C$13,IF(COUNTIF($C$5:C1724,C1724)=1,Settings!$C$13,0))+E1724*Settings!$C$15+IF(H1724="Yes",J1724*Settings!$C$16,0))</f>
        <v/>
      </c>
      <c r="L1724" s="21">
        <f>IF(B1724="","",IF(Settings!$C$5="Yes",0,K1724*Settings!$C$17))</f>
        <v/>
      </c>
      <c r="M1724" s="21">
        <f>IF(B1724="","",E1724*IFERROR(VLOOKUP(D1724,Products!$B$5:$F$204,5,FALSE),0))</f>
        <v/>
      </c>
      <c r="N1724" s="21">
        <f>IF(B1724="","",J1724-K1724-L1724-M1724-I1724)</f>
        <v/>
      </c>
    </row>
    <row r="1725">
      <c r="B1725" s="11" t="n"/>
      <c r="C1725" s="8" t="n"/>
      <c r="D1725" s="8" t="n"/>
      <c r="E1725" s="8" t="n"/>
      <c r="F1725" s="20" t="n"/>
      <c r="G1725" s="20" t="n"/>
      <c r="H1725" s="8" t="n"/>
      <c r="I1725" s="20" t="n"/>
      <c r="J1725" s="21">
        <f>IF(B1725="","",F1725+G1725)</f>
        <v/>
      </c>
      <c r="K1725" s="21">
        <f>IF(B1725="","",J1725*(Settings!$C$11+Settings!$C$12+Settings!$C$14)+IF(C1725="",Settings!$C$13,IF(COUNTIF($C$5:C1725,C1725)=1,Settings!$C$13,0))+E1725*Settings!$C$15+IF(H1725="Yes",J1725*Settings!$C$16,0))</f>
        <v/>
      </c>
      <c r="L1725" s="21">
        <f>IF(B1725="","",IF(Settings!$C$5="Yes",0,K1725*Settings!$C$17))</f>
        <v/>
      </c>
      <c r="M1725" s="21">
        <f>IF(B1725="","",E1725*IFERROR(VLOOKUP(D1725,Products!$B$5:$F$204,5,FALSE),0))</f>
        <v/>
      </c>
      <c r="N1725" s="21">
        <f>IF(B1725="","",J1725-K1725-L1725-M1725-I1725)</f>
        <v/>
      </c>
    </row>
    <row r="1726">
      <c r="B1726" s="11" t="n"/>
      <c r="C1726" s="8" t="n"/>
      <c r="D1726" s="8" t="n"/>
      <c r="E1726" s="8" t="n"/>
      <c r="F1726" s="20" t="n"/>
      <c r="G1726" s="20" t="n"/>
      <c r="H1726" s="8" t="n"/>
      <c r="I1726" s="20" t="n"/>
      <c r="J1726" s="21">
        <f>IF(B1726="","",F1726+G1726)</f>
        <v/>
      </c>
      <c r="K1726" s="21">
        <f>IF(B1726="","",J1726*(Settings!$C$11+Settings!$C$12+Settings!$C$14)+IF(C1726="",Settings!$C$13,IF(COUNTIF($C$5:C1726,C1726)=1,Settings!$C$13,0))+E1726*Settings!$C$15+IF(H1726="Yes",J1726*Settings!$C$16,0))</f>
        <v/>
      </c>
      <c r="L1726" s="21">
        <f>IF(B1726="","",IF(Settings!$C$5="Yes",0,K1726*Settings!$C$17))</f>
        <v/>
      </c>
      <c r="M1726" s="21">
        <f>IF(B1726="","",E1726*IFERROR(VLOOKUP(D1726,Products!$B$5:$F$204,5,FALSE),0))</f>
        <v/>
      </c>
      <c r="N1726" s="21">
        <f>IF(B1726="","",J1726-K1726-L1726-M1726-I1726)</f>
        <v/>
      </c>
    </row>
    <row r="1727">
      <c r="B1727" s="11" t="n"/>
      <c r="C1727" s="8" t="n"/>
      <c r="D1727" s="8" t="n"/>
      <c r="E1727" s="8" t="n"/>
      <c r="F1727" s="20" t="n"/>
      <c r="G1727" s="20" t="n"/>
      <c r="H1727" s="8" t="n"/>
      <c r="I1727" s="20" t="n"/>
      <c r="J1727" s="21">
        <f>IF(B1727="","",F1727+G1727)</f>
        <v/>
      </c>
      <c r="K1727" s="21">
        <f>IF(B1727="","",J1727*(Settings!$C$11+Settings!$C$12+Settings!$C$14)+IF(C1727="",Settings!$C$13,IF(COUNTIF($C$5:C1727,C1727)=1,Settings!$C$13,0))+E1727*Settings!$C$15+IF(H1727="Yes",J1727*Settings!$C$16,0))</f>
        <v/>
      </c>
      <c r="L1727" s="21">
        <f>IF(B1727="","",IF(Settings!$C$5="Yes",0,K1727*Settings!$C$17))</f>
        <v/>
      </c>
      <c r="M1727" s="21">
        <f>IF(B1727="","",E1727*IFERROR(VLOOKUP(D1727,Products!$B$5:$F$204,5,FALSE),0))</f>
        <v/>
      </c>
      <c r="N1727" s="21">
        <f>IF(B1727="","",J1727-K1727-L1727-M1727-I1727)</f>
        <v/>
      </c>
    </row>
    <row r="1728">
      <c r="B1728" s="11" t="n"/>
      <c r="C1728" s="8" t="n"/>
      <c r="D1728" s="8" t="n"/>
      <c r="E1728" s="8" t="n"/>
      <c r="F1728" s="20" t="n"/>
      <c r="G1728" s="20" t="n"/>
      <c r="H1728" s="8" t="n"/>
      <c r="I1728" s="20" t="n"/>
      <c r="J1728" s="21">
        <f>IF(B1728="","",F1728+G1728)</f>
        <v/>
      </c>
      <c r="K1728" s="21">
        <f>IF(B1728="","",J1728*(Settings!$C$11+Settings!$C$12+Settings!$C$14)+IF(C1728="",Settings!$C$13,IF(COUNTIF($C$5:C1728,C1728)=1,Settings!$C$13,0))+E1728*Settings!$C$15+IF(H1728="Yes",J1728*Settings!$C$16,0))</f>
        <v/>
      </c>
      <c r="L1728" s="21">
        <f>IF(B1728="","",IF(Settings!$C$5="Yes",0,K1728*Settings!$C$17))</f>
        <v/>
      </c>
      <c r="M1728" s="21">
        <f>IF(B1728="","",E1728*IFERROR(VLOOKUP(D1728,Products!$B$5:$F$204,5,FALSE),0))</f>
        <v/>
      </c>
      <c r="N1728" s="21">
        <f>IF(B1728="","",J1728-K1728-L1728-M1728-I1728)</f>
        <v/>
      </c>
    </row>
    <row r="1729">
      <c r="B1729" s="11" t="n"/>
      <c r="C1729" s="8" t="n"/>
      <c r="D1729" s="8" t="n"/>
      <c r="E1729" s="8" t="n"/>
      <c r="F1729" s="20" t="n"/>
      <c r="G1729" s="20" t="n"/>
      <c r="H1729" s="8" t="n"/>
      <c r="I1729" s="20" t="n"/>
      <c r="J1729" s="21">
        <f>IF(B1729="","",F1729+G1729)</f>
        <v/>
      </c>
      <c r="K1729" s="21">
        <f>IF(B1729="","",J1729*(Settings!$C$11+Settings!$C$12+Settings!$C$14)+IF(C1729="",Settings!$C$13,IF(COUNTIF($C$5:C1729,C1729)=1,Settings!$C$13,0))+E1729*Settings!$C$15+IF(H1729="Yes",J1729*Settings!$C$16,0))</f>
        <v/>
      </c>
      <c r="L1729" s="21">
        <f>IF(B1729="","",IF(Settings!$C$5="Yes",0,K1729*Settings!$C$17))</f>
        <v/>
      </c>
      <c r="M1729" s="21">
        <f>IF(B1729="","",E1729*IFERROR(VLOOKUP(D1729,Products!$B$5:$F$204,5,FALSE),0))</f>
        <v/>
      </c>
      <c r="N1729" s="21">
        <f>IF(B1729="","",J1729-K1729-L1729-M1729-I1729)</f>
        <v/>
      </c>
    </row>
    <row r="1730">
      <c r="B1730" s="11" t="n"/>
      <c r="C1730" s="8" t="n"/>
      <c r="D1730" s="8" t="n"/>
      <c r="E1730" s="8" t="n"/>
      <c r="F1730" s="20" t="n"/>
      <c r="G1730" s="20" t="n"/>
      <c r="H1730" s="8" t="n"/>
      <c r="I1730" s="20" t="n"/>
      <c r="J1730" s="21">
        <f>IF(B1730="","",F1730+G1730)</f>
        <v/>
      </c>
      <c r="K1730" s="21">
        <f>IF(B1730="","",J1730*(Settings!$C$11+Settings!$C$12+Settings!$C$14)+IF(C1730="",Settings!$C$13,IF(COUNTIF($C$5:C1730,C1730)=1,Settings!$C$13,0))+E1730*Settings!$C$15+IF(H1730="Yes",J1730*Settings!$C$16,0))</f>
        <v/>
      </c>
      <c r="L1730" s="21">
        <f>IF(B1730="","",IF(Settings!$C$5="Yes",0,K1730*Settings!$C$17))</f>
        <v/>
      </c>
      <c r="M1730" s="21">
        <f>IF(B1730="","",E1730*IFERROR(VLOOKUP(D1730,Products!$B$5:$F$204,5,FALSE),0))</f>
        <v/>
      </c>
      <c r="N1730" s="21">
        <f>IF(B1730="","",J1730-K1730-L1730-M1730-I1730)</f>
        <v/>
      </c>
    </row>
    <row r="1731">
      <c r="B1731" s="11" t="n"/>
      <c r="C1731" s="8" t="n"/>
      <c r="D1731" s="8" t="n"/>
      <c r="E1731" s="8" t="n"/>
      <c r="F1731" s="20" t="n"/>
      <c r="G1731" s="20" t="n"/>
      <c r="H1731" s="8" t="n"/>
      <c r="I1731" s="20" t="n"/>
      <c r="J1731" s="21">
        <f>IF(B1731="","",F1731+G1731)</f>
        <v/>
      </c>
      <c r="K1731" s="21">
        <f>IF(B1731="","",J1731*(Settings!$C$11+Settings!$C$12+Settings!$C$14)+IF(C1731="",Settings!$C$13,IF(COUNTIF($C$5:C1731,C1731)=1,Settings!$C$13,0))+E1731*Settings!$C$15+IF(H1731="Yes",J1731*Settings!$C$16,0))</f>
        <v/>
      </c>
      <c r="L1731" s="21">
        <f>IF(B1731="","",IF(Settings!$C$5="Yes",0,K1731*Settings!$C$17))</f>
        <v/>
      </c>
      <c r="M1731" s="21">
        <f>IF(B1731="","",E1731*IFERROR(VLOOKUP(D1731,Products!$B$5:$F$204,5,FALSE),0))</f>
        <v/>
      </c>
      <c r="N1731" s="21">
        <f>IF(B1731="","",J1731-K1731-L1731-M1731-I1731)</f>
        <v/>
      </c>
    </row>
    <row r="1732">
      <c r="B1732" s="11" t="n"/>
      <c r="C1732" s="8" t="n"/>
      <c r="D1732" s="8" t="n"/>
      <c r="E1732" s="8" t="n"/>
      <c r="F1732" s="20" t="n"/>
      <c r="G1732" s="20" t="n"/>
      <c r="H1732" s="8" t="n"/>
      <c r="I1732" s="20" t="n"/>
      <c r="J1732" s="21">
        <f>IF(B1732="","",F1732+G1732)</f>
        <v/>
      </c>
      <c r="K1732" s="21">
        <f>IF(B1732="","",J1732*(Settings!$C$11+Settings!$C$12+Settings!$C$14)+IF(C1732="",Settings!$C$13,IF(COUNTIF($C$5:C1732,C1732)=1,Settings!$C$13,0))+E1732*Settings!$C$15+IF(H1732="Yes",J1732*Settings!$C$16,0))</f>
        <v/>
      </c>
      <c r="L1732" s="21">
        <f>IF(B1732="","",IF(Settings!$C$5="Yes",0,K1732*Settings!$C$17))</f>
        <v/>
      </c>
      <c r="M1732" s="21">
        <f>IF(B1732="","",E1732*IFERROR(VLOOKUP(D1732,Products!$B$5:$F$204,5,FALSE),0))</f>
        <v/>
      </c>
      <c r="N1732" s="21">
        <f>IF(B1732="","",J1732-K1732-L1732-M1732-I1732)</f>
        <v/>
      </c>
    </row>
    <row r="1733">
      <c r="B1733" s="11" t="n"/>
      <c r="C1733" s="8" t="n"/>
      <c r="D1733" s="8" t="n"/>
      <c r="E1733" s="8" t="n"/>
      <c r="F1733" s="20" t="n"/>
      <c r="G1733" s="20" t="n"/>
      <c r="H1733" s="8" t="n"/>
      <c r="I1733" s="20" t="n"/>
      <c r="J1733" s="21">
        <f>IF(B1733="","",F1733+G1733)</f>
        <v/>
      </c>
      <c r="K1733" s="21">
        <f>IF(B1733="","",J1733*(Settings!$C$11+Settings!$C$12+Settings!$C$14)+IF(C1733="",Settings!$C$13,IF(COUNTIF($C$5:C1733,C1733)=1,Settings!$C$13,0))+E1733*Settings!$C$15+IF(H1733="Yes",J1733*Settings!$C$16,0))</f>
        <v/>
      </c>
      <c r="L1733" s="21">
        <f>IF(B1733="","",IF(Settings!$C$5="Yes",0,K1733*Settings!$C$17))</f>
        <v/>
      </c>
      <c r="M1733" s="21">
        <f>IF(B1733="","",E1733*IFERROR(VLOOKUP(D1733,Products!$B$5:$F$204,5,FALSE),0))</f>
        <v/>
      </c>
      <c r="N1733" s="21">
        <f>IF(B1733="","",J1733-K1733-L1733-M1733-I1733)</f>
        <v/>
      </c>
    </row>
    <row r="1734">
      <c r="B1734" s="11" t="n"/>
      <c r="C1734" s="8" t="n"/>
      <c r="D1734" s="8" t="n"/>
      <c r="E1734" s="8" t="n"/>
      <c r="F1734" s="20" t="n"/>
      <c r="G1734" s="20" t="n"/>
      <c r="H1734" s="8" t="n"/>
      <c r="I1734" s="20" t="n"/>
      <c r="J1734" s="21">
        <f>IF(B1734="","",F1734+G1734)</f>
        <v/>
      </c>
      <c r="K1734" s="21">
        <f>IF(B1734="","",J1734*(Settings!$C$11+Settings!$C$12+Settings!$C$14)+IF(C1734="",Settings!$C$13,IF(COUNTIF($C$5:C1734,C1734)=1,Settings!$C$13,0))+E1734*Settings!$C$15+IF(H1734="Yes",J1734*Settings!$C$16,0))</f>
        <v/>
      </c>
      <c r="L1734" s="21">
        <f>IF(B1734="","",IF(Settings!$C$5="Yes",0,K1734*Settings!$C$17))</f>
        <v/>
      </c>
      <c r="M1734" s="21">
        <f>IF(B1734="","",E1734*IFERROR(VLOOKUP(D1734,Products!$B$5:$F$204,5,FALSE),0))</f>
        <v/>
      </c>
      <c r="N1734" s="21">
        <f>IF(B1734="","",J1734-K1734-L1734-M1734-I1734)</f>
        <v/>
      </c>
    </row>
    <row r="1735">
      <c r="B1735" s="11" t="n"/>
      <c r="C1735" s="8" t="n"/>
      <c r="D1735" s="8" t="n"/>
      <c r="E1735" s="8" t="n"/>
      <c r="F1735" s="20" t="n"/>
      <c r="G1735" s="20" t="n"/>
      <c r="H1735" s="8" t="n"/>
      <c r="I1735" s="20" t="n"/>
      <c r="J1735" s="21">
        <f>IF(B1735="","",F1735+G1735)</f>
        <v/>
      </c>
      <c r="K1735" s="21">
        <f>IF(B1735="","",J1735*(Settings!$C$11+Settings!$C$12+Settings!$C$14)+IF(C1735="",Settings!$C$13,IF(COUNTIF($C$5:C1735,C1735)=1,Settings!$C$13,0))+E1735*Settings!$C$15+IF(H1735="Yes",J1735*Settings!$C$16,0))</f>
        <v/>
      </c>
      <c r="L1735" s="21">
        <f>IF(B1735="","",IF(Settings!$C$5="Yes",0,K1735*Settings!$C$17))</f>
        <v/>
      </c>
      <c r="M1735" s="21">
        <f>IF(B1735="","",E1735*IFERROR(VLOOKUP(D1735,Products!$B$5:$F$204,5,FALSE),0))</f>
        <v/>
      </c>
      <c r="N1735" s="21">
        <f>IF(B1735="","",J1735-K1735-L1735-M1735-I1735)</f>
        <v/>
      </c>
    </row>
    <row r="1736">
      <c r="B1736" s="11" t="n"/>
      <c r="C1736" s="8" t="n"/>
      <c r="D1736" s="8" t="n"/>
      <c r="E1736" s="8" t="n"/>
      <c r="F1736" s="20" t="n"/>
      <c r="G1736" s="20" t="n"/>
      <c r="H1736" s="8" t="n"/>
      <c r="I1736" s="20" t="n"/>
      <c r="J1736" s="21">
        <f>IF(B1736="","",F1736+G1736)</f>
        <v/>
      </c>
      <c r="K1736" s="21">
        <f>IF(B1736="","",J1736*(Settings!$C$11+Settings!$C$12+Settings!$C$14)+IF(C1736="",Settings!$C$13,IF(COUNTIF($C$5:C1736,C1736)=1,Settings!$C$13,0))+E1736*Settings!$C$15+IF(H1736="Yes",J1736*Settings!$C$16,0))</f>
        <v/>
      </c>
      <c r="L1736" s="21">
        <f>IF(B1736="","",IF(Settings!$C$5="Yes",0,K1736*Settings!$C$17))</f>
        <v/>
      </c>
      <c r="M1736" s="21">
        <f>IF(B1736="","",E1736*IFERROR(VLOOKUP(D1736,Products!$B$5:$F$204,5,FALSE),0))</f>
        <v/>
      </c>
      <c r="N1736" s="21">
        <f>IF(B1736="","",J1736-K1736-L1736-M1736-I1736)</f>
        <v/>
      </c>
    </row>
    <row r="1737">
      <c r="B1737" s="11" t="n"/>
      <c r="C1737" s="8" t="n"/>
      <c r="D1737" s="8" t="n"/>
      <c r="E1737" s="8" t="n"/>
      <c r="F1737" s="20" t="n"/>
      <c r="G1737" s="20" t="n"/>
      <c r="H1737" s="8" t="n"/>
      <c r="I1737" s="20" t="n"/>
      <c r="J1737" s="21">
        <f>IF(B1737="","",F1737+G1737)</f>
        <v/>
      </c>
      <c r="K1737" s="21">
        <f>IF(B1737="","",J1737*(Settings!$C$11+Settings!$C$12+Settings!$C$14)+IF(C1737="",Settings!$C$13,IF(COUNTIF($C$5:C1737,C1737)=1,Settings!$C$13,0))+E1737*Settings!$C$15+IF(H1737="Yes",J1737*Settings!$C$16,0))</f>
        <v/>
      </c>
      <c r="L1737" s="21">
        <f>IF(B1737="","",IF(Settings!$C$5="Yes",0,K1737*Settings!$C$17))</f>
        <v/>
      </c>
      <c r="M1737" s="21">
        <f>IF(B1737="","",E1737*IFERROR(VLOOKUP(D1737,Products!$B$5:$F$204,5,FALSE),0))</f>
        <v/>
      </c>
      <c r="N1737" s="21">
        <f>IF(B1737="","",J1737-K1737-L1737-M1737-I1737)</f>
        <v/>
      </c>
    </row>
    <row r="1738">
      <c r="B1738" s="11" t="n"/>
      <c r="C1738" s="8" t="n"/>
      <c r="D1738" s="8" t="n"/>
      <c r="E1738" s="8" t="n"/>
      <c r="F1738" s="20" t="n"/>
      <c r="G1738" s="20" t="n"/>
      <c r="H1738" s="8" t="n"/>
      <c r="I1738" s="20" t="n"/>
      <c r="J1738" s="21">
        <f>IF(B1738="","",F1738+G1738)</f>
        <v/>
      </c>
      <c r="K1738" s="21">
        <f>IF(B1738="","",J1738*(Settings!$C$11+Settings!$C$12+Settings!$C$14)+IF(C1738="",Settings!$C$13,IF(COUNTIF($C$5:C1738,C1738)=1,Settings!$C$13,0))+E1738*Settings!$C$15+IF(H1738="Yes",J1738*Settings!$C$16,0))</f>
        <v/>
      </c>
      <c r="L1738" s="21">
        <f>IF(B1738="","",IF(Settings!$C$5="Yes",0,K1738*Settings!$C$17))</f>
        <v/>
      </c>
      <c r="M1738" s="21">
        <f>IF(B1738="","",E1738*IFERROR(VLOOKUP(D1738,Products!$B$5:$F$204,5,FALSE),0))</f>
        <v/>
      </c>
      <c r="N1738" s="21">
        <f>IF(B1738="","",J1738-K1738-L1738-M1738-I1738)</f>
        <v/>
      </c>
    </row>
    <row r="1739">
      <c r="B1739" s="11" t="n"/>
      <c r="C1739" s="8" t="n"/>
      <c r="D1739" s="8" t="n"/>
      <c r="E1739" s="8" t="n"/>
      <c r="F1739" s="20" t="n"/>
      <c r="G1739" s="20" t="n"/>
      <c r="H1739" s="8" t="n"/>
      <c r="I1739" s="20" t="n"/>
      <c r="J1739" s="21">
        <f>IF(B1739="","",F1739+G1739)</f>
        <v/>
      </c>
      <c r="K1739" s="21">
        <f>IF(B1739="","",J1739*(Settings!$C$11+Settings!$C$12+Settings!$C$14)+IF(C1739="",Settings!$C$13,IF(COUNTIF($C$5:C1739,C1739)=1,Settings!$C$13,0))+E1739*Settings!$C$15+IF(H1739="Yes",J1739*Settings!$C$16,0))</f>
        <v/>
      </c>
      <c r="L1739" s="21">
        <f>IF(B1739="","",IF(Settings!$C$5="Yes",0,K1739*Settings!$C$17))</f>
        <v/>
      </c>
      <c r="M1739" s="21">
        <f>IF(B1739="","",E1739*IFERROR(VLOOKUP(D1739,Products!$B$5:$F$204,5,FALSE),0))</f>
        <v/>
      </c>
      <c r="N1739" s="21">
        <f>IF(B1739="","",J1739-K1739-L1739-M1739-I1739)</f>
        <v/>
      </c>
    </row>
    <row r="1740">
      <c r="B1740" s="11" t="n"/>
      <c r="C1740" s="8" t="n"/>
      <c r="D1740" s="8" t="n"/>
      <c r="E1740" s="8" t="n"/>
      <c r="F1740" s="20" t="n"/>
      <c r="G1740" s="20" t="n"/>
      <c r="H1740" s="8" t="n"/>
      <c r="I1740" s="20" t="n"/>
      <c r="J1740" s="21">
        <f>IF(B1740="","",F1740+G1740)</f>
        <v/>
      </c>
      <c r="K1740" s="21">
        <f>IF(B1740="","",J1740*(Settings!$C$11+Settings!$C$12+Settings!$C$14)+IF(C1740="",Settings!$C$13,IF(COUNTIF($C$5:C1740,C1740)=1,Settings!$C$13,0))+E1740*Settings!$C$15+IF(H1740="Yes",J1740*Settings!$C$16,0))</f>
        <v/>
      </c>
      <c r="L1740" s="21">
        <f>IF(B1740="","",IF(Settings!$C$5="Yes",0,K1740*Settings!$C$17))</f>
        <v/>
      </c>
      <c r="M1740" s="21">
        <f>IF(B1740="","",E1740*IFERROR(VLOOKUP(D1740,Products!$B$5:$F$204,5,FALSE),0))</f>
        <v/>
      </c>
      <c r="N1740" s="21">
        <f>IF(B1740="","",J1740-K1740-L1740-M1740-I1740)</f>
        <v/>
      </c>
    </row>
    <row r="1741">
      <c r="B1741" s="11" t="n"/>
      <c r="C1741" s="8" t="n"/>
      <c r="D1741" s="8" t="n"/>
      <c r="E1741" s="8" t="n"/>
      <c r="F1741" s="20" t="n"/>
      <c r="G1741" s="20" t="n"/>
      <c r="H1741" s="8" t="n"/>
      <c r="I1741" s="20" t="n"/>
      <c r="J1741" s="21">
        <f>IF(B1741="","",F1741+G1741)</f>
        <v/>
      </c>
      <c r="K1741" s="21">
        <f>IF(B1741="","",J1741*(Settings!$C$11+Settings!$C$12+Settings!$C$14)+IF(C1741="",Settings!$C$13,IF(COUNTIF($C$5:C1741,C1741)=1,Settings!$C$13,0))+E1741*Settings!$C$15+IF(H1741="Yes",J1741*Settings!$C$16,0))</f>
        <v/>
      </c>
      <c r="L1741" s="21">
        <f>IF(B1741="","",IF(Settings!$C$5="Yes",0,K1741*Settings!$C$17))</f>
        <v/>
      </c>
      <c r="M1741" s="21">
        <f>IF(B1741="","",E1741*IFERROR(VLOOKUP(D1741,Products!$B$5:$F$204,5,FALSE),0))</f>
        <v/>
      </c>
      <c r="N1741" s="21">
        <f>IF(B1741="","",J1741-K1741-L1741-M1741-I1741)</f>
        <v/>
      </c>
    </row>
    <row r="1742">
      <c r="B1742" s="11" t="n"/>
      <c r="C1742" s="8" t="n"/>
      <c r="D1742" s="8" t="n"/>
      <c r="E1742" s="8" t="n"/>
      <c r="F1742" s="20" t="n"/>
      <c r="G1742" s="20" t="n"/>
      <c r="H1742" s="8" t="n"/>
      <c r="I1742" s="20" t="n"/>
      <c r="J1742" s="21">
        <f>IF(B1742="","",F1742+G1742)</f>
        <v/>
      </c>
      <c r="K1742" s="21">
        <f>IF(B1742="","",J1742*(Settings!$C$11+Settings!$C$12+Settings!$C$14)+IF(C1742="",Settings!$C$13,IF(COUNTIF($C$5:C1742,C1742)=1,Settings!$C$13,0))+E1742*Settings!$C$15+IF(H1742="Yes",J1742*Settings!$C$16,0))</f>
        <v/>
      </c>
      <c r="L1742" s="21">
        <f>IF(B1742="","",IF(Settings!$C$5="Yes",0,K1742*Settings!$C$17))</f>
        <v/>
      </c>
      <c r="M1742" s="21">
        <f>IF(B1742="","",E1742*IFERROR(VLOOKUP(D1742,Products!$B$5:$F$204,5,FALSE),0))</f>
        <v/>
      </c>
      <c r="N1742" s="21">
        <f>IF(B1742="","",J1742-K1742-L1742-M1742-I1742)</f>
        <v/>
      </c>
    </row>
    <row r="1743">
      <c r="B1743" s="11" t="n"/>
      <c r="C1743" s="8" t="n"/>
      <c r="D1743" s="8" t="n"/>
      <c r="E1743" s="8" t="n"/>
      <c r="F1743" s="20" t="n"/>
      <c r="G1743" s="20" t="n"/>
      <c r="H1743" s="8" t="n"/>
      <c r="I1743" s="20" t="n"/>
      <c r="J1743" s="21">
        <f>IF(B1743="","",F1743+G1743)</f>
        <v/>
      </c>
      <c r="K1743" s="21">
        <f>IF(B1743="","",J1743*(Settings!$C$11+Settings!$C$12+Settings!$C$14)+IF(C1743="",Settings!$C$13,IF(COUNTIF($C$5:C1743,C1743)=1,Settings!$C$13,0))+E1743*Settings!$C$15+IF(H1743="Yes",J1743*Settings!$C$16,0))</f>
        <v/>
      </c>
      <c r="L1743" s="21">
        <f>IF(B1743="","",IF(Settings!$C$5="Yes",0,K1743*Settings!$C$17))</f>
        <v/>
      </c>
      <c r="M1743" s="21">
        <f>IF(B1743="","",E1743*IFERROR(VLOOKUP(D1743,Products!$B$5:$F$204,5,FALSE),0))</f>
        <v/>
      </c>
      <c r="N1743" s="21">
        <f>IF(B1743="","",J1743-K1743-L1743-M1743-I1743)</f>
        <v/>
      </c>
    </row>
    <row r="1744">
      <c r="B1744" s="11" t="n"/>
      <c r="C1744" s="8" t="n"/>
      <c r="D1744" s="8" t="n"/>
      <c r="E1744" s="8" t="n"/>
      <c r="F1744" s="20" t="n"/>
      <c r="G1744" s="20" t="n"/>
      <c r="H1744" s="8" t="n"/>
      <c r="I1744" s="20" t="n"/>
      <c r="J1744" s="21">
        <f>IF(B1744="","",F1744+G1744)</f>
        <v/>
      </c>
      <c r="K1744" s="21">
        <f>IF(B1744="","",J1744*(Settings!$C$11+Settings!$C$12+Settings!$C$14)+IF(C1744="",Settings!$C$13,IF(COUNTIF($C$5:C1744,C1744)=1,Settings!$C$13,0))+E1744*Settings!$C$15+IF(H1744="Yes",J1744*Settings!$C$16,0))</f>
        <v/>
      </c>
      <c r="L1744" s="21">
        <f>IF(B1744="","",IF(Settings!$C$5="Yes",0,K1744*Settings!$C$17))</f>
        <v/>
      </c>
      <c r="M1744" s="21">
        <f>IF(B1744="","",E1744*IFERROR(VLOOKUP(D1744,Products!$B$5:$F$204,5,FALSE),0))</f>
        <v/>
      </c>
      <c r="N1744" s="21">
        <f>IF(B1744="","",J1744-K1744-L1744-M1744-I1744)</f>
        <v/>
      </c>
    </row>
    <row r="1745">
      <c r="B1745" s="11" t="n"/>
      <c r="C1745" s="8" t="n"/>
      <c r="D1745" s="8" t="n"/>
      <c r="E1745" s="8" t="n"/>
      <c r="F1745" s="20" t="n"/>
      <c r="G1745" s="20" t="n"/>
      <c r="H1745" s="8" t="n"/>
      <c r="I1745" s="20" t="n"/>
      <c r="J1745" s="21">
        <f>IF(B1745="","",F1745+G1745)</f>
        <v/>
      </c>
      <c r="K1745" s="21">
        <f>IF(B1745="","",J1745*(Settings!$C$11+Settings!$C$12+Settings!$C$14)+IF(C1745="",Settings!$C$13,IF(COUNTIF($C$5:C1745,C1745)=1,Settings!$C$13,0))+E1745*Settings!$C$15+IF(H1745="Yes",J1745*Settings!$C$16,0))</f>
        <v/>
      </c>
      <c r="L1745" s="21">
        <f>IF(B1745="","",IF(Settings!$C$5="Yes",0,K1745*Settings!$C$17))</f>
        <v/>
      </c>
      <c r="M1745" s="21">
        <f>IF(B1745="","",E1745*IFERROR(VLOOKUP(D1745,Products!$B$5:$F$204,5,FALSE),0))</f>
        <v/>
      </c>
      <c r="N1745" s="21">
        <f>IF(B1745="","",J1745-K1745-L1745-M1745-I1745)</f>
        <v/>
      </c>
    </row>
    <row r="1746">
      <c r="B1746" s="11" t="n"/>
      <c r="C1746" s="8" t="n"/>
      <c r="D1746" s="8" t="n"/>
      <c r="E1746" s="8" t="n"/>
      <c r="F1746" s="20" t="n"/>
      <c r="G1746" s="20" t="n"/>
      <c r="H1746" s="8" t="n"/>
      <c r="I1746" s="20" t="n"/>
      <c r="J1746" s="21">
        <f>IF(B1746="","",F1746+G1746)</f>
        <v/>
      </c>
      <c r="K1746" s="21">
        <f>IF(B1746="","",J1746*(Settings!$C$11+Settings!$C$12+Settings!$C$14)+IF(C1746="",Settings!$C$13,IF(COUNTIF($C$5:C1746,C1746)=1,Settings!$C$13,0))+E1746*Settings!$C$15+IF(H1746="Yes",J1746*Settings!$C$16,0))</f>
        <v/>
      </c>
      <c r="L1746" s="21">
        <f>IF(B1746="","",IF(Settings!$C$5="Yes",0,K1746*Settings!$C$17))</f>
        <v/>
      </c>
      <c r="M1746" s="21">
        <f>IF(B1746="","",E1746*IFERROR(VLOOKUP(D1746,Products!$B$5:$F$204,5,FALSE),0))</f>
        <v/>
      </c>
      <c r="N1746" s="21">
        <f>IF(B1746="","",J1746-K1746-L1746-M1746-I1746)</f>
        <v/>
      </c>
    </row>
    <row r="1747">
      <c r="B1747" s="11" t="n"/>
      <c r="C1747" s="8" t="n"/>
      <c r="D1747" s="8" t="n"/>
      <c r="E1747" s="8" t="n"/>
      <c r="F1747" s="20" t="n"/>
      <c r="G1747" s="20" t="n"/>
      <c r="H1747" s="8" t="n"/>
      <c r="I1747" s="20" t="n"/>
      <c r="J1747" s="21">
        <f>IF(B1747="","",F1747+G1747)</f>
        <v/>
      </c>
      <c r="K1747" s="21">
        <f>IF(B1747="","",J1747*(Settings!$C$11+Settings!$C$12+Settings!$C$14)+IF(C1747="",Settings!$C$13,IF(COUNTIF($C$5:C1747,C1747)=1,Settings!$C$13,0))+E1747*Settings!$C$15+IF(H1747="Yes",J1747*Settings!$C$16,0))</f>
        <v/>
      </c>
      <c r="L1747" s="21">
        <f>IF(B1747="","",IF(Settings!$C$5="Yes",0,K1747*Settings!$C$17))</f>
        <v/>
      </c>
      <c r="M1747" s="21">
        <f>IF(B1747="","",E1747*IFERROR(VLOOKUP(D1747,Products!$B$5:$F$204,5,FALSE),0))</f>
        <v/>
      </c>
      <c r="N1747" s="21">
        <f>IF(B1747="","",J1747-K1747-L1747-M1747-I1747)</f>
        <v/>
      </c>
    </row>
    <row r="1748">
      <c r="B1748" s="11" t="n"/>
      <c r="C1748" s="8" t="n"/>
      <c r="D1748" s="8" t="n"/>
      <c r="E1748" s="8" t="n"/>
      <c r="F1748" s="20" t="n"/>
      <c r="G1748" s="20" t="n"/>
      <c r="H1748" s="8" t="n"/>
      <c r="I1748" s="20" t="n"/>
      <c r="J1748" s="21">
        <f>IF(B1748="","",F1748+G1748)</f>
        <v/>
      </c>
      <c r="K1748" s="21">
        <f>IF(B1748="","",J1748*(Settings!$C$11+Settings!$C$12+Settings!$C$14)+IF(C1748="",Settings!$C$13,IF(COUNTIF($C$5:C1748,C1748)=1,Settings!$C$13,0))+E1748*Settings!$C$15+IF(H1748="Yes",J1748*Settings!$C$16,0))</f>
        <v/>
      </c>
      <c r="L1748" s="21">
        <f>IF(B1748="","",IF(Settings!$C$5="Yes",0,K1748*Settings!$C$17))</f>
        <v/>
      </c>
      <c r="M1748" s="21">
        <f>IF(B1748="","",E1748*IFERROR(VLOOKUP(D1748,Products!$B$5:$F$204,5,FALSE),0))</f>
        <v/>
      </c>
      <c r="N1748" s="21">
        <f>IF(B1748="","",J1748-K1748-L1748-M1748-I1748)</f>
        <v/>
      </c>
    </row>
    <row r="1749">
      <c r="B1749" s="11" t="n"/>
      <c r="C1749" s="8" t="n"/>
      <c r="D1749" s="8" t="n"/>
      <c r="E1749" s="8" t="n"/>
      <c r="F1749" s="20" t="n"/>
      <c r="G1749" s="20" t="n"/>
      <c r="H1749" s="8" t="n"/>
      <c r="I1749" s="20" t="n"/>
      <c r="J1749" s="21">
        <f>IF(B1749="","",F1749+G1749)</f>
        <v/>
      </c>
      <c r="K1749" s="21">
        <f>IF(B1749="","",J1749*(Settings!$C$11+Settings!$C$12+Settings!$C$14)+IF(C1749="",Settings!$C$13,IF(COUNTIF($C$5:C1749,C1749)=1,Settings!$C$13,0))+E1749*Settings!$C$15+IF(H1749="Yes",J1749*Settings!$C$16,0))</f>
        <v/>
      </c>
      <c r="L1749" s="21">
        <f>IF(B1749="","",IF(Settings!$C$5="Yes",0,K1749*Settings!$C$17))</f>
        <v/>
      </c>
      <c r="M1749" s="21">
        <f>IF(B1749="","",E1749*IFERROR(VLOOKUP(D1749,Products!$B$5:$F$204,5,FALSE),0))</f>
        <v/>
      </c>
      <c r="N1749" s="21">
        <f>IF(B1749="","",J1749-K1749-L1749-M1749-I1749)</f>
        <v/>
      </c>
    </row>
    <row r="1750">
      <c r="B1750" s="11" t="n"/>
      <c r="C1750" s="8" t="n"/>
      <c r="D1750" s="8" t="n"/>
      <c r="E1750" s="8" t="n"/>
      <c r="F1750" s="20" t="n"/>
      <c r="G1750" s="20" t="n"/>
      <c r="H1750" s="8" t="n"/>
      <c r="I1750" s="20" t="n"/>
      <c r="J1750" s="21">
        <f>IF(B1750="","",F1750+G1750)</f>
        <v/>
      </c>
      <c r="K1750" s="21">
        <f>IF(B1750="","",J1750*(Settings!$C$11+Settings!$C$12+Settings!$C$14)+IF(C1750="",Settings!$C$13,IF(COUNTIF($C$5:C1750,C1750)=1,Settings!$C$13,0))+E1750*Settings!$C$15+IF(H1750="Yes",J1750*Settings!$C$16,0))</f>
        <v/>
      </c>
      <c r="L1750" s="21">
        <f>IF(B1750="","",IF(Settings!$C$5="Yes",0,K1750*Settings!$C$17))</f>
        <v/>
      </c>
      <c r="M1750" s="21">
        <f>IF(B1750="","",E1750*IFERROR(VLOOKUP(D1750,Products!$B$5:$F$204,5,FALSE),0))</f>
        <v/>
      </c>
      <c r="N1750" s="21">
        <f>IF(B1750="","",J1750-K1750-L1750-M1750-I1750)</f>
        <v/>
      </c>
    </row>
    <row r="1751">
      <c r="B1751" s="11" t="n"/>
      <c r="C1751" s="8" t="n"/>
      <c r="D1751" s="8" t="n"/>
      <c r="E1751" s="8" t="n"/>
      <c r="F1751" s="20" t="n"/>
      <c r="G1751" s="20" t="n"/>
      <c r="H1751" s="8" t="n"/>
      <c r="I1751" s="20" t="n"/>
      <c r="J1751" s="21">
        <f>IF(B1751="","",F1751+G1751)</f>
        <v/>
      </c>
      <c r="K1751" s="21">
        <f>IF(B1751="","",J1751*(Settings!$C$11+Settings!$C$12+Settings!$C$14)+IF(C1751="",Settings!$C$13,IF(COUNTIF($C$5:C1751,C1751)=1,Settings!$C$13,0))+E1751*Settings!$C$15+IF(H1751="Yes",J1751*Settings!$C$16,0))</f>
        <v/>
      </c>
      <c r="L1751" s="21">
        <f>IF(B1751="","",IF(Settings!$C$5="Yes",0,K1751*Settings!$C$17))</f>
        <v/>
      </c>
      <c r="M1751" s="21">
        <f>IF(B1751="","",E1751*IFERROR(VLOOKUP(D1751,Products!$B$5:$F$204,5,FALSE),0))</f>
        <v/>
      </c>
      <c r="N1751" s="21">
        <f>IF(B1751="","",J1751-K1751-L1751-M1751-I1751)</f>
        <v/>
      </c>
    </row>
    <row r="1752">
      <c r="B1752" s="11" t="n"/>
      <c r="C1752" s="8" t="n"/>
      <c r="D1752" s="8" t="n"/>
      <c r="E1752" s="8" t="n"/>
      <c r="F1752" s="20" t="n"/>
      <c r="G1752" s="20" t="n"/>
      <c r="H1752" s="8" t="n"/>
      <c r="I1752" s="20" t="n"/>
      <c r="J1752" s="21">
        <f>IF(B1752="","",F1752+G1752)</f>
        <v/>
      </c>
      <c r="K1752" s="21">
        <f>IF(B1752="","",J1752*(Settings!$C$11+Settings!$C$12+Settings!$C$14)+IF(C1752="",Settings!$C$13,IF(COUNTIF($C$5:C1752,C1752)=1,Settings!$C$13,0))+E1752*Settings!$C$15+IF(H1752="Yes",J1752*Settings!$C$16,0))</f>
        <v/>
      </c>
      <c r="L1752" s="21">
        <f>IF(B1752="","",IF(Settings!$C$5="Yes",0,K1752*Settings!$C$17))</f>
        <v/>
      </c>
      <c r="M1752" s="21">
        <f>IF(B1752="","",E1752*IFERROR(VLOOKUP(D1752,Products!$B$5:$F$204,5,FALSE),0))</f>
        <v/>
      </c>
      <c r="N1752" s="21">
        <f>IF(B1752="","",J1752-K1752-L1752-M1752-I1752)</f>
        <v/>
      </c>
    </row>
    <row r="1753">
      <c r="B1753" s="11" t="n"/>
      <c r="C1753" s="8" t="n"/>
      <c r="D1753" s="8" t="n"/>
      <c r="E1753" s="8" t="n"/>
      <c r="F1753" s="20" t="n"/>
      <c r="G1753" s="20" t="n"/>
      <c r="H1753" s="8" t="n"/>
      <c r="I1753" s="20" t="n"/>
      <c r="J1753" s="21">
        <f>IF(B1753="","",F1753+G1753)</f>
        <v/>
      </c>
      <c r="K1753" s="21">
        <f>IF(B1753="","",J1753*(Settings!$C$11+Settings!$C$12+Settings!$C$14)+IF(C1753="",Settings!$C$13,IF(COUNTIF($C$5:C1753,C1753)=1,Settings!$C$13,0))+E1753*Settings!$C$15+IF(H1753="Yes",J1753*Settings!$C$16,0))</f>
        <v/>
      </c>
      <c r="L1753" s="21">
        <f>IF(B1753="","",IF(Settings!$C$5="Yes",0,K1753*Settings!$C$17))</f>
        <v/>
      </c>
      <c r="M1753" s="21">
        <f>IF(B1753="","",E1753*IFERROR(VLOOKUP(D1753,Products!$B$5:$F$204,5,FALSE),0))</f>
        <v/>
      </c>
      <c r="N1753" s="21">
        <f>IF(B1753="","",J1753-K1753-L1753-M1753-I1753)</f>
        <v/>
      </c>
    </row>
    <row r="1754">
      <c r="B1754" s="11" t="n"/>
      <c r="C1754" s="8" t="n"/>
      <c r="D1754" s="8" t="n"/>
      <c r="E1754" s="8" t="n"/>
      <c r="F1754" s="20" t="n"/>
      <c r="G1754" s="20" t="n"/>
      <c r="H1754" s="8" t="n"/>
      <c r="I1754" s="20" t="n"/>
      <c r="J1754" s="21">
        <f>IF(B1754="","",F1754+G1754)</f>
        <v/>
      </c>
      <c r="K1754" s="21">
        <f>IF(B1754="","",J1754*(Settings!$C$11+Settings!$C$12+Settings!$C$14)+IF(C1754="",Settings!$C$13,IF(COUNTIF($C$5:C1754,C1754)=1,Settings!$C$13,0))+E1754*Settings!$C$15+IF(H1754="Yes",J1754*Settings!$C$16,0))</f>
        <v/>
      </c>
      <c r="L1754" s="21">
        <f>IF(B1754="","",IF(Settings!$C$5="Yes",0,K1754*Settings!$C$17))</f>
        <v/>
      </c>
      <c r="M1754" s="21">
        <f>IF(B1754="","",E1754*IFERROR(VLOOKUP(D1754,Products!$B$5:$F$204,5,FALSE),0))</f>
        <v/>
      </c>
      <c r="N1754" s="21">
        <f>IF(B1754="","",J1754-K1754-L1754-M1754-I1754)</f>
        <v/>
      </c>
    </row>
    <row r="1755">
      <c r="B1755" s="11" t="n"/>
      <c r="C1755" s="8" t="n"/>
      <c r="D1755" s="8" t="n"/>
      <c r="E1755" s="8" t="n"/>
      <c r="F1755" s="20" t="n"/>
      <c r="G1755" s="20" t="n"/>
      <c r="H1755" s="8" t="n"/>
      <c r="I1755" s="20" t="n"/>
      <c r="J1755" s="21">
        <f>IF(B1755="","",F1755+G1755)</f>
        <v/>
      </c>
      <c r="K1755" s="21">
        <f>IF(B1755="","",J1755*(Settings!$C$11+Settings!$C$12+Settings!$C$14)+IF(C1755="",Settings!$C$13,IF(COUNTIF($C$5:C1755,C1755)=1,Settings!$C$13,0))+E1755*Settings!$C$15+IF(H1755="Yes",J1755*Settings!$C$16,0))</f>
        <v/>
      </c>
      <c r="L1755" s="21">
        <f>IF(B1755="","",IF(Settings!$C$5="Yes",0,K1755*Settings!$C$17))</f>
        <v/>
      </c>
      <c r="M1755" s="21">
        <f>IF(B1755="","",E1755*IFERROR(VLOOKUP(D1755,Products!$B$5:$F$204,5,FALSE),0))</f>
        <v/>
      </c>
      <c r="N1755" s="21">
        <f>IF(B1755="","",J1755-K1755-L1755-M1755-I1755)</f>
        <v/>
      </c>
    </row>
    <row r="1756">
      <c r="B1756" s="11" t="n"/>
      <c r="C1756" s="8" t="n"/>
      <c r="D1756" s="8" t="n"/>
      <c r="E1756" s="8" t="n"/>
      <c r="F1756" s="20" t="n"/>
      <c r="G1756" s="20" t="n"/>
      <c r="H1756" s="8" t="n"/>
      <c r="I1756" s="20" t="n"/>
      <c r="J1756" s="21">
        <f>IF(B1756="","",F1756+G1756)</f>
        <v/>
      </c>
      <c r="K1756" s="21">
        <f>IF(B1756="","",J1756*(Settings!$C$11+Settings!$C$12+Settings!$C$14)+IF(C1756="",Settings!$C$13,IF(COUNTIF($C$5:C1756,C1756)=1,Settings!$C$13,0))+E1756*Settings!$C$15+IF(H1756="Yes",J1756*Settings!$C$16,0))</f>
        <v/>
      </c>
      <c r="L1756" s="21">
        <f>IF(B1756="","",IF(Settings!$C$5="Yes",0,K1756*Settings!$C$17))</f>
        <v/>
      </c>
      <c r="M1756" s="21">
        <f>IF(B1756="","",E1756*IFERROR(VLOOKUP(D1756,Products!$B$5:$F$204,5,FALSE),0))</f>
        <v/>
      </c>
      <c r="N1756" s="21">
        <f>IF(B1756="","",J1756-K1756-L1756-M1756-I1756)</f>
        <v/>
      </c>
    </row>
    <row r="1757">
      <c r="B1757" s="11" t="n"/>
      <c r="C1757" s="8" t="n"/>
      <c r="D1757" s="8" t="n"/>
      <c r="E1757" s="8" t="n"/>
      <c r="F1757" s="20" t="n"/>
      <c r="G1757" s="20" t="n"/>
      <c r="H1757" s="8" t="n"/>
      <c r="I1757" s="20" t="n"/>
      <c r="J1757" s="21">
        <f>IF(B1757="","",F1757+G1757)</f>
        <v/>
      </c>
      <c r="K1757" s="21">
        <f>IF(B1757="","",J1757*(Settings!$C$11+Settings!$C$12+Settings!$C$14)+IF(C1757="",Settings!$C$13,IF(COUNTIF($C$5:C1757,C1757)=1,Settings!$C$13,0))+E1757*Settings!$C$15+IF(H1757="Yes",J1757*Settings!$C$16,0))</f>
        <v/>
      </c>
      <c r="L1757" s="21">
        <f>IF(B1757="","",IF(Settings!$C$5="Yes",0,K1757*Settings!$C$17))</f>
        <v/>
      </c>
      <c r="M1757" s="21">
        <f>IF(B1757="","",E1757*IFERROR(VLOOKUP(D1757,Products!$B$5:$F$204,5,FALSE),0))</f>
        <v/>
      </c>
      <c r="N1757" s="21">
        <f>IF(B1757="","",J1757-K1757-L1757-M1757-I1757)</f>
        <v/>
      </c>
    </row>
    <row r="1758">
      <c r="B1758" s="11" t="n"/>
      <c r="C1758" s="8" t="n"/>
      <c r="D1758" s="8" t="n"/>
      <c r="E1758" s="8" t="n"/>
      <c r="F1758" s="20" t="n"/>
      <c r="G1758" s="20" t="n"/>
      <c r="H1758" s="8" t="n"/>
      <c r="I1758" s="20" t="n"/>
      <c r="J1758" s="21">
        <f>IF(B1758="","",F1758+G1758)</f>
        <v/>
      </c>
      <c r="K1758" s="21">
        <f>IF(B1758="","",J1758*(Settings!$C$11+Settings!$C$12+Settings!$C$14)+IF(C1758="",Settings!$C$13,IF(COUNTIF($C$5:C1758,C1758)=1,Settings!$C$13,0))+E1758*Settings!$C$15+IF(H1758="Yes",J1758*Settings!$C$16,0))</f>
        <v/>
      </c>
      <c r="L1758" s="21">
        <f>IF(B1758="","",IF(Settings!$C$5="Yes",0,K1758*Settings!$C$17))</f>
        <v/>
      </c>
      <c r="M1758" s="21">
        <f>IF(B1758="","",E1758*IFERROR(VLOOKUP(D1758,Products!$B$5:$F$204,5,FALSE),0))</f>
        <v/>
      </c>
      <c r="N1758" s="21">
        <f>IF(B1758="","",J1758-K1758-L1758-M1758-I1758)</f>
        <v/>
      </c>
    </row>
    <row r="1759">
      <c r="B1759" s="11" t="n"/>
      <c r="C1759" s="8" t="n"/>
      <c r="D1759" s="8" t="n"/>
      <c r="E1759" s="8" t="n"/>
      <c r="F1759" s="20" t="n"/>
      <c r="G1759" s="20" t="n"/>
      <c r="H1759" s="8" t="n"/>
      <c r="I1759" s="20" t="n"/>
      <c r="J1759" s="21">
        <f>IF(B1759="","",F1759+G1759)</f>
        <v/>
      </c>
      <c r="K1759" s="21">
        <f>IF(B1759="","",J1759*(Settings!$C$11+Settings!$C$12+Settings!$C$14)+IF(C1759="",Settings!$C$13,IF(COUNTIF($C$5:C1759,C1759)=1,Settings!$C$13,0))+E1759*Settings!$C$15+IF(H1759="Yes",J1759*Settings!$C$16,0))</f>
        <v/>
      </c>
      <c r="L1759" s="21">
        <f>IF(B1759="","",IF(Settings!$C$5="Yes",0,K1759*Settings!$C$17))</f>
        <v/>
      </c>
      <c r="M1759" s="21">
        <f>IF(B1759="","",E1759*IFERROR(VLOOKUP(D1759,Products!$B$5:$F$204,5,FALSE),0))</f>
        <v/>
      </c>
      <c r="N1759" s="21">
        <f>IF(B1759="","",J1759-K1759-L1759-M1759-I1759)</f>
        <v/>
      </c>
    </row>
    <row r="1760">
      <c r="B1760" s="11" t="n"/>
      <c r="C1760" s="8" t="n"/>
      <c r="D1760" s="8" t="n"/>
      <c r="E1760" s="8" t="n"/>
      <c r="F1760" s="20" t="n"/>
      <c r="G1760" s="20" t="n"/>
      <c r="H1760" s="8" t="n"/>
      <c r="I1760" s="20" t="n"/>
      <c r="J1760" s="21">
        <f>IF(B1760="","",F1760+G1760)</f>
        <v/>
      </c>
      <c r="K1760" s="21">
        <f>IF(B1760="","",J1760*(Settings!$C$11+Settings!$C$12+Settings!$C$14)+IF(C1760="",Settings!$C$13,IF(COUNTIF($C$5:C1760,C1760)=1,Settings!$C$13,0))+E1760*Settings!$C$15+IF(H1760="Yes",J1760*Settings!$C$16,0))</f>
        <v/>
      </c>
      <c r="L1760" s="21">
        <f>IF(B1760="","",IF(Settings!$C$5="Yes",0,K1760*Settings!$C$17))</f>
        <v/>
      </c>
      <c r="M1760" s="21">
        <f>IF(B1760="","",E1760*IFERROR(VLOOKUP(D1760,Products!$B$5:$F$204,5,FALSE),0))</f>
        <v/>
      </c>
      <c r="N1760" s="21">
        <f>IF(B1760="","",J1760-K1760-L1760-M1760-I1760)</f>
        <v/>
      </c>
    </row>
    <row r="1761">
      <c r="B1761" s="11" t="n"/>
      <c r="C1761" s="8" t="n"/>
      <c r="D1761" s="8" t="n"/>
      <c r="E1761" s="8" t="n"/>
      <c r="F1761" s="20" t="n"/>
      <c r="G1761" s="20" t="n"/>
      <c r="H1761" s="8" t="n"/>
      <c r="I1761" s="20" t="n"/>
      <c r="J1761" s="21">
        <f>IF(B1761="","",F1761+G1761)</f>
        <v/>
      </c>
      <c r="K1761" s="21">
        <f>IF(B1761="","",J1761*(Settings!$C$11+Settings!$C$12+Settings!$C$14)+IF(C1761="",Settings!$C$13,IF(COUNTIF($C$5:C1761,C1761)=1,Settings!$C$13,0))+E1761*Settings!$C$15+IF(H1761="Yes",J1761*Settings!$C$16,0))</f>
        <v/>
      </c>
      <c r="L1761" s="21">
        <f>IF(B1761="","",IF(Settings!$C$5="Yes",0,K1761*Settings!$C$17))</f>
        <v/>
      </c>
      <c r="M1761" s="21">
        <f>IF(B1761="","",E1761*IFERROR(VLOOKUP(D1761,Products!$B$5:$F$204,5,FALSE),0))</f>
        <v/>
      </c>
      <c r="N1761" s="21">
        <f>IF(B1761="","",J1761-K1761-L1761-M1761-I1761)</f>
        <v/>
      </c>
    </row>
    <row r="1762">
      <c r="B1762" s="11" t="n"/>
      <c r="C1762" s="8" t="n"/>
      <c r="D1762" s="8" t="n"/>
      <c r="E1762" s="8" t="n"/>
      <c r="F1762" s="20" t="n"/>
      <c r="G1762" s="20" t="n"/>
      <c r="H1762" s="8" t="n"/>
      <c r="I1762" s="20" t="n"/>
      <c r="J1762" s="21">
        <f>IF(B1762="","",F1762+G1762)</f>
        <v/>
      </c>
      <c r="K1762" s="21">
        <f>IF(B1762="","",J1762*(Settings!$C$11+Settings!$C$12+Settings!$C$14)+IF(C1762="",Settings!$C$13,IF(COUNTIF($C$5:C1762,C1762)=1,Settings!$C$13,0))+E1762*Settings!$C$15+IF(H1762="Yes",J1762*Settings!$C$16,0))</f>
        <v/>
      </c>
      <c r="L1762" s="21">
        <f>IF(B1762="","",IF(Settings!$C$5="Yes",0,K1762*Settings!$C$17))</f>
        <v/>
      </c>
      <c r="M1762" s="21">
        <f>IF(B1762="","",E1762*IFERROR(VLOOKUP(D1762,Products!$B$5:$F$204,5,FALSE),0))</f>
        <v/>
      </c>
      <c r="N1762" s="21">
        <f>IF(B1762="","",J1762-K1762-L1762-M1762-I1762)</f>
        <v/>
      </c>
    </row>
    <row r="1763">
      <c r="B1763" s="11" t="n"/>
      <c r="C1763" s="8" t="n"/>
      <c r="D1763" s="8" t="n"/>
      <c r="E1763" s="8" t="n"/>
      <c r="F1763" s="20" t="n"/>
      <c r="G1763" s="20" t="n"/>
      <c r="H1763" s="8" t="n"/>
      <c r="I1763" s="20" t="n"/>
      <c r="J1763" s="21">
        <f>IF(B1763="","",F1763+G1763)</f>
        <v/>
      </c>
      <c r="K1763" s="21">
        <f>IF(B1763="","",J1763*(Settings!$C$11+Settings!$C$12+Settings!$C$14)+IF(C1763="",Settings!$C$13,IF(COUNTIF($C$5:C1763,C1763)=1,Settings!$C$13,0))+E1763*Settings!$C$15+IF(H1763="Yes",J1763*Settings!$C$16,0))</f>
        <v/>
      </c>
      <c r="L1763" s="21">
        <f>IF(B1763="","",IF(Settings!$C$5="Yes",0,K1763*Settings!$C$17))</f>
        <v/>
      </c>
      <c r="M1763" s="21">
        <f>IF(B1763="","",E1763*IFERROR(VLOOKUP(D1763,Products!$B$5:$F$204,5,FALSE),0))</f>
        <v/>
      </c>
      <c r="N1763" s="21">
        <f>IF(B1763="","",J1763-K1763-L1763-M1763-I1763)</f>
        <v/>
      </c>
    </row>
    <row r="1764">
      <c r="B1764" s="11" t="n"/>
      <c r="C1764" s="8" t="n"/>
      <c r="D1764" s="8" t="n"/>
      <c r="E1764" s="8" t="n"/>
      <c r="F1764" s="20" t="n"/>
      <c r="G1764" s="20" t="n"/>
      <c r="H1764" s="8" t="n"/>
      <c r="I1764" s="20" t="n"/>
      <c r="J1764" s="21">
        <f>IF(B1764="","",F1764+G1764)</f>
        <v/>
      </c>
      <c r="K1764" s="21">
        <f>IF(B1764="","",J1764*(Settings!$C$11+Settings!$C$12+Settings!$C$14)+IF(C1764="",Settings!$C$13,IF(COUNTIF($C$5:C1764,C1764)=1,Settings!$C$13,0))+E1764*Settings!$C$15+IF(H1764="Yes",J1764*Settings!$C$16,0))</f>
        <v/>
      </c>
      <c r="L1764" s="21">
        <f>IF(B1764="","",IF(Settings!$C$5="Yes",0,K1764*Settings!$C$17))</f>
        <v/>
      </c>
      <c r="M1764" s="21">
        <f>IF(B1764="","",E1764*IFERROR(VLOOKUP(D1764,Products!$B$5:$F$204,5,FALSE),0))</f>
        <v/>
      </c>
      <c r="N1764" s="21">
        <f>IF(B1764="","",J1764-K1764-L1764-M1764-I1764)</f>
        <v/>
      </c>
    </row>
    <row r="1765">
      <c r="B1765" s="11" t="n"/>
      <c r="C1765" s="8" t="n"/>
      <c r="D1765" s="8" t="n"/>
      <c r="E1765" s="8" t="n"/>
      <c r="F1765" s="20" t="n"/>
      <c r="G1765" s="20" t="n"/>
      <c r="H1765" s="8" t="n"/>
      <c r="I1765" s="20" t="n"/>
      <c r="J1765" s="21">
        <f>IF(B1765="","",F1765+G1765)</f>
        <v/>
      </c>
      <c r="K1765" s="21">
        <f>IF(B1765="","",J1765*(Settings!$C$11+Settings!$C$12+Settings!$C$14)+IF(C1765="",Settings!$C$13,IF(COUNTIF($C$5:C1765,C1765)=1,Settings!$C$13,0))+E1765*Settings!$C$15+IF(H1765="Yes",J1765*Settings!$C$16,0))</f>
        <v/>
      </c>
      <c r="L1765" s="21">
        <f>IF(B1765="","",IF(Settings!$C$5="Yes",0,K1765*Settings!$C$17))</f>
        <v/>
      </c>
      <c r="M1765" s="21">
        <f>IF(B1765="","",E1765*IFERROR(VLOOKUP(D1765,Products!$B$5:$F$204,5,FALSE),0))</f>
        <v/>
      </c>
      <c r="N1765" s="21">
        <f>IF(B1765="","",J1765-K1765-L1765-M1765-I1765)</f>
        <v/>
      </c>
    </row>
    <row r="1766">
      <c r="B1766" s="11" t="n"/>
      <c r="C1766" s="8" t="n"/>
      <c r="D1766" s="8" t="n"/>
      <c r="E1766" s="8" t="n"/>
      <c r="F1766" s="20" t="n"/>
      <c r="G1766" s="20" t="n"/>
      <c r="H1766" s="8" t="n"/>
      <c r="I1766" s="20" t="n"/>
      <c r="J1766" s="21">
        <f>IF(B1766="","",F1766+G1766)</f>
        <v/>
      </c>
      <c r="K1766" s="21">
        <f>IF(B1766="","",J1766*(Settings!$C$11+Settings!$C$12+Settings!$C$14)+IF(C1766="",Settings!$C$13,IF(COUNTIF($C$5:C1766,C1766)=1,Settings!$C$13,0))+E1766*Settings!$C$15+IF(H1766="Yes",J1766*Settings!$C$16,0))</f>
        <v/>
      </c>
      <c r="L1766" s="21">
        <f>IF(B1766="","",IF(Settings!$C$5="Yes",0,K1766*Settings!$C$17))</f>
        <v/>
      </c>
      <c r="M1766" s="21">
        <f>IF(B1766="","",E1766*IFERROR(VLOOKUP(D1766,Products!$B$5:$F$204,5,FALSE),0))</f>
        <v/>
      </c>
      <c r="N1766" s="21">
        <f>IF(B1766="","",J1766-K1766-L1766-M1766-I1766)</f>
        <v/>
      </c>
    </row>
    <row r="1767">
      <c r="B1767" s="11" t="n"/>
      <c r="C1767" s="8" t="n"/>
      <c r="D1767" s="8" t="n"/>
      <c r="E1767" s="8" t="n"/>
      <c r="F1767" s="20" t="n"/>
      <c r="G1767" s="20" t="n"/>
      <c r="H1767" s="8" t="n"/>
      <c r="I1767" s="20" t="n"/>
      <c r="J1767" s="21">
        <f>IF(B1767="","",F1767+G1767)</f>
        <v/>
      </c>
      <c r="K1767" s="21">
        <f>IF(B1767="","",J1767*(Settings!$C$11+Settings!$C$12+Settings!$C$14)+IF(C1767="",Settings!$C$13,IF(COUNTIF($C$5:C1767,C1767)=1,Settings!$C$13,0))+E1767*Settings!$C$15+IF(H1767="Yes",J1767*Settings!$C$16,0))</f>
        <v/>
      </c>
      <c r="L1767" s="21">
        <f>IF(B1767="","",IF(Settings!$C$5="Yes",0,K1767*Settings!$C$17))</f>
        <v/>
      </c>
      <c r="M1767" s="21">
        <f>IF(B1767="","",E1767*IFERROR(VLOOKUP(D1767,Products!$B$5:$F$204,5,FALSE),0))</f>
        <v/>
      </c>
      <c r="N1767" s="21">
        <f>IF(B1767="","",J1767-K1767-L1767-M1767-I1767)</f>
        <v/>
      </c>
    </row>
    <row r="1768">
      <c r="B1768" s="11" t="n"/>
      <c r="C1768" s="8" t="n"/>
      <c r="D1768" s="8" t="n"/>
      <c r="E1768" s="8" t="n"/>
      <c r="F1768" s="20" t="n"/>
      <c r="G1768" s="20" t="n"/>
      <c r="H1768" s="8" t="n"/>
      <c r="I1768" s="20" t="n"/>
      <c r="J1768" s="21">
        <f>IF(B1768="","",F1768+G1768)</f>
        <v/>
      </c>
      <c r="K1768" s="21">
        <f>IF(B1768="","",J1768*(Settings!$C$11+Settings!$C$12+Settings!$C$14)+IF(C1768="",Settings!$C$13,IF(COUNTIF($C$5:C1768,C1768)=1,Settings!$C$13,0))+E1768*Settings!$C$15+IF(H1768="Yes",J1768*Settings!$C$16,0))</f>
        <v/>
      </c>
      <c r="L1768" s="21">
        <f>IF(B1768="","",IF(Settings!$C$5="Yes",0,K1768*Settings!$C$17))</f>
        <v/>
      </c>
      <c r="M1768" s="21">
        <f>IF(B1768="","",E1768*IFERROR(VLOOKUP(D1768,Products!$B$5:$F$204,5,FALSE),0))</f>
        <v/>
      </c>
      <c r="N1768" s="21">
        <f>IF(B1768="","",J1768-K1768-L1768-M1768-I1768)</f>
        <v/>
      </c>
    </row>
    <row r="1769">
      <c r="B1769" s="11" t="n"/>
      <c r="C1769" s="8" t="n"/>
      <c r="D1769" s="8" t="n"/>
      <c r="E1769" s="8" t="n"/>
      <c r="F1769" s="20" t="n"/>
      <c r="G1769" s="20" t="n"/>
      <c r="H1769" s="8" t="n"/>
      <c r="I1769" s="20" t="n"/>
      <c r="J1769" s="21">
        <f>IF(B1769="","",F1769+G1769)</f>
        <v/>
      </c>
      <c r="K1769" s="21">
        <f>IF(B1769="","",J1769*(Settings!$C$11+Settings!$C$12+Settings!$C$14)+IF(C1769="",Settings!$C$13,IF(COUNTIF($C$5:C1769,C1769)=1,Settings!$C$13,0))+E1769*Settings!$C$15+IF(H1769="Yes",J1769*Settings!$C$16,0))</f>
        <v/>
      </c>
      <c r="L1769" s="21">
        <f>IF(B1769="","",IF(Settings!$C$5="Yes",0,K1769*Settings!$C$17))</f>
        <v/>
      </c>
      <c r="M1769" s="21">
        <f>IF(B1769="","",E1769*IFERROR(VLOOKUP(D1769,Products!$B$5:$F$204,5,FALSE),0))</f>
        <v/>
      </c>
      <c r="N1769" s="21">
        <f>IF(B1769="","",J1769-K1769-L1769-M1769-I1769)</f>
        <v/>
      </c>
    </row>
    <row r="1770">
      <c r="B1770" s="11" t="n"/>
      <c r="C1770" s="8" t="n"/>
      <c r="D1770" s="8" t="n"/>
      <c r="E1770" s="8" t="n"/>
      <c r="F1770" s="20" t="n"/>
      <c r="G1770" s="20" t="n"/>
      <c r="H1770" s="8" t="n"/>
      <c r="I1770" s="20" t="n"/>
      <c r="J1770" s="21">
        <f>IF(B1770="","",F1770+G1770)</f>
        <v/>
      </c>
      <c r="K1770" s="21">
        <f>IF(B1770="","",J1770*(Settings!$C$11+Settings!$C$12+Settings!$C$14)+IF(C1770="",Settings!$C$13,IF(COUNTIF($C$5:C1770,C1770)=1,Settings!$C$13,0))+E1770*Settings!$C$15+IF(H1770="Yes",J1770*Settings!$C$16,0))</f>
        <v/>
      </c>
      <c r="L1770" s="21">
        <f>IF(B1770="","",IF(Settings!$C$5="Yes",0,K1770*Settings!$C$17))</f>
        <v/>
      </c>
      <c r="M1770" s="21">
        <f>IF(B1770="","",E1770*IFERROR(VLOOKUP(D1770,Products!$B$5:$F$204,5,FALSE),0))</f>
        <v/>
      </c>
      <c r="N1770" s="21">
        <f>IF(B1770="","",J1770-K1770-L1770-M1770-I1770)</f>
        <v/>
      </c>
    </row>
    <row r="1771">
      <c r="B1771" s="11" t="n"/>
      <c r="C1771" s="8" t="n"/>
      <c r="D1771" s="8" t="n"/>
      <c r="E1771" s="8" t="n"/>
      <c r="F1771" s="20" t="n"/>
      <c r="G1771" s="20" t="n"/>
      <c r="H1771" s="8" t="n"/>
      <c r="I1771" s="20" t="n"/>
      <c r="J1771" s="21">
        <f>IF(B1771="","",F1771+G1771)</f>
        <v/>
      </c>
      <c r="K1771" s="21">
        <f>IF(B1771="","",J1771*(Settings!$C$11+Settings!$C$12+Settings!$C$14)+IF(C1771="",Settings!$C$13,IF(COUNTIF($C$5:C1771,C1771)=1,Settings!$C$13,0))+E1771*Settings!$C$15+IF(H1771="Yes",J1771*Settings!$C$16,0))</f>
        <v/>
      </c>
      <c r="L1771" s="21">
        <f>IF(B1771="","",IF(Settings!$C$5="Yes",0,K1771*Settings!$C$17))</f>
        <v/>
      </c>
      <c r="M1771" s="21">
        <f>IF(B1771="","",E1771*IFERROR(VLOOKUP(D1771,Products!$B$5:$F$204,5,FALSE),0))</f>
        <v/>
      </c>
      <c r="N1771" s="21">
        <f>IF(B1771="","",J1771-K1771-L1771-M1771-I1771)</f>
        <v/>
      </c>
    </row>
    <row r="1772">
      <c r="B1772" s="11" t="n"/>
      <c r="C1772" s="8" t="n"/>
      <c r="D1772" s="8" t="n"/>
      <c r="E1772" s="8" t="n"/>
      <c r="F1772" s="20" t="n"/>
      <c r="G1772" s="20" t="n"/>
      <c r="H1772" s="8" t="n"/>
      <c r="I1772" s="20" t="n"/>
      <c r="J1772" s="21">
        <f>IF(B1772="","",F1772+G1772)</f>
        <v/>
      </c>
      <c r="K1772" s="21">
        <f>IF(B1772="","",J1772*(Settings!$C$11+Settings!$C$12+Settings!$C$14)+IF(C1772="",Settings!$C$13,IF(COUNTIF($C$5:C1772,C1772)=1,Settings!$C$13,0))+E1772*Settings!$C$15+IF(H1772="Yes",J1772*Settings!$C$16,0))</f>
        <v/>
      </c>
      <c r="L1772" s="21">
        <f>IF(B1772="","",IF(Settings!$C$5="Yes",0,K1772*Settings!$C$17))</f>
        <v/>
      </c>
      <c r="M1772" s="21">
        <f>IF(B1772="","",E1772*IFERROR(VLOOKUP(D1772,Products!$B$5:$F$204,5,FALSE),0))</f>
        <v/>
      </c>
      <c r="N1772" s="21">
        <f>IF(B1772="","",J1772-K1772-L1772-M1772-I1772)</f>
        <v/>
      </c>
    </row>
    <row r="1773">
      <c r="B1773" s="11" t="n"/>
      <c r="C1773" s="8" t="n"/>
      <c r="D1773" s="8" t="n"/>
      <c r="E1773" s="8" t="n"/>
      <c r="F1773" s="20" t="n"/>
      <c r="G1773" s="20" t="n"/>
      <c r="H1773" s="8" t="n"/>
      <c r="I1773" s="20" t="n"/>
      <c r="J1773" s="21">
        <f>IF(B1773="","",F1773+G1773)</f>
        <v/>
      </c>
      <c r="K1773" s="21">
        <f>IF(B1773="","",J1773*(Settings!$C$11+Settings!$C$12+Settings!$C$14)+IF(C1773="",Settings!$C$13,IF(COUNTIF($C$5:C1773,C1773)=1,Settings!$C$13,0))+E1773*Settings!$C$15+IF(H1773="Yes",J1773*Settings!$C$16,0))</f>
        <v/>
      </c>
      <c r="L1773" s="21">
        <f>IF(B1773="","",IF(Settings!$C$5="Yes",0,K1773*Settings!$C$17))</f>
        <v/>
      </c>
      <c r="M1773" s="21">
        <f>IF(B1773="","",E1773*IFERROR(VLOOKUP(D1773,Products!$B$5:$F$204,5,FALSE),0))</f>
        <v/>
      </c>
      <c r="N1773" s="21">
        <f>IF(B1773="","",J1773-K1773-L1773-M1773-I1773)</f>
        <v/>
      </c>
    </row>
    <row r="1774">
      <c r="B1774" s="11" t="n"/>
      <c r="C1774" s="8" t="n"/>
      <c r="D1774" s="8" t="n"/>
      <c r="E1774" s="8" t="n"/>
      <c r="F1774" s="20" t="n"/>
      <c r="G1774" s="20" t="n"/>
      <c r="H1774" s="8" t="n"/>
      <c r="I1774" s="20" t="n"/>
      <c r="J1774" s="21">
        <f>IF(B1774="","",F1774+G1774)</f>
        <v/>
      </c>
      <c r="K1774" s="21">
        <f>IF(B1774="","",J1774*(Settings!$C$11+Settings!$C$12+Settings!$C$14)+IF(C1774="",Settings!$C$13,IF(COUNTIF($C$5:C1774,C1774)=1,Settings!$C$13,0))+E1774*Settings!$C$15+IF(H1774="Yes",J1774*Settings!$C$16,0))</f>
        <v/>
      </c>
      <c r="L1774" s="21">
        <f>IF(B1774="","",IF(Settings!$C$5="Yes",0,K1774*Settings!$C$17))</f>
        <v/>
      </c>
      <c r="M1774" s="21">
        <f>IF(B1774="","",E1774*IFERROR(VLOOKUP(D1774,Products!$B$5:$F$204,5,FALSE),0))</f>
        <v/>
      </c>
      <c r="N1774" s="21">
        <f>IF(B1774="","",J1774-K1774-L1774-M1774-I1774)</f>
        <v/>
      </c>
    </row>
    <row r="1775">
      <c r="B1775" s="11" t="n"/>
      <c r="C1775" s="8" t="n"/>
      <c r="D1775" s="8" t="n"/>
      <c r="E1775" s="8" t="n"/>
      <c r="F1775" s="20" t="n"/>
      <c r="G1775" s="20" t="n"/>
      <c r="H1775" s="8" t="n"/>
      <c r="I1775" s="20" t="n"/>
      <c r="J1775" s="21">
        <f>IF(B1775="","",F1775+G1775)</f>
        <v/>
      </c>
      <c r="K1775" s="21">
        <f>IF(B1775="","",J1775*(Settings!$C$11+Settings!$C$12+Settings!$C$14)+IF(C1775="",Settings!$C$13,IF(COUNTIF($C$5:C1775,C1775)=1,Settings!$C$13,0))+E1775*Settings!$C$15+IF(H1775="Yes",J1775*Settings!$C$16,0))</f>
        <v/>
      </c>
      <c r="L1775" s="21">
        <f>IF(B1775="","",IF(Settings!$C$5="Yes",0,K1775*Settings!$C$17))</f>
        <v/>
      </c>
      <c r="M1775" s="21">
        <f>IF(B1775="","",E1775*IFERROR(VLOOKUP(D1775,Products!$B$5:$F$204,5,FALSE),0))</f>
        <v/>
      </c>
      <c r="N1775" s="21">
        <f>IF(B1775="","",J1775-K1775-L1775-M1775-I1775)</f>
        <v/>
      </c>
    </row>
    <row r="1776">
      <c r="B1776" s="11" t="n"/>
      <c r="C1776" s="8" t="n"/>
      <c r="D1776" s="8" t="n"/>
      <c r="E1776" s="8" t="n"/>
      <c r="F1776" s="20" t="n"/>
      <c r="G1776" s="20" t="n"/>
      <c r="H1776" s="8" t="n"/>
      <c r="I1776" s="20" t="n"/>
      <c r="J1776" s="21">
        <f>IF(B1776="","",F1776+G1776)</f>
        <v/>
      </c>
      <c r="K1776" s="21">
        <f>IF(B1776="","",J1776*(Settings!$C$11+Settings!$C$12+Settings!$C$14)+IF(C1776="",Settings!$C$13,IF(COUNTIF($C$5:C1776,C1776)=1,Settings!$C$13,0))+E1776*Settings!$C$15+IF(H1776="Yes",J1776*Settings!$C$16,0))</f>
        <v/>
      </c>
      <c r="L1776" s="21">
        <f>IF(B1776="","",IF(Settings!$C$5="Yes",0,K1776*Settings!$C$17))</f>
        <v/>
      </c>
      <c r="M1776" s="21">
        <f>IF(B1776="","",E1776*IFERROR(VLOOKUP(D1776,Products!$B$5:$F$204,5,FALSE),0))</f>
        <v/>
      </c>
      <c r="N1776" s="21">
        <f>IF(B1776="","",J1776-K1776-L1776-M1776-I1776)</f>
        <v/>
      </c>
    </row>
    <row r="1777">
      <c r="B1777" s="11" t="n"/>
      <c r="C1777" s="8" t="n"/>
      <c r="D1777" s="8" t="n"/>
      <c r="E1777" s="8" t="n"/>
      <c r="F1777" s="20" t="n"/>
      <c r="G1777" s="20" t="n"/>
      <c r="H1777" s="8" t="n"/>
      <c r="I1777" s="20" t="n"/>
      <c r="J1777" s="21">
        <f>IF(B1777="","",F1777+G1777)</f>
        <v/>
      </c>
      <c r="K1777" s="21">
        <f>IF(B1777="","",J1777*(Settings!$C$11+Settings!$C$12+Settings!$C$14)+IF(C1777="",Settings!$C$13,IF(COUNTIF($C$5:C1777,C1777)=1,Settings!$C$13,0))+E1777*Settings!$C$15+IF(H1777="Yes",J1777*Settings!$C$16,0))</f>
        <v/>
      </c>
      <c r="L1777" s="21">
        <f>IF(B1777="","",IF(Settings!$C$5="Yes",0,K1777*Settings!$C$17))</f>
        <v/>
      </c>
      <c r="M1777" s="21">
        <f>IF(B1777="","",E1777*IFERROR(VLOOKUP(D1777,Products!$B$5:$F$204,5,FALSE),0))</f>
        <v/>
      </c>
      <c r="N1777" s="21">
        <f>IF(B1777="","",J1777-K1777-L1777-M1777-I1777)</f>
        <v/>
      </c>
    </row>
    <row r="1778">
      <c r="B1778" s="11" t="n"/>
      <c r="C1778" s="8" t="n"/>
      <c r="D1778" s="8" t="n"/>
      <c r="E1778" s="8" t="n"/>
      <c r="F1778" s="20" t="n"/>
      <c r="G1778" s="20" t="n"/>
      <c r="H1778" s="8" t="n"/>
      <c r="I1778" s="20" t="n"/>
      <c r="J1778" s="21">
        <f>IF(B1778="","",F1778+G1778)</f>
        <v/>
      </c>
      <c r="K1778" s="21">
        <f>IF(B1778="","",J1778*(Settings!$C$11+Settings!$C$12+Settings!$C$14)+IF(C1778="",Settings!$C$13,IF(COUNTIF($C$5:C1778,C1778)=1,Settings!$C$13,0))+E1778*Settings!$C$15+IF(H1778="Yes",J1778*Settings!$C$16,0))</f>
        <v/>
      </c>
      <c r="L1778" s="21">
        <f>IF(B1778="","",IF(Settings!$C$5="Yes",0,K1778*Settings!$C$17))</f>
        <v/>
      </c>
      <c r="M1778" s="21">
        <f>IF(B1778="","",E1778*IFERROR(VLOOKUP(D1778,Products!$B$5:$F$204,5,FALSE),0))</f>
        <v/>
      </c>
      <c r="N1778" s="21">
        <f>IF(B1778="","",J1778-K1778-L1778-M1778-I1778)</f>
        <v/>
      </c>
    </row>
    <row r="1779">
      <c r="B1779" s="11" t="n"/>
      <c r="C1779" s="8" t="n"/>
      <c r="D1779" s="8" t="n"/>
      <c r="E1779" s="8" t="n"/>
      <c r="F1779" s="20" t="n"/>
      <c r="G1779" s="20" t="n"/>
      <c r="H1779" s="8" t="n"/>
      <c r="I1779" s="20" t="n"/>
      <c r="J1779" s="21">
        <f>IF(B1779="","",F1779+G1779)</f>
        <v/>
      </c>
      <c r="K1779" s="21">
        <f>IF(B1779="","",J1779*(Settings!$C$11+Settings!$C$12+Settings!$C$14)+IF(C1779="",Settings!$C$13,IF(COUNTIF($C$5:C1779,C1779)=1,Settings!$C$13,0))+E1779*Settings!$C$15+IF(H1779="Yes",J1779*Settings!$C$16,0))</f>
        <v/>
      </c>
      <c r="L1779" s="21">
        <f>IF(B1779="","",IF(Settings!$C$5="Yes",0,K1779*Settings!$C$17))</f>
        <v/>
      </c>
      <c r="M1779" s="21">
        <f>IF(B1779="","",E1779*IFERROR(VLOOKUP(D1779,Products!$B$5:$F$204,5,FALSE),0))</f>
        <v/>
      </c>
      <c r="N1779" s="21">
        <f>IF(B1779="","",J1779-K1779-L1779-M1779-I1779)</f>
        <v/>
      </c>
    </row>
    <row r="1780">
      <c r="B1780" s="11" t="n"/>
      <c r="C1780" s="8" t="n"/>
      <c r="D1780" s="8" t="n"/>
      <c r="E1780" s="8" t="n"/>
      <c r="F1780" s="20" t="n"/>
      <c r="G1780" s="20" t="n"/>
      <c r="H1780" s="8" t="n"/>
      <c r="I1780" s="20" t="n"/>
      <c r="J1780" s="21">
        <f>IF(B1780="","",F1780+G1780)</f>
        <v/>
      </c>
      <c r="K1780" s="21">
        <f>IF(B1780="","",J1780*(Settings!$C$11+Settings!$C$12+Settings!$C$14)+IF(C1780="",Settings!$C$13,IF(COUNTIF($C$5:C1780,C1780)=1,Settings!$C$13,0))+E1780*Settings!$C$15+IF(H1780="Yes",J1780*Settings!$C$16,0))</f>
        <v/>
      </c>
      <c r="L1780" s="21">
        <f>IF(B1780="","",IF(Settings!$C$5="Yes",0,K1780*Settings!$C$17))</f>
        <v/>
      </c>
      <c r="M1780" s="21">
        <f>IF(B1780="","",E1780*IFERROR(VLOOKUP(D1780,Products!$B$5:$F$204,5,FALSE),0))</f>
        <v/>
      </c>
      <c r="N1780" s="21">
        <f>IF(B1780="","",J1780-K1780-L1780-M1780-I1780)</f>
        <v/>
      </c>
    </row>
    <row r="1781">
      <c r="B1781" s="11" t="n"/>
      <c r="C1781" s="8" t="n"/>
      <c r="D1781" s="8" t="n"/>
      <c r="E1781" s="8" t="n"/>
      <c r="F1781" s="20" t="n"/>
      <c r="G1781" s="20" t="n"/>
      <c r="H1781" s="8" t="n"/>
      <c r="I1781" s="20" t="n"/>
      <c r="J1781" s="21">
        <f>IF(B1781="","",F1781+G1781)</f>
        <v/>
      </c>
      <c r="K1781" s="21">
        <f>IF(B1781="","",J1781*(Settings!$C$11+Settings!$C$12+Settings!$C$14)+IF(C1781="",Settings!$C$13,IF(COUNTIF($C$5:C1781,C1781)=1,Settings!$C$13,0))+E1781*Settings!$C$15+IF(H1781="Yes",J1781*Settings!$C$16,0))</f>
        <v/>
      </c>
      <c r="L1781" s="21">
        <f>IF(B1781="","",IF(Settings!$C$5="Yes",0,K1781*Settings!$C$17))</f>
        <v/>
      </c>
      <c r="M1781" s="21">
        <f>IF(B1781="","",E1781*IFERROR(VLOOKUP(D1781,Products!$B$5:$F$204,5,FALSE),0))</f>
        <v/>
      </c>
      <c r="N1781" s="21">
        <f>IF(B1781="","",J1781-K1781-L1781-M1781-I1781)</f>
        <v/>
      </c>
    </row>
    <row r="1782">
      <c r="B1782" s="11" t="n"/>
      <c r="C1782" s="8" t="n"/>
      <c r="D1782" s="8" t="n"/>
      <c r="E1782" s="8" t="n"/>
      <c r="F1782" s="20" t="n"/>
      <c r="G1782" s="20" t="n"/>
      <c r="H1782" s="8" t="n"/>
      <c r="I1782" s="20" t="n"/>
      <c r="J1782" s="21">
        <f>IF(B1782="","",F1782+G1782)</f>
        <v/>
      </c>
      <c r="K1782" s="21">
        <f>IF(B1782="","",J1782*(Settings!$C$11+Settings!$C$12+Settings!$C$14)+IF(C1782="",Settings!$C$13,IF(COUNTIF($C$5:C1782,C1782)=1,Settings!$C$13,0))+E1782*Settings!$C$15+IF(H1782="Yes",J1782*Settings!$C$16,0))</f>
        <v/>
      </c>
      <c r="L1782" s="21">
        <f>IF(B1782="","",IF(Settings!$C$5="Yes",0,K1782*Settings!$C$17))</f>
        <v/>
      </c>
      <c r="M1782" s="21">
        <f>IF(B1782="","",E1782*IFERROR(VLOOKUP(D1782,Products!$B$5:$F$204,5,FALSE),0))</f>
        <v/>
      </c>
      <c r="N1782" s="21">
        <f>IF(B1782="","",J1782-K1782-L1782-M1782-I1782)</f>
        <v/>
      </c>
    </row>
    <row r="1783">
      <c r="B1783" s="11" t="n"/>
      <c r="C1783" s="8" t="n"/>
      <c r="D1783" s="8" t="n"/>
      <c r="E1783" s="8" t="n"/>
      <c r="F1783" s="20" t="n"/>
      <c r="G1783" s="20" t="n"/>
      <c r="H1783" s="8" t="n"/>
      <c r="I1783" s="20" t="n"/>
      <c r="J1783" s="21">
        <f>IF(B1783="","",F1783+G1783)</f>
        <v/>
      </c>
      <c r="K1783" s="21">
        <f>IF(B1783="","",J1783*(Settings!$C$11+Settings!$C$12+Settings!$C$14)+IF(C1783="",Settings!$C$13,IF(COUNTIF($C$5:C1783,C1783)=1,Settings!$C$13,0))+E1783*Settings!$C$15+IF(H1783="Yes",J1783*Settings!$C$16,0))</f>
        <v/>
      </c>
      <c r="L1783" s="21">
        <f>IF(B1783="","",IF(Settings!$C$5="Yes",0,K1783*Settings!$C$17))</f>
        <v/>
      </c>
      <c r="M1783" s="21">
        <f>IF(B1783="","",E1783*IFERROR(VLOOKUP(D1783,Products!$B$5:$F$204,5,FALSE),0))</f>
        <v/>
      </c>
      <c r="N1783" s="21">
        <f>IF(B1783="","",J1783-K1783-L1783-M1783-I1783)</f>
        <v/>
      </c>
    </row>
    <row r="1784">
      <c r="B1784" s="11" t="n"/>
      <c r="C1784" s="8" t="n"/>
      <c r="D1784" s="8" t="n"/>
      <c r="E1784" s="8" t="n"/>
      <c r="F1784" s="20" t="n"/>
      <c r="G1784" s="20" t="n"/>
      <c r="H1784" s="8" t="n"/>
      <c r="I1784" s="20" t="n"/>
      <c r="J1784" s="21">
        <f>IF(B1784="","",F1784+G1784)</f>
        <v/>
      </c>
      <c r="K1784" s="21">
        <f>IF(B1784="","",J1784*(Settings!$C$11+Settings!$C$12+Settings!$C$14)+IF(C1784="",Settings!$C$13,IF(COUNTIF($C$5:C1784,C1784)=1,Settings!$C$13,0))+E1784*Settings!$C$15+IF(H1784="Yes",J1784*Settings!$C$16,0))</f>
        <v/>
      </c>
      <c r="L1784" s="21">
        <f>IF(B1784="","",IF(Settings!$C$5="Yes",0,K1784*Settings!$C$17))</f>
        <v/>
      </c>
      <c r="M1784" s="21">
        <f>IF(B1784="","",E1784*IFERROR(VLOOKUP(D1784,Products!$B$5:$F$204,5,FALSE),0))</f>
        <v/>
      </c>
      <c r="N1784" s="21">
        <f>IF(B1784="","",J1784-K1784-L1784-M1784-I1784)</f>
        <v/>
      </c>
    </row>
    <row r="1785">
      <c r="B1785" s="11" t="n"/>
      <c r="C1785" s="8" t="n"/>
      <c r="D1785" s="8" t="n"/>
      <c r="E1785" s="8" t="n"/>
      <c r="F1785" s="20" t="n"/>
      <c r="G1785" s="20" t="n"/>
      <c r="H1785" s="8" t="n"/>
      <c r="I1785" s="20" t="n"/>
      <c r="J1785" s="21">
        <f>IF(B1785="","",F1785+G1785)</f>
        <v/>
      </c>
      <c r="K1785" s="21">
        <f>IF(B1785="","",J1785*(Settings!$C$11+Settings!$C$12+Settings!$C$14)+IF(C1785="",Settings!$C$13,IF(COUNTIF($C$5:C1785,C1785)=1,Settings!$C$13,0))+E1785*Settings!$C$15+IF(H1785="Yes",J1785*Settings!$C$16,0))</f>
        <v/>
      </c>
      <c r="L1785" s="21">
        <f>IF(B1785="","",IF(Settings!$C$5="Yes",0,K1785*Settings!$C$17))</f>
        <v/>
      </c>
      <c r="M1785" s="21">
        <f>IF(B1785="","",E1785*IFERROR(VLOOKUP(D1785,Products!$B$5:$F$204,5,FALSE),0))</f>
        <v/>
      </c>
      <c r="N1785" s="21">
        <f>IF(B1785="","",J1785-K1785-L1785-M1785-I1785)</f>
        <v/>
      </c>
    </row>
    <row r="1786">
      <c r="B1786" s="11" t="n"/>
      <c r="C1786" s="8" t="n"/>
      <c r="D1786" s="8" t="n"/>
      <c r="E1786" s="8" t="n"/>
      <c r="F1786" s="20" t="n"/>
      <c r="G1786" s="20" t="n"/>
      <c r="H1786" s="8" t="n"/>
      <c r="I1786" s="20" t="n"/>
      <c r="J1786" s="21">
        <f>IF(B1786="","",F1786+G1786)</f>
        <v/>
      </c>
      <c r="K1786" s="21">
        <f>IF(B1786="","",J1786*(Settings!$C$11+Settings!$C$12+Settings!$C$14)+IF(C1786="",Settings!$C$13,IF(COUNTIF($C$5:C1786,C1786)=1,Settings!$C$13,0))+E1786*Settings!$C$15+IF(H1786="Yes",J1786*Settings!$C$16,0))</f>
        <v/>
      </c>
      <c r="L1786" s="21">
        <f>IF(B1786="","",IF(Settings!$C$5="Yes",0,K1786*Settings!$C$17))</f>
        <v/>
      </c>
      <c r="M1786" s="21">
        <f>IF(B1786="","",E1786*IFERROR(VLOOKUP(D1786,Products!$B$5:$F$204,5,FALSE),0))</f>
        <v/>
      </c>
      <c r="N1786" s="21">
        <f>IF(B1786="","",J1786-K1786-L1786-M1786-I1786)</f>
        <v/>
      </c>
    </row>
    <row r="1787">
      <c r="B1787" s="11" t="n"/>
      <c r="C1787" s="8" t="n"/>
      <c r="D1787" s="8" t="n"/>
      <c r="E1787" s="8" t="n"/>
      <c r="F1787" s="20" t="n"/>
      <c r="G1787" s="20" t="n"/>
      <c r="H1787" s="8" t="n"/>
      <c r="I1787" s="20" t="n"/>
      <c r="J1787" s="21">
        <f>IF(B1787="","",F1787+G1787)</f>
        <v/>
      </c>
      <c r="K1787" s="21">
        <f>IF(B1787="","",J1787*(Settings!$C$11+Settings!$C$12+Settings!$C$14)+IF(C1787="",Settings!$C$13,IF(COUNTIF($C$5:C1787,C1787)=1,Settings!$C$13,0))+E1787*Settings!$C$15+IF(H1787="Yes",J1787*Settings!$C$16,0))</f>
        <v/>
      </c>
      <c r="L1787" s="21">
        <f>IF(B1787="","",IF(Settings!$C$5="Yes",0,K1787*Settings!$C$17))</f>
        <v/>
      </c>
      <c r="M1787" s="21">
        <f>IF(B1787="","",E1787*IFERROR(VLOOKUP(D1787,Products!$B$5:$F$204,5,FALSE),0))</f>
        <v/>
      </c>
      <c r="N1787" s="21">
        <f>IF(B1787="","",J1787-K1787-L1787-M1787-I1787)</f>
        <v/>
      </c>
    </row>
    <row r="1788">
      <c r="B1788" s="11" t="n"/>
      <c r="C1788" s="8" t="n"/>
      <c r="D1788" s="8" t="n"/>
      <c r="E1788" s="8" t="n"/>
      <c r="F1788" s="20" t="n"/>
      <c r="G1788" s="20" t="n"/>
      <c r="H1788" s="8" t="n"/>
      <c r="I1788" s="20" t="n"/>
      <c r="J1788" s="21">
        <f>IF(B1788="","",F1788+G1788)</f>
        <v/>
      </c>
      <c r="K1788" s="21">
        <f>IF(B1788="","",J1788*(Settings!$C$11+Settings!$C$12+Settings!$C$14)+IF(C1788="",Settings!$C$13,IF(COUNTIF($C$5:C1788,C1788)=1,Settings!$C$13,0))+E1788*Settings!$C$15+IF(H1788="Yes",J1788*Settings!$C$16,0))</f>
        <v/>
      </c>
      <c r="L1788" s="21">
        <f>IF(B1788="","",IF(Settings!$C$5="Yes",0,K1788*Settings!$C$17))</f>
        <v/>
      </c>
      <c r="M1788" s="21">
        <f>IF(B1788="","",E1788*IFERROR(VLOOKUP(D1788,Products!$B$5:$F$204,5,FALSE),0))</f>
        <v/>
      </c>
      <c r="N1788" s="21">
        <f>IF(B1788="","",J1788-K1788-L1788-M1788-I1788)</f>
        <v/>
      </c>
    </row>
    <row r="1789">
      <c r="B1789" s="11" t="n"/>
      <c r="C1789" s="8" t="n"/>
      <c r="D1789" s="8" t="n"/>
      <c r="E1789" s="8" t="n"/>
      <c r="F1789" s="20" t="n"/>
      <c r="G1789" s="20" t="n"/>
      <c r="H1789" s="8" t="n"/>
      <c r="I1789" s="20" t="n"/>
      <c r="J1789" s="21">
        <f>IF(B1789="","",F1789+G1789)</f>
        <v/>
      </c>
      <c r="K1789" s="21">
        <f>IF(B1789="","",J1789*(Settings!$C$11+Settings!$C$12+Settings!$C$14)+IF(C1789="",Settings!$C$13,IF(COUNTIF($C$5:C1789,C1789)=1,Settings!$C$13,0))+E1789*Settings!$C$15+IF(H1789="Yes",J1789*Settings!$C$16,0))</f>
        <v/>
      </c>
      <c r="L1789" s="21">
        <f>IF(B1789="","",IF(Settings!$C$5="Yes",0,K1789*Settings!$C$17))</f>
        <v/>
      </c>
      <c r="M1789" s="21">
        <f>IF(B1789="","",E1789*IFERROR(VLOOKUP(D1789,Products!$B$5:$F$204,5,FALSE),0))</f>
        <v/>
      </c>
      <c r="N1789" s="21">
        <f>IF(B1789="","",J1789-K1789-L1789-M1789-I1789)</f>
        <v/>
      </c>
    </row>
    <row r="1790">
      <c r="B1790" s="11" t="n"/>
      <c r="C1790" s="8" t="n"/>
      <c r="D1790" s="8" t="n"/>
      <c r="E1790" s="8" t="n"/>
      <c r="F1790" s="20" t="n"/>
      <c r="G1790" s="20" t="n"/>
      <c r="H1790" s="8" t="n"/>
      <c r="I1790" s="20" t="n"/>
      <c r="J1790" s="21">
        <f>IF(B1790="","",F1790+G1790)</f>
        <v/>
      </c>
      <c r="K1790" s="21">
        <f>IF(B1790="","",J1790*(Settings!$C$11+Settings!$C$12+Settings!$C$14)+IF(C1790="",Settings!$C$13,IF(COUNTIF($C$5:C1790,C1790)=1,Settings!$C$13,0))+E1790*Settings!$C$15+IF(H1790="Yes",J1790*Settings!$C$16,0))</f>
        <v/>
      </c>
      <c r="L1790" s="21">
        <f>IF(B1790="","",IF(Settings!$C$5="Yes",0,K1790*Settings!$C$17))</f>
        <v/>
      </c>
      <c r="M1790" s="21">
        <f>IF(B1790="","",E1790*IFERROR(VLOOKUP(D1790,Products!$B$5:$F$204,5,FALSE),0))</f>
        <v/>
      </c>
      <c r="N1790" s="21">
        <f>IF(B1790="","",J1790-K1790-L1790-M1790-I1790)</f>
        <v/>
      </c>
    </row>
    <row r="1791">
      <c r="B1791" s="11" t="n"/>
      <c r="C1791" s="8" t="n"/>
      <c r="D1791" s="8" t="n"/>
      <c r="E1791" s="8" t="n"/>
      <c r="F1791" s="20" t="n"/>
      <c r="G1791" s="20" t="n"/>
      <c r="H1791" s="8" t="n"/>
      <c r="I1791" s="20" t="n"/>
      <c r="J1791" s="21">
        <f>IF(B1791="","",F1791+G1791)</f>
        <v/>
      </c>
      <c r="K1791" s="21">
        <f>IF(B1791="","",J1791*(Settings!$C$11+Settings!$C$12+Settings!$C$14)+IF(C1791="",Settings!$C$13,IF(COUNTIF($C$5:C1791,C1791)=1,Settings!$C$13,0))+E1791*Settings!$C$15+IF(H1791="Yes",J1791*Settings!$C$16,0))</f>
        <v/>
      </c>
      <c r="L1791" s="21">
        <f>IF(B1791="","",IF(Settings!$C$5="Yes",0,K1791*Settings!$C$17))</f>
        <v/>
      </c>
      <c r="M1791" s="21">
        <f>IF(B1791="","",E1791*IFERROR(VLOOKUP(D1791,Products!$B$5:$F$204,5,FALSE),0))</f>
        <v/>
      </c>
      <c r="N1791" s="21">
        <f>IF(B1791="","",J1791-K1791-L1791-M1791-I1791)</f>
        <v/>
      </c>
    </row>
    <row r="1792">
      <c r="B1792" s="11" t="n"/>
      <c r="C1792" s="8" t="n"/>
      <c r="D1792" s="8" t="n"/>
      <c r="E1792" s="8" t="n"/>
      <c r="F1792" s="20" t="n"/>
      <c r="G1792" s="20" t="n"/>
      <c r="H1792" s="8" t="n"/>
      <c r="I1792" s="20" t="n"/>
      <c r="J1792" s="21">
        <f>IF(B1792="","",F1792+G1792)</f>
        <v/>
      </c>
      <c r="K1792" s="21">
        <f>IF(B1792="","",J1792*(Settings!$C$11+Settings!$C$12+Settings!$C$14)+IF(C1792="",Settings!$C$13,IF(COUNTIF($C$5:C1792,C1792)=1,Settings!$C$13,0))+E1792*Settings!$C$15+IF(H1792="Yes",J1792*Settings!$C$16,0))</f>
        <v/>
      </c>
      <c r="L1792" s="21">
        <f>IF(B1792="","",IF(Settings!$C$5="Yes",0,K1792*Settings!$C$17))</f>
        <v/>
      </c>
      <c r="M1792" s="21">
        <f>IF(B1792="","",E1792*IFERROR(VLOOKUP(D1792,Products!$B$5:$F$204,5,FALSE),0))</f>
        <v/>
      </c>
      <c r="N1792" s="21">
        <f>IF(B1792="","",J1792-K1792-L1792-M1792-I1792)</f>
        <v/>
      </c>
    </row>
    <row r="1793">
      <c r="B1793" s="11" t="n"/>
      <c r="C1793" s="8" t="n"/>
      <c r="D1793" s="8" t="n"/>
      <c r="E1793" s="8" t="n"/>
      <c r="F1793" s="20" t="n"/>
      <c r="G1793" s="20" t="n"/>
      <c r="H1793" s="8" t="n"/>
      <c r="I1793" s="20" t="n"/>
      <c r="J1793" s="21">
        <f>IF(B1793="","",F1793+G1793)</f>
        <v/>
      </c>
      <c r="K1793" s="21">
        <f>IF(B1793="","",J1793*(Settings!$C$11+Settings!$C$12+Settings!$C$14)+IF(C1793="",Settings!$C$13,IF(COUNTIF($C$5:C1793,C1793)=1,Settings!$C$13,0))+E1793*Settings!$C$15+IF(H1793="Yes",J1793*Settings!$C$16,0))</f>
        <v/>
      </c>
      <c r="L1793" s="21">
        <f>IF(B1793="","",IF(Settings!$C$5="Yes",0,K1793*Settings!$C$17))</f>
        <v/>
      </c>
      <c r="M1793" s="21">
        <f>IF(B1793="","",E1793*IFERROR(VLOOKUP(D1793,Products!$B$5:$F$204,5,FALSE),0))</f>
        <v/>
      </c>
      <c r="N1793" s="21">
        <f>IF(B1793="","",J1793-K1793-L1793-M1793-I1793)</f>
        <v/>
      </c>
    </row>
    <row r="1794">
      <c r="B1794" s="11" t="n"/>
      <c r="C1794" s="8" t="n"/>
      <c r="D1794" s="8" t="n"/>
      <c r="E1794" s="8" t="n"/>
      <c r="F1794" s="20" t="n"/>
      <c r="G1794" s="20" t="n"/>
      <c r="H1794" s="8" t="n"/>
      <c r="I1794" s="20" t="n"/>
      <c r="J1794" s="21">
        <f>IF(B1794="","",F1794+G1794)</f>
        <v/>
      </c>
      <c r="K1794" s="21">
        <f>IF(B1794="","",J1794*(Settings!$C$11+Settings!$C$12+Settings!$C$14)+IF(C1794="",Settings!$C$13,IF(COUNTIF($C$5:C1794,C1794)=1,Settings!$C$13,0))+E1794*Settings!$C$15+IF(H1794="Yes",J1794*Settings!$C$16,0))</f>
        <v/>
      </c>
      <c r="L1794" s="21">
        <f>IF(B1794="","",IF(Settings!$C$5="Yes",0,K1794*Settings!$C$17))</f>
        <v/>
      </c>
      <c r="M1794" s="21">
        <f>IF(B1794="","",E1794*IFERROR(VLOOKUP(D1794,Products!$B$5:$F$204,5,FALSE),0))</f>
        <v/>
      </c>
      <c r="N1794" s="21">
        <f>IF(B1794="","",J1794-K1794-L1794-M1794-I1794)</f>
        <v/>
      </c>
    </row>
    <row r="1795">
      <c r="B1795" s="11" t="n"/>
      <c r="C1795" s="8" t="n"/>
      <c r="D1795" s="8" t="n"/>
      <c r="E1795" s="8" t="n"/>
      <c r="F1795" s="20" t="n"/>
      <c r="G1795" s="20" t="n"/>
      <c r="H1795" s="8" t="n"/>
      <c r="I1795" s="20" t="n"/>
      <c r="J1795" s="21">
        <f>IF(B1795="","",F1795+G1795)</f>
        <v/>
      </c>
      <c r="K1795" s="21">
        <f>IF(B1795="","",J1795*(Settings!$C$11+Settings!$C$12+Settings!$C$14)+IF(C1795="",Settings!$C$13,IF(COUNTIF($C$5:C1795,C1795)=1,Settings!$C$13,0))+E1795*Settings!$C$15+IF(H1795="Yes",J1795*Settings!$C$16,0))</f>
        <v/>
      </c>
      <c r="L1795" s="21">
        <f>IF(B1795="","",IF(Settings!$C$5="Yes",0,K1795*Settings!$C$17))</f>
        <v/>
      </c>
      <c r="M1795" s="21">
        <f>IF(B1795="","",E1795*IFERROR(VLOOKUP(D1795,Products!$B$5:$F$204,5,FALSE),0))</f>
        <v/>
      </c>
      <c r="N1795" s="21">
        <f>IF(B1795="","",J1795-K1795-L1795-M1795-I1795)</f>
        <v/>
      </c>
    </row>
    <row r="1796">
      <c r="B1796" s="11" t="n"/>
      <c r="C1796" s="8" t="n"/>
      <c r="D1796" s="8" t="n"/>
      <c r="E1796" s="8" t="n"/>
      <c r="F1796" s="20" t="n"/>
      <c r="G1796" s="20" t="n"/>
      <c r="H1796" s="8" t="n"/>
      <c r="I1796" s="20" t="n"/>
      <c r="J1796" s="21">
        <f>IF(B1796="","",F1796+G1796)</f>
        <v/>
      </c>
      <c r="K1796" s="21">
        <f>IF(B1796="","",J1796*(Settings!$C$11+Settings!$C$12+Settings!$C$14)+IF(C1796="",Settings!$C$13,IF(COUNTIF($C$5:C1796,C1796)=1,Settings!$C$13,0))+E1796*Settings!$C$15+IF(H1796="Yes",J1796*Settings!$C$16,0))</f>
        <v/>
      </c>
      <c r="L1796" s="21">
        <f>IF(B1796="","",IF(Settings!$C$5="Yes",0,K1796*Settings!$C$17))</f>
        <v/>
      </c>
      <c r="M1796" s="21">
        <f>IF(B1796="","",E1796*IFERROR(VLOOKUP(D1796,Products!$B$5:$F$204,5,FALSE),0))</f>
        <v/>
      </c>
      <c r="N1796" s="21">
        <f>IF(B1796="","",J1796-K1796-L1796-M1796-I1796)</f>
        <v/>
      </c>
    </row>
    <row r="1797">
      <c r="B1797" s="11" t="n"/>
      <c r="C1797" s="8" t="n"/>
      <c r="D1797" s="8" t="n"/>
      <c r="E1797" s="8" t="n"/>
      <c r="F1797" s="20" t="n"/>
      <c r="G1797" s="20" t="n"/>
      <c r="H1797" s="8" t="n"/>
      <c r="I1797" s="20" t="n"/>
      <c r="J1797" s="21">
        <f>IF(B1797="","",F1797+G1797)</f>
        <v/>
      </c>
      <c r="K1797" s="21">
        <f>IF(B1797="","",J1797*(Settings!$C$11+Settings!$C$12+Settings!$C$14)+IF(C1797="",Settings!$C$13,IF(COUNTIF($C$5:C1797,C1797)=1,Settings!$C$13,0))+E1797*Settings!$C$15+IF(H1797="Yes",J1797*Settings!$C$16,0))</f>
        <v/>
      </c>
      <c r="L1797" s="21">
        <f>IF(B1797="","",IF(Settings!$C$5="Yes",0,K1797*Settings!$C$17))</f>
        <v/>
      </c>
      <c r="M1797" s="21">
        <f>IF(B1797="","",E1797*IFERROR(VLOOKUP(D1797,Products!$B$5:$F$204,5,FALSE),0))</f>
        <v/>
      </c>
      <c r="N1797" s="21">
        <f>IF(B1797="","",J1797-K1797-L1797-M1797-I1797)</f>
        <v/>
      </c>
    </row>
    <row r="1798">
      <c r="B1798" s="11" t="n"/>
      <c r="C1798" s="8" t="n"/>
      <c r="D1798" s="8" t="n"/>
      <c r="E1798" s="8" t="n"/>
      <c r="F1798" s="20" t="n"/>
      <c r="G1798" s="20" t="n"/>
      <c r="H1798" s="8" t="n"/>
      <c r="I1798" s="20" t="n"/>
      <c r="J1798" s="21">
        <f>IF(B1798="","",F1798+G1798)</f>
        <v/>
      </c>
      <c r="K1798" s="21">
        <f>IF(B1798="","",J1798*(Settings!$C$11+Settings!$C$12+Settings!$C$14)+IF(C1798="",Settings!$C$13,IF(COUNTIF($C$5:C1798,C1798)=1,Settings!$C$13,0))+E1798*Settings!$C$15+IF(H1798="Yes",J1798*Settings!$C$16,0))</f>
        <v/>
      </c>
      <c r="L1798" s="21">
        <f>IF(B1798="","",IF(Settings!$C$5="Yes",0,K1798*Settings!$C$17))</f>
        <v/>
      </c>
      <c r="M1798" s="21">
        <f>IF(B1798="","",E1798*IFERROR(VLOOKUP(D1798,Products!$B$5:$F$204,5,FALSE),0))</f>
        <v/>
      </c>
      <c r="N1798" s="21">
        <f>IF(B1798="","",J1798-K1798-L1798-M1798-I1798)</f>
        <v/>
      </c>
    </row>
    <row r="1799">
      <c r="B1799" s="11" t="n"/>
      <c r="C1799" s="8" t="n"/>
      <c r="D1799" s="8" t="n"/>
      <c r="E1799" s="8" t="n"/>
      <c r="F1799" s="20" t="n"/>
      <c r="G1799" s="20" t="n"/>
      <c r="H1799" s="8" t="n"/>
      <c r="I1799" s="20" t="n"/>
      <c r="J1799" s="21">
        <f>IF(B1799="","",F1799+G1799)</f>
        <v/>
      </c>
      <c r="K1799" s="21">
        <f>IF(B1799="","",J1799*(Settings!$C$11+Settings!$C$12+Settings!$C$14)+IF(C1799="",Settings!$C$13,IF(COUNTIF($C$5:C1799,C1799)=1,Settings!$C$13,0))+E1799*Settings!$C$15+IF(H1799="Yes",J1799*Settings!$C$16,0))</f>
        <v/>
      </c>
      <c r="L1799" s="21">
        <f>IF(B1799="","",IF(Settings!$C$5="Yes",0,K1799*Settings!$C$17))</f>
        <v/>
      </c>
      <c r="M1799" s="21">
        <f>IF(B1799="","",E1799*IFERROR(VLOOKUP(D1799,Products!$B$5:$F$204,5,FALSE),0))</f>
        <v/>
      </c>
      <c r="N1799" s="21">
        <f>IF(B1799="","",J1799-K1799-L1799-M1799-I1799)</f>
        <v/>
      </c>
    </row>
    <row r="1800">
      <c r="B1800" s="11" t="n"/>
      <c r="C1800" s="8" t="n"/>
      <c r="D1800" s="8" t="n"/>
      <c r="E1800" s="8" t="n"/>
      <c r="F1800" s="20" t="n"/>
      <c r="G1800" s="20" t="n"/>
      <c r="H1800" s="8" t="n"/>
      <c r="I1800" s="20" t="n"/>
      <c r="J1800" s="21">
        <f>IF(B1800="","",F1800+G1800)</f>
        <v/>
      </c>
      <c r="K1800" s="21">
        <f>IF(B1800="","",J1800*(Settings!$C$11+Settings!$C$12+Settings!$C$14)+IF(C1800="",Settings!$C$13,IF(COUNTIF($C$5:C1800,C1800)=1,Settings!$C$13,0))+E1800*Settings!$C$15+IF(H1800="Yes",J1800*Settings!$C$16,0))</f>
        <v/>
      </c>
      <c r="L1800" s="21">
        <f>IF(B1800="","",IF(Settings!$C$5="Yes",0,K1800*Settings!$C$17))</f>
        <v/>
      </c>
      <c r="M1800" s="21">
        <f>IF(B1800="","",E1800*IFERROR(VLOOKUP(D1800,Products!$B$5:$F$204,5,FALSE),0))</f>
        <v/>
      </c>
      <c r="N1800" s="21">
        <f>IF(B1800="","",J1800-K1800-L1800-M1800-I1800)</f>
        <v/>
      </c>
    </row>
    <row r="1801">
      <c r="B1801" s="11" t="n"/>
      <c r="C1801" s="8" t="n"/>
      <c r="D1801" s="8" t="n"/>
      <c r="E1801" s="8" t="n"/>
      <c r="F1801" s="20" t="n"/>
      <c r="G1801" s="20" t="n"/>
      <c r="H1801" s="8" t="n"/>
      <c r="I1801" s="20" t="n"/>
      <c r="J1801" s="21">
        <f>IF(B1801="","",F1801+G1801)</f>
        <v/>
      </c>
      <c r="K1801" s="21">
        <f>IF(B1801="","",J1801*(Settings!$C$11+Settings!$C$12+Settings!$C$14)+IF(C1801="",Settings!$C$13,IF(COUNTIF($C$5:C1801,C1801)=1,Settings!$C$13,0))+E1801*Settings!$C$15+IF(H1801="Yes",J1801*Settings!$C$16,0))</f>
        <v/>
      </c>
      <c r="L1801" s="21">
        <f>IF(B1801="","",IF(Settings!$C$5="Yes",0,K1801*Settings!$C$17))</f>
        <v/>
      </c>
      <c r="M1801" s="21">
        <f>IF(B1801="","",E1801*IFERROR(VLOOKUP(D1801,Products!$B$5:$F$204,5,FALSE),0))</f>
        <v/>
      </c>
      <c r="N1801" s="21">
        <f>IF(B1801="","",J1801-K1801-L1801-M1801-I1801)</f>
        <v/>
      </c>
    </row>
    <row r="1802">
      <c r="B1802" s="11" t="n"/>
      <c r="C1802" s="8" t="n"/>
      <c r="D1802" s="8" t="n"/>
      <c r="E1802" s="8" t="n"/>
      <c r="F1802" s="20" t="n"/>
      <c r="G1802" s="20" t="n"/>
      <c r="H1802" s="8" t="n"/>
      <c r="I1802" s="20" t="n"/>
      <c r="J1802" s="21">
        <f>IF(B1802="","",F1802+G1802)</f>
        <v/>
      </c>
      <c r="K1802" s="21">
        <f>IF(B1802="","",J1802*(Settings!$C$11+Settings!$C$12+Settings!$C$14)+IF(C1802="",Settings!$C$13,IF(COUNTIF($C$5:C1802,C1802)=1,Settings!$C$13,0))+E1802*Settings!$C$15+IF(H1802="Yes",J1802*Settings!$C$16,0))</f>
        <v/>
      </c>
      <c r="L1802" s="21">
        <f>IF(B1802="","",IF(Settings!$C$5="Yes",0,K1802*Settings!$C$17))</f>
        <v/>
      </c>
      <c r="M1802" s="21">
        <f>IF(B1802="","",E1802*IFERROR(VLOOKUP(D1802,Products!$B$5:$F$204,5,FALSE),0))</f>
        <v/>
      </c>
      <c r="N1802" s="21">
        <f>IF(B1802="","",J1802-K1802-L1802-M1802-I1802)</f>
        <v/>
      </c>
    </row>
    <row r="1803">
      <c r="B1803" s="11" t="n"/>
      <c r="C1803" s="8" t="n"/>
      <c r="D1803" s="8" t="n"/>
      <c r="E1803" s="8" t="n"/>
      <c r="F1803" s="20" t="n"/>
      <c r="G1803" s="20" t="n"/>
      <c r="H1803" s="8" t="n"/>
      <c r="I1803" s="20" t="n"/>
      <c r="J1803" s="21">
        <f>IF(B1803="","",F1803+G1803)</f>
        <v/>
      </c>
      <c r="K1803" s="21">
        <f>IF(B1803="","",J1803*(Settings!$C$11+Settings!$C$12+Settings!$C$14)+IF(C1803="",Settings!$C$13,IF(COUNTIF($C$5:C1803,C1803)=1,Settings!$C$13,0))+E1803*Settings!$C$15+IF(H1803="Yes",J1803*Settings!$C$16,0))</f>
        <v/>
      </c>
      <c r="L1803" s="21">
        <f>IF(B1803="","",IF(Settings!$C$5="Yes",0,K1803*Settings!$C$17))</f>
        <v/>
      </c>
      <c r="M1803" s="21">
        <f>IF(B1803="","",E1803*IFERROR(VLOOKUP(D1803,Products!$B$5:$F$204,5,FALSE),0))</f>
        <v/>
      </c>
      <c r="N1803" s="21">
        <f>IF(B1803="","",J1803-K1803-L1803-M1803-I1803)</f>
        <v/>
      </c>
    </row>
    <row r="1804">
      <c r="B1804" s="11" t="n"/>
      <c r="C1804" s="8" t="n"/>
      <c r="D1804" s="8" t="n"/>
      <c r="E1804" s="8" t="n"/>
      <c r="F1804" s="20" t="n"/>
      <c r="G1804" s="20" t="n"/>
      <c r="H1804" s="8" t="n"/>
      <c r="I1804" s="20" t="n"/>
      <c r="J1804" s="21">
        <f>IF(B1804="","",F1804+G1804)</f>
        <v/>
      </c>
      <c r="K1804" s="21">
        <f>IF(B1804="","",J1804*(Settings!$C$11+Settings!$C$12+Settings!$C$14)+IF(C1804="",Settings!$C$13,IF(COUNTIF($C$5:C1804,C1804)=1,Settings!$C$13,0))+E1804*Settings!$C$15+IF(H1804="Yes",J1804*Settings!$C$16,0))</f>
        <v/>
      </c>
      <c r="L1804" s="21">
        <f>IF(B1804="","",IF(Settings!$C$5="Yes",0,K1804*Settings!$C$17))</f>
        <v/>
      </c>
      <c r="M1804" s="21">
        <f>IF(B1804="","",E1804*IFERROR(VLOOKUP(D1804,Products!$B$5:$F$204,5,FALSE),0))</f>
        <v/>
      </c>
      <c r="N1804" s="21">
        <f>IF(B1804="","",J1804-K1804-L1804-M1804-I1804)</f>
        <v/>
      </c>
    </row>
    <row r="1805">
      <c r="B1805" s="11" t="n"/>
      <c r="C1805" s="8" t="n"/>
      <c r="D1805" s="8" t="n"/>
      <c r="E1805" s="8" t="n"/>
      <c r="F1805" s="20" t="n"/>
      <c r="G1805" s="20" t="n"/>
      <c r="H1805" s="8" t="n"/>
      <c r="I1805" s="20" t="n"/>
      <c r="J1805" s="21">
        <f>IF(B1805="","",F1805+G1805)</f>
        <v/>
      </c>
      <c r="K1805" s="21">
        <f>IF(B1805="","",J1805*(Settings!$C$11+Settings!$C$12+Settings!$C$14)+IF(C1805="",Settings!$C$13,IF(COUNTIF($C$5:C1805,C1805)=1,Settings!$C$13,0))+E1805*Settings!$C$15+IF(H1805="Yes",J1805*Settings!$C$16,0))</f>
        <v/>
      </c>
      <c r="L1805" s="21">
        <f>IF(B1805="","",IF(Settings!$C$5="Yes",0,K1805*Settings!$C$17))</f>
        <v/>
      </c>
      <c r="M1805" s="21">
        <f>IF(B1805="","",E1805*IFERROR(VLOOKUP(D1805,Products!$B$5:$F$204,5,FALSE),0))</f>
        <v/>
      </c>
      <c r="N1805" s="21">
        <f>IF(B1805="","",J1805-K1805-L1805-M1805-I1805)</f>
        <v/>
      </c>
    </row>
    <row r="1806">
      <c r="B1806" s="11" t="n"/>
      <c r="C1806" s="8" t="n"/>
      <c r="D1806" s="8" t="n"/>
      <c r="E1806" s="8" t="n"/>
      <c r="F1806" s="20" t="n"/>
      <c r="G1806" s="20" t="n"/>
      <c r="H1806" s="8" t="n"/>
      <c r="I1806" s="20" t="n"/>
      <c r="J1806" s="21">
        <f>IF(B1806="","",F1806+G1806)</f>
        <v/>
      </c>
      <c r="K1806" s="21">
        <f>IF(B1806="","",J1806*(Settings!$C$11+Settings!$C$12+Settings!$C$14)+IF(C1806="",Settings!$C$13,IF(COUNTIF($C$5:C1806,C1806)=1,Settings!$C$13,0))+E1806*Settings!$C$15+IF(H1806="Yes",J1806*Settings!$C$16,0))</f>
        <v/>
      </c>
      <c r="L1806" s="21">
        <f>IF(B1806="","",IF(Settings!$C$5="Yes",0,K1806*Settings!$C$17))</f>
        <v/>
      </c>
      <c r="M1806" s="21">
        <f>IF(B1806="","",E1806*IFERROR(VLOOKUP(D1806,Products!$B$5:$F$204,5,FALSE),0))</f>
        <v/>
      </c>
      <c r="N1806" s="21">
        <f>IF(B1806="","",J1806-K1806-L1806-M1806-I1806)</f>
        <v/>
      </c>
    </row>
    <row r="1807">
      <c r="B1807" s="11" t="n"/>
      <c r="C1807" s="8" t="n"/>
      <c r="D1807" s="8" t="n"/>
      <c r="E1807" s="8" t="n"/>
      <c r="F1807" s="20" t="n"/>
      <c r="G1807" s="20" t="n"/>
      <c r="H1807" s="8" t="n"/>
      <c r="I1807" s="20" t="n"/>
      <c r="J1807" s="21">
        <f>IF(B1807="","",F1807+G1807)</f>
        <v/>
      </c>
      <c r="K1807" s="21">
        <f>IF(B1807="","",J1807*(Settings!$C$11+Settings!$C$12+Settings!$C$14)+IF(C1807="",Settings!$C$13,IF(COUNTIF($C$5:C1807,C1807)=1,Settings!$C$13,0))+E1807*Settings!$C$15+IF(H1807="Yes",J1807*Settings!$C$16,0))</f>
        <v/>
      </c>
      <c r="L1807" s="21">
        <f>IF(B1807="","",IF(Settings!$C$5="Yes",0,K1807*Settings!$C$17))</f>
        <v/>
      </c>
      <c r="M1807" s="21">
        <f>IF(B1807="","",E1807*IFERROR(VLOOKUP(D1807,Products!$B$5:$F$204,5,FALSE),0))</f>
        <v/>
      </c>
      <c r="N1807" s="21">
        <f>IF(B1807="","",J1807-K1807-L1807-M1807-I1807)</f>
        <v/>
      </c>
    </row>
    <row r="1808">
      <c r="B1808" s="11" t="n"/>
      <c r="C1808" s="8" t="n"/>
      <c r="D1808" s="8" t="n"/>
      <c r="E1808" s="8" t="n"/>
      <c r="F1808" s="20" t="n"/>
      <c r="G1808" s="20" t="n"/>
      <c r="H1808" s="8" t="n"/>
      <c r="I1808" s="20" t="n"/>
      <c r="J1808" s="21">
        <f>IF(B1808="","",F1808+G1808)</f>
        <v/>
      </c>
      <c r="K1808" s="21">
        <f>IF(B1808="","",J1808*(Settings!$C$11+Settings!$C$12+Settings!$C$14)+IF(C1808="",Settings!$C$13,IF(COUNTIF($C$5:C1808,C1808)=1,Settings!$C$13,0))+E1808*Settings!$C$15+IF(H1808="Yes",J1808*Settings!$C$16,0))</f>
        <v/>
      </c>
      <c r="L1808" s="21">
        <f>IF(B1808="","",IF(Settings!$C$5="Yes",0,K1808*Settings!$C$17))</f>
        <v/>
      </c>
      <c r="M1808" s="21">
        <f>IF(B1808="","",E1808*IFERROR(VLOOKUP(D1808,Products!$B$5:$F$204,5,FALSE),0))</f>
        <v/>
      </c>
      <c r="N1808" s="21">
        <f>IF(B1808="","",J1808-K1808-L1808-M1808-I1808)</f>
        <v/>
      </c>
    </row>
    <row r="1809">
      <c r="B1809" s="11" t="n"/>
      <c r="C1809" s="8" t="n"/>
      <c r="D1809" s="8" t="n"/>
      <c r="E1809" s="8" t="n"/>
      <c r="F1809" s="20" t="n"/>
      <c r="G1809" s="20" t="n"/>
      <c r="H1809" s="8" t="n"/>
      <c r="I1809" s="20" t="n"/>
      <c r="J1809" s="21">
        <f>IF(B1809="","",F1809+G1809)</f>
        <v/>
      </c>
      <c r="K1809" s="21">
        <f>IF(B1809="","",J1809*(Settings!$C$11+Settings!$C$12+Settings!$C$14)+IF(C1809="",Settings!$C$13,IF(COUNTIF($C$5:C1809,C1809)=1,Settings!$C$13,0))+E1809*Settings!$C$15+IF(H1809="Yes",J1809*Settings!$C$16,0))</f>
        <v/>
      </c>
      <c r="L1809" s="21">
        <f>IF(B1809="","",IF(Settings!$C$5="Yes",0,K1809*Settings!$C$17))</f>
        <v/>
      </c>
      <c r="M1809" s="21">
        <f>IF(B1809="","",E1809*IFERROR(VLOOKUP(D1809,Products!$B$5:$F$204,5,FALSE),0))</f>
        <v/>
      </c>
      <c r="N1809" s="21">
        <f>IF(B1809="","",J1809-K1809-L1809-M1809-I1809)</f>
        <v/>
      </c>
    </row>
    <row r="1810">
      <c r="B1810" s="11" t="n"/>
      <c r="C1810" s="8" t="n"/>
      <c r="D1810" s="8" t="n"/>
      <c r="E1810" s="8" t="n"/>
      <c r="F1810" s="20" t="n"/>
      <c r="G1810" s="20" t="n"/>
      <c r="H1810" s="8" t="n"/>
      <c r="I1810" s="20" t="n"/>
      <c r="J1810" s="21">
        <f>IF(B1810="","",F1810+G1810)</f>
        <v/>
      </c>
      <c r="K1810" s="21">
        <f>IF(B1810="","",J1810*(Settings!$C$11+Settings!$C$12+Settings!$C$14)+IF(C1810="",Settings!$C$13,IF(COUNTIF($C$5:C1810,C1810)=1,Settings!$C$13,0))+E1810*Settings!$C$15+IF(H1810="Yes",J1810*Settings!$C$16,0))</f>
        <v/>
      </c>
      <c r="L1810" s="21">
        <f>IF(B1810="","",IF(Settings!$C$5="Yes",0,K1810*Settings!$C$17))</f>
        <v/>
      </c>
      <c r="M1810" s="21">
        <f>IF(B1810="","",E1810*IFERROR(VLOOKUP(D1810,Products!$B$5:$F$204,5,FALSE),0))</f>
        <v/>
      </c>
      <c r="N1810" s="21">
        <f>IF(B1810="","",J1810-K1810-L1810-M1810-I1810)</f>
        <v/>
      </c>
    </row>
    <row r="1811">
      <c r="B1811" s="11" t="n"/>
      <c r="C1811" s="8" t="n"/>
      <c r="D1811" s="8" t="n"/>
      <c r="E1811" s="8" t="n"/>
      <c r="F1811" s="20" t="n"/>
      <c r="G1811" s="20" t="n"/>
      <c r="H1811" s="8" t="n"/>
      <c r="I1811" s="20" t="n"/>
      <c r="J1811" s="21">
        <f>IF(B1811="","",F1811+G1811)</f>
        <v/>
      </c>
      <c r="K1811" s="21">
        <f>IF(B1811="","",J1811*(Settings!$C$11+Settings!$C$12+Settings!$C$14)+IF(C1811="",Settings!$C$13,IF(COUNTIF($C$5:C1811,C1811)=1,Settings!$C$13,0))+E1811*Settings!$C$15+IF(H1811="Yes",J1811*Settings!$C$16,0))</f>
        <v/>
      </c>
      <c r="L1811" s="21">
        <f>IF(B1811="","",IF(Settings!$C$5="Yes",0,K1811*Settings!$C$17))</f>
        <v/>
      </c>
      <c r="M1811" s="21">
        <f>IF(B1811="","",E1811*IFERROR(VLOOKUP(D1811,Products!$B$5:$F$204,5,FALSE),0))</f>
        <v/>
      </c>
      <c r="N1811" s="21">
        <f>IF(B1811="","",J1811-K1811-L1811-M1811-I1811)</f>
        <v/>
      </c>
    </row>
    <row r="1812">
      <c r="B1812" s="11" t="n"/>
      <c r="C1812" s="8" t="n"/>
      <c r="D1812" s="8" t="n"/>
      <c r="E1812" s="8" t="n"/>
      <c r="F1812" s="20" t="n"/>
      <c r="G1812" s="20" t="n"/>
      <c r="H1812" s="8" t="n"/>
      <c r="I1812" s="20" t="n"/>
      <c r="J1812" s="21">
        <f>IF(B1812="","",F1812+G1812)</f>
        <v/>
      </c>
      <c r="K1812" s="21">
        <f>IF(B1812="","",J1812*(Settings!$C$11+Settings!$C$12+Settings!$C$14)+IF(C1812="",Settings!$C$13,IF(COUNTIF($C$5:C1812,C1812)=1,Settings!$C$13,0))+E1812*Settings!$C$15+IF(H1812="Yes",J1812*Settings!$C$16,0))</f>
        <v/>
      </c>
      <c r="L1812" s="21">
        <f>IF(B1812="","",IF(Settings!$C$5="Yes",0,K1812*Settings!$C$17))</f>
        <v/>
      </c>
      <c r="M1812" s="21">
        <f>IF(B1812="","",E1812*IFERROR(VLOOKUP(D1812,Products!$B$5:$F$204,5,FALSE),0))</f>
        <v/>
      </c>
      <c r="N1812" s="21">
        <f>IF(B1812="","",J1812-K1812-L1812-M1812-I1812)</f>
        <v/>
      </c>
    </row>
    <row r="1813">
      <c r="B1813" s="11" t="n"/>
      <c r="C1813" s="8" t="n"/>
      <c r="D1813" s="8" t="n"/>
      <c r="E1813" s="8" t="n"/>
      <c r="F1813" s="20" t="n"/>
      <c r="G1813" s="20" t="n"/>
      <c r="H1813" s="8" t="n"/>
      <c r="I1813" s="20" t="n"/>
      <c r="J1813" s="21">
        <f>IF(B1813="","",F1813+G1813)</f>
        <v/>
      </c>
      <c r="K1813" s="21">
        <f>IF(B1813="","",J1813*(Settings!$C$11+Settings!$C$12+Settings!$C$14)+IF(C1813="",Settings!$C$13,IF(COUNTIF($C$5:C1813,C1813)=1,Settings!$C$13,0))+E1813*Settings!$C$15+IF(H1813="Yes",J1813*Settings!$C$16,0))</f>
        <v/>
      </c>
      <c r="L1813" s="21">
        <f>IF(B1813="","",IF(Settings!$C$5="Yes",0,K1813*Settings!$C$17))</f>
        <v/>
      </c>
      <c r="M1813" s="21">
        <f>IF(B1813="","",E1813*IFERROR(VLOOKUP(D1813,Products!$B$5:$F$204,5,FALSE),0))</f>
        <v/>
      </c>
      <c r="N1813" s="21">
        <f>IF(B1813="","",J1813-K1813-L1813-M1813-I1813)</f>
        <v/>
      </c>
    </row>
    <row r="1814">
      <c r="B1814" s="11" t="n"/>
      <c r="C1814" s="8" t="n"/>
      <c r="D1814" s="8" t="n"/>
      <c r="E1814" s="8" t="n"/>
      <c r="F1814" s="20" t="n"/>
      <c r="G1814" s="20" t="n"/>
      <c r="H1814" s="8" t="n"/>
      <c r="I1814" s="20" t="n"/>
      <c r="J1814" s="21">
        <f>IF(B1814="","",F1814+G1814)</f>
        <v/>
      </c>
      <c r="K1814" s="21">
        <f>IF(B1814="","",J1814*(Settings!$C$11+Settings!$C$12+Settings!$C$14)+IF(C1814="",Settings!$C$13,IF(COUNTIF($C$5:C1814,C1814)=1,Settings!$C$13,0))+E1814*Settings!$C$15+IF(H1814="Yes",J1814*Settings!$C$16,0))</f>
        <v/>
      </c>
      <c r="L1814" s="21">
        <f>IF(B1814="","",IF(Settings!$C$5="Yes",0,K1814*Settings!$C$17))</f>
        <v/>
      </c>
      <c r="M1814" s="21">
        <f>IF(B1814="","",E1814*IFERROR(VLOOKUP(D1814,Products!$B$5:$F$204,5,FALSE),0))</f>
        <v/>
      </c>
      <c r="N1814" s="21">
        <f>IF(B1814="","",J1814-K1814-L1814-M1814-I1814)</f>
        <v/>
      </c>
    </row>
    <row r="1815">
      <c r="B1815" s="11" t="n"/>
      <c r="C1815" s="8" t="n"/>
      <c r="D1815" s="8" t="n"/>
      <c r="E1815" s="8" t="n"/>
      <c r="F1815" s="20" t="n"/>
      <c r="G1815" s="20" t="n"/>
      <c r="H1815" s="8" t="n"/>
      <c r="I1815" s="20" t="n"/>
      <c r="J1815" s="21">
        <f>IF(B1815="","",F1815+G1815)</f>
        <v/>
      </c>
      <c r="K1815" s="21">
        <f>IF(B1815="","",J1815*(Settings!$C$11+Settings!$C$12+Settings!$C$14)+IF(C1815="",Settings!$C$13,IF(COUNTIF($C$5:C1815,C1815)=1,Settings!$C$13,0))+E1815*Settings!$C$15+IF(H1815="Yes",J1815*Settings!$C$16,0))</f>
        <v/>
      </c>
      <c r="L1815" s="21">
        <f>IF(B1815="","",IF(Settings!$C$5="Yes",0,K1815*Settings!$C$17))</f>
        <v/>
      </c>
      <c r="M1815" s="21">
        <f>IF(B1815="","",E1815*IFERROR(VLOOKUP(D1815,Products!$B$5:$F$204,5,FALSE),0))</f>
        <v/>
      </c>
      <c r="N1815" s="21">
        <f>IF(B1815="","",J1815-K1815-L1815-M1815-I1815)</f>
        <v/>
      </c>
    </row>
    <row r="1816">
      <c r="B1816" s="11" t="n"/>
      <c r="C1816" s="8" t="n"/>
      <c r="D1816" s="8" t="n"/>
      <c r="E1816" s="8" t="n"/>
      <c r="F1816" s="20" t="n"/>
      <c r="G1816" s="20" t="n"/>
      <c r="H1816" s="8" t="n"/>
      <c r="I1816" s="20" t="n"/>
      <c r="J1816" s="21">
        <f>IF(B1816="","",F1816+G1816)</f>
        <v/>
      </c>
      <c r="K1816" s="21">
        <f>IF(B1816="","",J1816*(Settings!$C$11+Settings!$C$12+Settings!$C$14)+IF(C1816="",Settings!$C$13,IF(COUNTIF($C$5:C1816,C1816)=1,Settings!$C$13,0))+E1816*Settings!$C$15+IF(H1816="Yes",J1816*Settings!$C$16,0))</f>
        <v/>
      </c>
      <c r="L1816" s="21">
        <f>IF(B1816="","",IF(Settings!$C$5="Yes",0,K1816*Settings!$C$17))</f>
        <v/>
      </c>
      <c r="M1816" s="21">
        <f>IF(B1816="","",E1816*IFERROR(VLOOKUP(D1816,Products!$B$5:$F$204,5,FALSE),0))</f>
        <v/>
      </c>
      <c r="N1816" s="21">
        <f>IF(B1816="","",J1816-K1816-L1816-M1816-I1816)</f>
        <v/>
      </c>
    </row>
    <row r="1817">
      <c r="B1817" s="11" t="n"/>
      <c r="C1817" s="8" t="n"/>
      <c r="D1817" s="8" t="n"/>
      <c r="E1817" s="8" t="n"/>
      <c r="F1817" s="20" t="n"/>
      <c r="G1817" s="20" t="n"/>
      <c r="H1817" s="8" t="n"/>
      <c r="I1817" s="20" t="n"/>
      <c r="J1817" s="21">
        <f>IF(B1817="","",F1817+G1817)</f>
        <v/>
      </c>
      <c r="K1817" s="21">
        <f>IF(B1817="","",J1817*(Settings!$C$11+Settings!$C$12+Settings!$C$14)+IF(C1817="",Settings!$C$13,IF(COUNTIF($C$5:C1817,C1817)=1,Settings!$C$13,0))+E1817*Settings!$C$15+IF(H1817="Yes",J1817*Settings!$C$16,0))</f>
        <v/>
      </c>
      <c r="L1817" s="21">
        <f>IF(B1817="","",IF(Settings!$C$5="Yes",0,K1817*Settings!$C$17))</f>
        <v/>
      </c>
      <c r="M1817" s="21">
        <f>IF(B1817="","",E1817*IFERROR(VLOOKUP(D1817,Products!$B$5:$F$204,5,FALSE),0))</f>
        <v/>
      </c>
      <c r="N1817" s="21">
        <f>IF(B1817="","",J1817-K1817-L1817-M1817-I1817)</f>
        <v/>
      </c>
    </row>
    <row r="1818">
      <c r="B1818" s="11" t="n"/>
      <c r="C1818" s="8" t="n"/>
      <c r="D1818" s="8" t="n"/>
      <c r="E1818" s="8" t="n"/>
      <c r="F1818" s="20" t="n"/>
      <c r="G1818" s="20" t="n"/>
      <c r="H1818" s="8" t="n"/>
      <c r="I1818" s="20" t="n"/>
      <c r="J1818" s="21">
        <f>IF(B1818="","",F1818+G1818)</f>
        <v/>
      </c>
      <c r="K1818" s="21">
        <f>IF(B1818="","",J1818*(Settings!$C$11+Settings!$C$12+Settings!$C$14)+IF(C1818="",Settings!$C$13,IF(COUNTIF($C$5:C1818,C1818)=1,Settings!$C$13,0))+E1818*Settings!$C$15+IF(H1818="Yes",J1818*Settings!$C$16,0))</f>
        <v/>
      </c>
      <c r="L1818" s="21">
        <f>IF(B1818="","",IF(Settings!$C$5="Yes",0,K1818*Settings!$C$17))</f>
        <v/>
      </c>
      <c r="M1818" s="21">
        <f>IF(B1818="","",E1818*IFERROR(VLOOKUP(D1818,Products!$B$5:$F$204,5,FALSE),0))</f>
        <v/>
      </c>
      <c r="N1818" s="21">
        <f>IF(B1818="","",J1818-K1818-L1818-M1818-I1818)</f>
        <v/>
      </c>
    </row>
    <row r="1819">
      <c r="B1819" s="11" t="n"/>
      <c r="C1819" s="8" t="n"/>
      <c r="D1819" s="8" t="n"/>
      <c r="E1819" s="8" t="n"/>
      <c r="F1819" s="20" t="n"/>
      <c r="G1819" s="20" t="n"/>
      <c r="H1819" s="8" t="n"/>
      <c r="I1819" s="20" t="n"/>
      <c r="J1819" s="21">
        <f>IF(B1819="","",F1819+G1819)</f>
        <v/>
      </c>
      <c r="K1819" s="21">
        <f>IF(B1819="","",J1819*(Settings!$C$11+Settings!$C$12+Settings!$C$14)+IF(C1819="",Settings!$C$13,IF(COUNTIF($C$5:C1819,C1819)=1,Settings!$C$13,0))+E1819*Settings!$C$15+IF(H1819="Yes",J1819*Settings!$C$16,0))</f>
        <v/>
      </c>
      <c r="L1819" s="21">
        <f>IF(B1819="","",IF(Settings!$C$5="Yes",0,K1819*Settings!$C$17))</f>
        <v/>
      </c>
      <c r="M1819" s="21">
        <f>IF(B1819="","",E1819*IFERROR(VLOOKUP(D1819,Products!$B$5:$F$204,5,FALSE),0))</f>
        <v/>
      </c>
      <c r="N1819" s="21">
        <f>IF(B1819="","",J1819-K1819-L1819-M1819-I1819)</f>
        <v/>
      </c>
    </row>
    <row r="1820">
      <c r="B1820" s="11" t="n"/>
      <c r="C1820" s="8" t="n"/>
      <c r="D1820" s="8" t="n"/>
      <c r="E1820" s="8" t="n"/>
      <c r="F1820" s="20" t="n"/>
      <c r="G1820" s="20" t="n"/>
      <c r="H1820" s="8" t="n"/>
      <c r="I1820" s="20" t="n"/>
      <c r="J1820" s="21">
        <f>IF(B1820="","",F1820+G1820)</f>
        <v/>
      </c>
      <c r="K1820" s="21">
        <f>IF(B1820="","",J1820*(Settings!$C$11+Settings!$C$12+Settings!$C$14)+IF(C1820="",Settings!$C$13,IF(COUNTIF($C$5:C1820,C1820)=1,Settings!$C$13,0))+E1820*Settings!$C$15+IF(H1820="Yes",J1820*Settings!$C$16,0))</f>
        <v/>
      </c>
      <c r="L1820" s="21">
        <f>IF(B1820="","",IF(Settings!$C$5="Yes",0,K1820*Settings!$C$17))</f>
        <v/>
      </c>
      <c r="M1820" s="21">
        <f>IF(B1820="","",E1820*IFERROR(VLOOKUP(D1820,Products!$B$5:$F$204,5,FALSE),0))</f>
        <v/>
      </c>
      <c r="N1820" s="21">
        <f>IF(B1820="","",J1820-K1820-L1820-M1820-I1820)</f>
        <v/>
      </c>
    </row>
    <row r="1821">
      <c r="B1821" s="11" t="n"/>
      <c r="C1821" s="8" t="n"/>
      <c r="D1821" s="8" t="n"/>
      <c r="E1821" s="8" t="n"/>
      <c r="F1821" s="20" t="n"/>
      <c r="G1821" s="20" t="n"/>
      <c r="H1821" s="8" t="n"/>
      <c r="I1821" s="20" t="n"/>
      <c r="J1821" s="21">
        <f>IF(B1821="","",F1821+G1821)</f>
        <v/>
      </c>
      <c r="K1821" s="21">
        <f>IF(B1821="","",J1821*(Settings!$C$11+Settings!$C$12+Settings!$C$14)+IF(C1821="",Settings!$C$13,IF(COUNTIF($C$5:C1821,C1821)=1,Settings!$C$13,0))+E1821*Settings!$C$15+IF(H1821="Yes",J1821*Settings!$C$16,0))</f>
        <v/>
      </c>
      <c r="L1821" s="21">
        <f>IF(B1821="","",IF(Settings!$C$5="Yes",0,K1821*Settings!$C$17))</f>
        <v/>
      </c>
      <c r="M1821" s="21">
        <f>IF(B1821="","",E1821*IFERROR(VLOOKUP(D1821,Products!$B$5:$F$204,5,FALSE),0))</f>
        <v/>
      </c>
      <c r="N1821" s="21">
        <f>IF(B1821="","",J1821-K1821-L1821-M1821-I1821)</f>
        <v/>
      </c>
    </row>
    <row r="1822">
      <c r="B1822" s="11" t="n"/>
      <c r="C1822" s="8" t="n"/>
      <c r="D1822" s="8" t="n"/>
      <c r="E1822" s="8" t="n"/>
      <c r="F1822" s="20" t="n"/>
      <c r="G1822" s="20" t="n"/>
      <c r="H1822" s="8" t="n"/>
      <c r="I1822" s="20" t="n"/>
      <c r="J1822" s="21">
        <f>IF(B1822="","",F1822+G1822)</f>
        <v/>
      </c>
      <c r="K1822" s="21">
        <f>IF(B1822="","",J1822*(Settings!$C$11+Settings!$C$12+Settings!$C$14)+IF(C1822="",Settings!$C$13,IF(COUNTIF($C$5:C1822,C1822)=1,Settings!$C$13,0))+E1822*Settings!$C$15+IF(H1822="Yes",J1822*Settings!$C$16,0))</f>
        <v/>
      </c>
      <c r="L1822" s="21">
        <f>IF(B1822="","",IF(Settings!$C$5="Yes",0,K1822*Settings!$C$17))</f>
        <v/>
      </c>
      <c r="M1822" s="21">
        <f>IF(B1822="","",E1822*IFERROR(VLOOKUP(D1822,Products!$B$5:$F$204,5,FALSE),0))</f>
        <v/>
      </c>
      <c r="N1822" s="21">
        <f>IF(B1822="","",J1822-K1822-L1822-M1822-I1822)</f>
        <v/>
      </c>
    </row>
    <row r="1823">
      <c r="B1823" s="11" t="n"/>
      <c r="C1823" s="8" t="n"/>
      <c r="D1823" s="8" t="n"/>
      <c r="E1823" s="8" t="n"/>
      <c r="F1823" s="20" t="n"/>
      <c r="G1823" s="20" t="n"/>
      <c r="H1823" s="8" t="n"/>
      <c r="I1823" s="20" t="n"/>
      <c r="J1823" s="21">
        <f>IF(B1823="","",F1823+G1823)</f>
        <v/>
      </c>
      <c r="K1823" s="21">
        <f>IF(B1823="","",J1823*(Settings!$C$11+Settings!$C$12+Settings!$C$14)+IF(C1823="",Settings!$C$13,IF(COUNTIF($C$5:C1823,C1823)=1,Settings!$C$13,0))+E1823*Settings!$C$15+IF(H1823="Yes",J1823*Settings!$C$16,0))</f>
        <v/>
      </c>
      <c r="L1823" s="21">
        <f>IF(B1823="","",IF(Settings!$C$5="Yes",0,K1823*Settings!$C$17))</f>
        <v/>
      </c>
      <c r="M1823" s="21">
        <f>IF(B1823="","",E1823*IFERROR(VLOOKUP(D1823,Products!$B$5:$F$204,5,FALSE),0))</f>
        <v/>
      </c>
      <c r="N1823" s="21">
        <f>IF(B1823="","",J1823-K1823-L1823-M1823-I1823)</f>
        <v/>
      </c>
    </row>
    <row r="1824">
      <c r="B1824" s="11" t="n"/>
      <c r="C1824" s="8" t="n"/>
      <c r="D1824" s="8" t="n"/>
      <c r="E1824" s="8" t="n"/>
      <c r="F1824" s="20" t="n"/>
      <c r="G1824" s="20" t="n"/>
      <c r="H1824" s="8" t="n"/>
      <c r="I1824" s="20" t="n"/>
      <c r="J1824" s="21">
        <f>IF(B1824="","",F1824+G1824)</f>
        <v/>
      </c>
      <c r="K1824" s="21">
        <f>IF(B1824="","",J1824*(Settings!$C$11+Settings!$C$12+Settings!$C$14)+IF(C1824="",Settings!$C$13,IF(COUNTIF($C$5:C1824,C1824)=1,Settings!$C$13,0))+E1824*Settings!$C$15+IF(H1824="Yes",J1824*Settings!$C$16,0))</f>
        <v/>
      </c>
      <c r="L1824" s="21">
        <f>IF(B1824="","",IF(Settings!$C$5="Yes",0,K1824*Settings!$C$17))</f>
        <v/>
      </c>
      <c r="M1824" s="21">
        <f>IF(B1824="","",E1824*IFERROR(VLOOKUP(D1824,Products!$B$5:$F$204,5,FALSE),0))</f>
        <v/>
      </c>
      <c r="N1824" s="21">
        <f>IF(B1824="","",J1824-K1824-L1824-M1824-I1824)</f>
        <v/>
      </c>
    </row>
    <row r="1825">
      <c r="B1825" s="11" t="n"/>
      <c r="C1825" s="8" t="n"/>
      <c r="D1825" s="8" t="n"/>
      <c r="E1825" s="8" t="n"/>
      <c r="F1825" s="20" t="n"/>
      <c r="G1825" s="20" t="n"/>
      <c r="H1825" s="8" t="n"/>
      <c r="I1825" s="20" t="n"/>
      <c r="J1825" s="21">
        <f>IF(B1825="","",F1825+G1825)</f>
        <v/>
      </c>
      <c r="K1825" s="21">
        <f>IF(B1825="","",J1825*(Settings!$C$11+Settings!$C$12+Settings!$C$14)+IF(C1825="",Settings!$C$13,IF(COUNTIF($C$5:C1825,C1825)=1,Settings!$C$13,0))+E1825*Settings!$C$15+IF(H1825="Yes",J1825*Settings!$C$16,0))</f>
        <v/>
      </c>
      <c r="L1825" s="21">
        <f>IF(B1825="","",IF(Settings!$C$5="Yes",0,K1825*Settings!$C$17))</f>
        <v/>
      </c>
      <c r="M1825" s="21">
        <f>IF(B1825="","",E1825*IFERROR(VLOOKUP(D1825,Products!$B$5:$F$204,5,FALSE),0))</f>
        <v/>
      </c>
      <c r="N1825" s="21">
        <f>IF(B1825="","",J1825-K1825-L1825-M1825-I1825)</f>
        <v/>
      </c>
    </row>
    <row r="1826">
      <c r="B1826" s="11" t="n"/>
      <c r="C1826" s="8" t="n"/>
      <c r="D1826" s="8" t="n"/>
      <c r="E1826" s="8" t="n"/>
      <c r="F1826" s="20" t="n"/>
      <c r="G1826" s="20" t="n"/>
      <c r="H1826" s="8" t="n"/>
      <c r="I1826" s="20" t="n"/>
      <c r="J1826" s="21">
        <f>IF(B1826="","",F1826+G1826)</f>
        <v/>
      </c>
      <c r="K1826" s="21">
        <f>IF(B1826="","",J1826*(Settings!$C$11+Settings!$C$12+Settings!$C$14)+IF(C1826="",Settings!$C$13,IF(COUNTIF($C$5:C1826,C1826)=1,Settings!$C$13,0))+E1826*Settings!$C$15+IF(H1826="Yes",J1826*Settings!$C$16,0))</f>
        <v/>
      </c>
      <c r="L1826" s="21">
        <f>IF(B1826="","",IF(Settings!$C$5="Yes",0,K1826*Settings!$C$17))</f>
        <v/>
      </c>
      <c r="M1826" s="21">
        <f>IF(B1826="","",E1826*IFERROR(VLOOKUP(D1826,Products!$B$5:$F$204,5,FALSE),0))</f>
        <v/>
      </c>
      <c r="N1826" s="21">
        <f>IF(B1826="","",J1826-K1826-L1826-M1826-I1826)</f>
        <v/>
      </c>
    </row>
    <row r="1827">
      <c r="B1827" s="11" t="n"/>
      <c r="C1827" s="8" t="n"/>
      <c r="D1827" s="8" t="n"/>
      <c r="E1827" s="8" t="n"/>
      <c r="F1827" s="20" t="n"/>
      <c r="G1827" s="20" t="n"/>
      <c r="H1827" s="8" t="n"/>
      <c r="I1827" s="20" t="n"/>
      <c r="J1827" s="21">
        <f>IF(B1827="","",F1827+G1827)</f>
        <v/>
      </c>
      <c r="K1827" s="21">
        <f>IF(B1827="","",J1827*(Settings!$C$11+Settings!$C$12+Settings!$C$14)+IF(C1827="",Settings!$C$13,IF(COUNTIF($C$5:C1827,C1827)=1,Settings!$C$13,0))+E1827*Settings!$C$15+IF(H1827="Yes",J1827*Settings!$C$16,0))</f>
        <v/>
      </c>
      <c r="L1827" s="21">
        <f>IF(B1827="","",IF(Settings!$C$5="Yes",0,K1827*Settings!$C$17))</f>
        <v/>
      </c>
      <c r="M1827" s="21">
        <f>IF(B1827="","",E1827*IFERROR(VLOOKUP(D1827,Products!$B$5:$F$204,5,FALSE),0))</f>
        <v/>
      </c>
      <c r="N1827" s="21">
        <f>IF(B1827="","",J1827-K1827-L1827-M1827-I1827)</f>
        <v/>
      </c>
    </row>
    <row r="1828">
      <c r="B1828" s="11" t="n"/>
      <c r="C1828" s="8" t="n"/>
      <c r="D1828" s="8" t="n"/>
      <c r="E1828" s="8" t="n"/>
      <c r="F1828" s="20" t="n"/>
      <c r="G1828" s="20" t="n"/>
      <c r="H1828" s="8" t="n"/>
      <c r="I1828" s="20" t="n"/>
      <c r="J1828" s="21">
        <f>IF(B1828="","",F1828+G1828)</f>
        <v/>
      </c>
      <c r="K1828" s="21">
        <f>IF(B1828="","",J1828*(Settings!$C$11+Settings!$C$12+Settings!$C$14)+IF(C1828="",Settings!$C$13,IF(COUNTIF($C$5:C1828,C1828)=1,Settings!$C$13,0))+E1828*Settings!$C$15+IF(H1828="Yes",J1828*Settings!$C$16,0))</f>
        <v/>
      </c>
      <c r="L1828" s="21">
        <f>IF(B1828="","",IF(Settings!$C$5="Yes",0,K1828*Settings!$C$17))</f>
        <v/>
      </c>
      <c r="M1828" s="21">
        <f>IF(B1828="","",E1828*IFERROR(VLOOKUP(D1828,Products!$B$5:$F$204,5,FALSE),0))</f>
        <v/>
      </c>
      <c r="N1828" s="21">
        <f>IF(B1828="","",J1828-K1828-L1828-M1828-I1828)</f>
        <v/>
      </c>
    </row>
    <row r="1829">
      <c r="B1829" s="11" t="n"/>
      <c r="C1829" s="8" t="n"/>
      <c r="D1829" s="8" t="n"/>
      <c r="E1829" s="8" t="n"/>
      <c r="F1829" s="20" t="n"/>
      <c r="G1829" s="20" t="n"/>
      <c r="H1829" s="8" t="n"/>
      <c r="I1829" s="20" t="n"/>
      <c r="J1829" s="21">
        <f>IF(B1829="","",F1829+G1829)</f>
        <v/>
      </c>
      <c r="K1829" s="21">
        <f>IF(B1829="","",J1829*(Settings!$C$11+Settings!$C$12+Settings!$C$14)+IF(C1829="",Settings!$C$13,IF(COUNTIF($C$5:C1829,C1829)=1,Settings!$C$13,0))+E1829*Settings!$C$15+IF(H1829="Yes",J1829*Settings!$C$16,0))</f>
        <v/>
      </c>
      <c r="L1829" s="21">
        <f>IF(B1829="","",IF(Settings!$C$5="Yes",0,K1829*Settings!$C$17))</f>
        <v/>
      </c>
      <c r="M1829" s="21">
        <f>IF(B1829="","",E1829*IFERROR(VLOOKUP(D1829,Products!$B$5:$F$204,5,FALSE),0))</f>
        <v/>
      </c>
      <c r="N1829" s="21">
        <f>IF(B1829="","",J1829-K1829-L1829-M1829-I1829)</f>
        <v/>
      </c>
    </row>
    <row r="1830">
      <c r="B1830" s="11" t="n"/>
      <c r="C1830" s="8" t="n"/>
      <c r="D1830" s="8" t="n"/>
      <c r="E1830" s="8" t="n"/>
      <c r="F1830" s="20" t="n"/>
      <c r="G1830" s="20" t="n"/>
      <c r="H1830" s="8" t="n"/>
      <c r="I1830" s="20" t="n"/>
      <c r="J1830" s="21">
        <f>IF(B1830="","",F1830+G1830)</f>
        <v/>
      </c>
      <c r="K1830" s="21">
        <f>IF(B1830="","",J1830*(Settings!$C$11+Settings!$C$12+Settings!$C$14)+IF(C1830="",Settings!$C$13,IF(COUNTIF($C$5:C1830,C1830)=1,Settings!$C$13,0))+E1830*Settings!$C$15+IF(H1830="Yes",J1830*Settings!$C$16,0))</f>
        <v/>
      </c>
      <c r="L1830" s="21">
        <f>IF(B1830="","",IF(Settings!$C$5="Yes",0,K1830*Settings!$C$17))</f>
        <v/>
      </c>
      <c r="M1830" s="21">
        <f>IF(B1830="","",E1830*IFERROR(VLOOKUP(D1830,Products!$B$5:$F$204,5,FALSE),0))</f>
        <v/>
      </c>
      <c r="N1830" s="21">
        <f>IF(B1830="","",J1830-K1830-L1830-M1830-I1830)</f>
        <v/>
      </c>
    </row>
    <row r="1831">
      <c r="B1831" s="11" t="n"/>
      <c r="C1831" s="8" t="n"/>
      <c r="D1831" s="8" t="n"/>
      <c r="E1831" s="8" t="n"/>
      <c r="F1831" s="20" t="n"/>
      <c r="G1831" s="20" t="n"/>
      <c r="H1831" s="8" t="n"/>
      <c r="I1831" s="20" t="n"/>
      <c r="J1831" s="21">
        <f>IF(B1831="","",F1831+G1831)</f>
        <v/>
      </c>
      <c r="K1831" s="21">
        <f>IF(B1831="","",J1831*(Settings!$C$11+Settings!$C$12+Settings!$C$14)+IF(C1831="",Settings!$C$13,IF(COUNTIF($C$5:C1831,C1831)=1,Settings!$C$13,0))+E1831*Settings!$C$15+IF(H1831="Yes",J1831*Settings!$C$16,0))</f>
        <v/>
      </c>
      <c r="L1831" s="21">
        <f>IF(B1831="","",IF(Settings!$C$5="Yes",0,K1831*Settings!$C$17))</f>
        <v/>
      </c>
      <c r="M1831" s="21">
        <f>IF(B1831="","",E1831*IFERROR(VLOOKUP(D1831,Products!$B$5:$F$204,5,FALSE),0))</f>
        <v/>
      </c>
      <c r="N1831" s="21">
        <f>IF(B1831="","",J1831-K1831-L1831-M1831-I1831)</f>
        <v/>
      </c>
    </row>
    <row r="1832">
      <c r="B1832" s="11" t="n"/>
      <c r="C1832" s="8" t="n"/>
      <c r="D1832" s="8" t="n"/>
      <c r="E1832" s="8" t="n"/>
      <c r="F1832" s="20" t="n"/>
      <c r="G1832" s="20" t="n"/>
      <c r="H1832" s="8" t="n"/>
      <c r="I1832" s="20" t="n"/>
      <c r="J1832" s="21">
        <f>IF(B1832="","",F1832+G1832)</f>
        <v/>
      </c>
      <c r="K1832" s="21">
        <f>IF(B1832="","",J1832*(Settings!$C$11+Settings!$C$12+Settings!$C$14)+IF(C1832="",Settings!$C$13,IF(COUNTIF($C$5:C1832,C1832)=1,Settings!$C$13,0))+E1832*Settings!$C$15+IF(H1832="Yes",J1832*Settings!$C$16,0))</f>
        <v/>
      </c>
      <c r="L1832" s="21">
        <f>IF(B1832="","",IF(Settings!$C$5="Yes",0,K1832*Settings!$C$17))</f>
        <v/>
      </c>
      <c r="M1832" s="21">
        <f>IF(B1832="","",E1832*IFERROR(VLOOKUP(D1832,Products!$B$5:$F$204,5,FALSE),0))</f>
        <v/>
      </c>
      <c r="N1832" s="21">
        <f>IF(B1832="","",J1832-K1832-L1832-M1832-I1832)</f>
        <v/>
      </c>
    </row>
    <row r="1833">
      <c r="B1833" s="11" t="n"/>
      <c r="C1833" s="8" t="n"/>
      <c r="D1833" s="8" t="n"/>
      <c r="E1833" s="8" t="n"/>
      <c r="F1833" s="20" t="n"/>
      <c r="G1833" s="20" t="n"/>
      <c r="H1833" s="8" t="n"/>
      <c r="I1833" s="20" t="n"/>
      <c r="J1833" s="21">
        <f>IF(B1833="","",F1833+G1833)</f>
        <v/>
      </c>
      <c r="K1833" s="21">
        <f>IF(B1833="","",J1833*(Settings!$C$11+Settings!$C$12+Settings!$C$14)+IF(C1833="",Settings!$C$13,IF(COUNTIF($C$5:C1833,C1833)=1,Settings!$C$13,0))+E1833*Settings!$C$15+IF(H1833="Yes",J1833*Settings!$C$16,0))</f>
        <v/>
      </c>
      <c r="L1833" s="21">
        <f>IF(B1833="","",IF(Settings!$C$5="Yes",0,K1833*Settings!$C$17))</f>
        <v/>
      </c>
      <c r="M1833" s="21">
        <f>IF(B1833="","",E1833*IFERROR(VLOOKUP(D1833,Products!$B$5:$F$204,5,FALSE),0))</f>
        <v/>
      </c>
      <c r="N1833" s="21">
        <f>IF(B1833="","",J1833-K1833-L1833-M1833-I1833)</f>
        <v/>
      </c>
    </row>
    <row r="1834">
      <c r="B1834" s="11" t="n"/>
      <c r="C1834" s="8" t="n"/>
      <c r="D1834" s="8" t="n"/>
      <c r="E1834" s="8" t="n"/>
      <c r="F1834" s="20" t="n"/>
      <c r="G1834" s="20" t="n"/>
      <c r="H1834" s="8" t="n"/>
      <c r="I1834" s="20" t="n"/>
      <c r="J1834" s="21">
        <f>IF(B1834="","",F1834+G1834)</f>
        <v/>
      </c>
      <c r="K1834" s="21">
        <f>IF(B1834="","",J1834*(Settings!$C$11+Settings!$C$12+Settings!$C$14)+IF(C1834="",Settings!$C$13,IF(COUNTIF($C$5:C1834,C1834)=1,Settings!$C$13,0))+E1834*Settings!$C$15+IF(H1834="Yes",J1834*Settings!$C$16,0))</f>
        <v/>
      </c>
      <c r="L1834" s="21">
        <f>IF(B1834="","",IF(Settings!$C$5="Yes",0,K1834*Settings!$C$17))</f>
        <v/>
      </c>
      <c r="M1834" s="21">
        <f>IF(B1834="","",E1834*IFERROR(VLOOKUP(D1834,Products!$B$5:$F$204,5,FALSE),0))</f>
        <v/>
      </c>
      <c r="N1834" s="21">
        <f>IF(B1834="","",J1834-K1834-L1834-M1834-I1834)</f>
        <v/>
      </c>
    </row>
    <row r="1835">
      <c r="B1835" s="11" t="n"/>
      <c r="C1835" s="8" t="n"/>
      <c r="D1835" s="8" t="n"/>
      <c r="E1835" s="8" t="n"/>
      <c r="F1835" s="20" t="n"/>
      <c r="G1835" s="20" t="n"/>
      <c r="H1835" s="8" t="n"/>
      <c r="I1835" s="20" t="n"/>
      <c r="J1835" s="21">
        <f>IF(B1835="","",F1835+G1835)</f>
        <v/>
      </c>
      <c r="K1835" s="21">
        <f>IF(B1835="","",J1835*(Settings!$C$11+Settings!$C$12+Settings!$C$14)+IF(C1835="",Settings!$C$13,IF(COUNTIF($C$5:C1835,C1835)=1,Settings!$C$13,0))+E1835*Settings!$C$15+IF(H1835="Yes",J1835*Settings!$C$16,0))</f>
        <v/>
      </c>
      <c r="L1835" s="21">
        <f>IF(B1835="","",IF(Settings!$C$5="Yes",0,K1835*Settings!$C$17))</f>
        <v/>
      </c>
      <c r="M1835" s="21">
        <f>IF(B1835="","",E1835*IFERROR(VLOOKUP(D1835,Products!$B$5:$F$204,5,FALSE),0))</f>
        <v/>
      </c>
      <c r="N1835" s="21">
        <f>IF(B1835="","",J1835-K1835-L1835-M1835-I1835)</f>
        <v/>
      </c>
    </row>
    <row r="1836">
      <c r="B1836" s="11" t="n"/>
      <c r="C1836" s="8" t="n"/>
      <c r="D1836" s="8" t="n"/>
      <c r="E1836" s="8" t="n"/>
      <c r="F1836" s="20" t="n"/>
      <c r="G1836" s="20" t="n"/>
      <c r="H1836" s="8" t="n"/>
      <c r="I1836" s="20" t="n"/>
      <c r="J1836" s="21">
        <f>IF(B1836="","",F1836+G1836)</f>
        <v/>
      </c>
      <c r="K1836" s="21">
        <f>IF(B1836="","",J1836*(Settings!$C$11+Settings!$C$12+Settings!$C$14)+IF(C1836="",Settings!$C$13,IF(COUNTIF($C$5:C1836,C1836)=1,Settings!$C$13,0))+E1836*Settings!$C$15+IF(H1836="Yes",J1836*Settings!$C$16,0))</f>
        <v/>
      </c>
      <c r="L1836" s="21">
        <f>IF(B1836="","",IF(Settings!$C$5="Yes",0,K1836*Settings!$C$17))</f>
        <v/>
      </c>
      <c r="M1836" s="21">
        <f>IF(B1836="","",E1836*IFERROR(VLOOKUP(D1836,Products!$B$5:$F$204,5,FALSE),0))</f>
        <v/>
      </c>
      <c r="N1836" s="21">
        <f>IF(B1836="","",J1836-K1836-L1836-M1836-I1836)</f>
        <v/>
      </c>
    </row>
    <row r="1837">
      <c r="B1837" s="11" t="n"/>
      <c r="C1837" s="8" t="n"/>
      <c r="D1837" s="8" t="n"/>
      <c r="E1837" s="8" t="n"/>
      <c r="F1837" s="20" t="n"/>
      <c r="G1837" s="20" t="n"/>
      <c r="H1837" s="8" t="n"/>
      <c r="I1837" s="20" t="n"/>
      <c r="J1837" s="21">
        <f>IF(B1837="","",F1837+G1837)</f>
        <v/>
      </c>
      <c r="K1837" s="21">
        <f>IF(B1837="","",J1837*(Settings!$C$11+Settings!$C$12+Settings!$C$14)+IF(C1837="",Settings!$C$13,IF(COUNTIF($C$5:C1837,C1837)=1,Settings!$C$13,0))+E1837*Settings!$C$15+IF(H1837="Yes",J1837*Settings!$C$16,0))</f>
        <v/>
      </c>
      <c r="L1837" s="21">
        <f>IF(B1837="","",IF(Settings!$C$5="Yes",0,K1837*Settings!$C$17))</f>
        <v/>
      </c>
      <c r="M1837" s="21">
        <f>IF(B1837="","",E1837*IFERROR(VLOOKUP(D1837,Products!$B$5:$F$204,5,FALSE),0))</f>
        <v/>
      </c>
      <c r="N1837" s="21">
        <f>IF(B1837="","",J1837-K1837-L1837-M1837-I1837)</f>
        <v/>
      </c>
    </row>
    <row r="1838">
      <c r="B1838" s="11" t="n"/>
      <c r="C1838" s="8" t="n"/>
      <c r="D1838" s="8" t="n"/>
      <c r="E1838" s="8" t="n"/>
      <c r="F1838" s="20" t="n"/>
      <c r="G1838" s="20" t="n"/>
      <c r="H1838" s="8" t="n"/>
      <c r="I1838" s="20" t="n"/>
      <c r="J1838" s="21">
        <f>IF(B1838="","",F1838+G1838)</f>
        <v/>
      </c>
      <c r="K1838" s="21">
        <f>IF(B1838="","",J1838*(Settings!$C$11+Settings!$C$12+Settings!$C$14)+IF(C1838="",Settings!$C$13,IF(COUNTIF($C$5:C1838,C1838)=1,Settings!$C$13,0))+E1838*Settings!$C$15+IF(H1838="Yes",J1838*Settings!$C$16,0))</f>
        <v/>
      </c>
      <c r="L1838" s="21">
        <f>IF(B1838="","",IF(Settings!$C$5="Yes",0,K1838*Settings!$C$17))</f>
        <v/>
      </c>
      <c r="M1838" s="21">
        <f>IF(B1838="","",E1838*IFERROR(VLOOKUP(D1838,Products!$B$5:$F$204,5,FALSE),0))</f>
        <v/>
      </c>
      <c r="N1838" s="21">
        <f>IF(B1838="","",J1838-K1838-L1838-M1838-I1838)</f>
        <v/>
      </c>
    </row>
    <row r="1839">
      <c r="B1839" s="11" t="n"/>
      <c r="C1839" s="8" t="n"/>
      <c r="D1839" s="8" t="n"/>
      <c r="E1839" s="8" t="n"/>
      <c r="F1839" s="20" t="n"/>
      <c r="G1839" s="20" t="n"/>
      <c r="H1839" s="8" t="n"/>
      <c r="I1839" s="20" t="n"/>
      <c r="J1839" s="21">
        <f>IF(B1839="","",F1839+G1839)</f>
        <v/>
      </c>
      <c r="K1839" s="21">
        <f>IF(B1839="","",J1839*(Settings!$C$11+Settings!$C$12+Settings!$C$14)+IF(C1839="",Settings!$C$13,IF(COUNTIF($C$5:C1839,C1839)=1,Settings!$C$13,0))+E1839*Settings!$C$15+IF(H1839="Yes",J1839*Settings!$C$16,0))</f>
        <v/>
      </c>
      <c r="L1839" s="21">
        <f>IF(B1839="","",IF(Settings!$C$5="Yes",0,K1839*Settings!$C$17))</f>
        <v/>
      </c>
      <c r="M1839" s="21">
        <f>IF(B1839="","",E1839*IFERROR(VLOOKUP(D1839,Products!$B$5:$F$204,5,FALSE),0))</f>
        <v/>
      </c>
      <c r="N1839" s="21">
        <f>IF(B1839="","",J1839-K1839-L1839-M1839-I1839)</f>
        <v/>
      </c>
    </row>
    <row r="1840">
      <c r="B1840" s="11" t="n"/>
      <c r="C1840" s="8" t="n"/>
      <c r="D1840" s="8" t="n"/>
      <c r="E1840" s="8" t="n"/>
      <c r="F1840" s="20" t="n"/>
      <c r="G1840" s="20" t="n"/>
      <c r="H1840" s="8" t="n"/>
      <c r="I1840" s="20" t="n"/>
      <c r="J1840" s="21">
        <f>IF(B1840="","",F1840+G1840)</f>
        <v/>
      </c>
      <c r="K1840" s="21">
        <f>IF(B1840="","",J1840*(Settings!$C$11+Settings!$C$12+Settings!$C$14)+IF(C1840="",Settings!$C$13,IF(COUNTIF($C$5:C1840,C1840)=1,Settings!$C$13,0))+E1840*Settings!$C$15+IF(H1840="Yes",J1840*Settings!$C$16,0))</f>
        <v/>
      </c>
      <c r="L1840" s="21">
        <f>IF(B1840="","",IF(Settings!$C$5="Yes",0,K1840*Settings!$C$17))</f>
        <v/>
      </c>
      <c r="M1840" s="21">
        <f>IF(B1840="","",E1840*IFERROR(VLOOKUP(D1840,Products!$B$5:$F$204,5,FALSE),0))</f>
        <v/>
      </c>
      <c r="N1840" s="21">
        <f>IF(B1840="","",J1840-K1840-L1840-M1840-I1840)</f>
        <v/>
      </c>
    </row>
    <row r="1841">
      <c r="B1841" s="11" t="n"/>
      <c r="C1841" s="8" t="n"/>
      <c r="D1841" s="8" t="n"/>
      <c r="E1841" s="8" t="n"/>
      <c r="F1841" s="20" t="n"/>
      <c r="G1841" s="20" t="n"/>
      <c r="H1841" s="8" t="n"/>
      <c r="I1841" s="20" t="n"/>
      <c r="J1841" s="21">
        <f>IF(B1841="","",F1841+G1841)</f>
        <v/>
      </c>
      <c r="K1841" s="21">
        <f>IF(B1841="","",J1841*(Settings!$C$11+Settings!$C$12+Settings!$C$14)+IF(C1841="",Settings!$C$13,IF(COUNTIF($C$5:C1841,C1841)=1,Settings!$C$13,0))+E1841*Settings!$C$15+IF(H1841="Yes",J1841*Settings!$C$16,0))</f>
        <v/>
      </c>
      <c r="L1841" s="21">
        <f>IF(B1841="","",IF(Settings!$C$5="Yes",0,K1841*Settings!$C$17))</f>
        <v/>
      </c>
      <c r="M1841" s="21">
        <f>IF(B1841="","",E1841*IFERROR(VLOOKUP(D1841,Products!$B$5:$F$204,5,FALSE),0))</f>
        <v/>
      </c>
      <c r="N1841" s="21">
        <f>IF(B1841="","",J1841-K1841-L1841-M1841-I1841)</f>
        <v/>
      </c>
    </row>
    <row r="1842">
      <c r="B1842" s="11" t="n"/>
      <c r="C1842" s="8" t="n"/>
      <c r="D1842" s="8" t="n"/>
      <c r="E1842" s="8" t="n"/>
      <c r="F1842" s="20" t="n"/>
      <c r="G1842" s="20" t="n"/>
      <c r="H1842" s="8" t="n"/>
      <c r="I1842" s="20" t="n"/>
      <c r="J1842" s="21">
        <f>IF(B1842="","",F1842+G1842)</f>
        <v/>
      </c>
      <c r="K1842" s="21">
        <f>IF(B1842="","",J1842*(Settings!$C$11+Settings!$C$12+Settings!$C$14)+IF(C1842="",Settings!$C$13,IF(COUNTIF($C$5:C1842,C1842)=1,Settings!$C$13,0))+E1842*Settings!$C$15+IF(H1842="Yes",J1842*Settings!$C$16,0))</f>
        <v/>
      </c>
      <c r="L1842" s="21">
        <f>IF(B1842="","",IF(Settings!$C$5="Yes",0,K1842*Settings!$C$17))</f>
        <v/>
      </c>
      <c r="M1842" s="21">
        <f>IF(B1842="","",E1842*IFERROR(VLOOKUP(D1842,Products!$B$5:$F$204,5,FALSE),0))</f>
        <v/>
      </c>
      <c r="N1842" s="21">
        <f>IF(B1842="","",J1842-K1842-L1842-M1842-I1842)</f>
        <v/>
      </c>
    </row>
    <row r="1843">
      <c r="B1843" s="11" t="n"/>
      <c r="C1843" s="8" t="n"/>
      <c r="D1843" s="8" t="n"/>
      <c r="E1843" s="8" t="n"/>
      <c r="F1843" s="20" t="n"/>
      <c r="G1843" s="20" t="n"/>
      <c r="H1843" s="8" t="n"/>
      <c r="I1843" s="20" t="n"/>
      <c r="J1843" s="21">
        <f>IF(B1843="","",F1843+G1843)</f>
        <v/>
      </c>
      <c r="K1843" s="21">
        <f>IF(B1843="","",J1843*(Settings!$C$11+Settings!$C$12+Settings!$C$14)+IF(C1843="",Settings!$C$13,IF(COUNTIF($C$5:C1843,C1843)=1,Settings!$C$13,0))+E1843*Settings!$C$15+IF(H1843="Yes",J1843*Settings!$C$16,0))</f>
        <v/>
      </c>
      <c r="L1843" s="21">
        <f>IF(B1843="","",IF(Settings!$C$5="Yes",0,K1843*Settings!$C$17))</f>
        <v/>
      </c>
      <c r="M1843" s="21">
        <f>IF(B1843="","",E1843*IFERROR(VLOOKUP(D1843,Products!$B$5:$F$204,5,FALSE),0))</f>
        <v/>
      </c>
      <c r="N1843" s="21">
        <f>IF(B1843="","",J1843-K1843-L1843-M1843-I1843)</f>
        <v/>
      </c>
    </row>
    <row r="1844">
      <c r="B1844" s="11" t="n"/>
      <c r="C1844" s="8" t="n"/>
      <c r="D1844" s="8" t="n"/>
      <c r="E1844" s="8" t="n"/>
      <c r="F1844" s="20" t="n"/>
      <c r="G1844" s="20" t="n"/>
      <c r="H1844" s="8" t="n"/>
      <c r="I1844" s="20" t="n"/>
      <c r="J1844" s="21">
        <f>IF(B1844="","",F1844+G1844)</f>
        <v/>
      </c>
      <c r="K1844" s="21">
        <f>IF(B1844="","",J1844*(Settings!$C$11+Settings!$C$12+Settings!$C$14)+IF(C1844="",Settings!$C$13,IF(COUNTIF($C$5:C1844,C1844)=1,Settings!$C$13,0))+E1844*Settings!$C$15+IF(H1844="Yes",J1844*Settings!$C$16,0))</f>
        <v/>
      </c>
      <c r="L1844" s="21">
        <f>IF(B1844="","",IF(Settings!$C$5="Yes",0,K1844*Settings!$C$17))</f>
        <v/>
      </c>
      <c r="M1844" s="21">
        <f>IF(B1844="","",E1844*IFERROR(VLOOKUP(D1844,Products!$B$5:$F$204,5,FALSE),0))</f>
        <v/>
      </c>
      <c r="N1844" s="21">
        <f>IF(B1844="","",J1844-K1844-L1844-M1844-I1844)</f>
        <v/>
      </c>
    </row>
    <row r="1845">
      <c r="B1845" s="11" t="n"/>
      <c r="C1845" s="8" t="n"/>
      <c r="D1845" s="8" t="n"/>
      <c r="E1845" s="8" t="n"/>
      <c r="F1845" s="20" t="n"/>
      <c r="G1845" s="20" t="n"/>
      <c r="H1845" s="8" t="n"/>
      <c r="I1845" s="20" t="n"/>
      <c r="J1845" s="21">
        <f>IF(B1845="","",F1845+G1845)</f>
        <v/>
      </c>
      <c r="K1845" s="21">
        <f>IF(B1845="","",J1845*(Settings!$C$11+Settings!$C$12+Settings!$C$14)+IF(C1845="",Settings!$C$13,IF(COUNTIF($C$5:C1845,C1845)=1,Settings!$C$13,0))+E1845*Settings!$C$15+IF(H1845="Yes",J1845*Settings!$C$16,0))</f>
        <v/>
      </c>
      <c r="L1845" s="21">
        <f>IF(B1845="","",IF(Settings!$C$5="Yes",0,K1845*Settings!$C$17))</f>
        <v/>
      </c>
      <c r="M1845" s="21">
        <f>IF(B1845="","",E1845*IFERROR(VLOOKUP(D1845,Products!$B$5:$F$204,5,FALSE),0))</f>
        <v/>
      </c>
      <c r="N1845" s="21">
        <f>IF(B1845="","",J1845-K1845-L1845-M1845-I1845)</f>
        <v/>
      </c>
    </row>
    <row r="1846">
      <c r="B1846" s="11" t="n"/>
      <c r="C1846" s="8" t="n"/>
      <c r="D1846" s="8" t="n"/>
      <c r="E1846" s="8" t="n"/>
      <c r="F1846" s="20" t="n"/>
      <c r="G1846" s="20" t="n"/>
      <c r="H1846" s="8" t="n"/>
      <c r="I1846" s="20" t="n"/>
      <c r="J1846" s="21">
        <f>IF(B1846="","",F1846+G1846)</f>
        <v/>
      </c>
      <c r="K1846" s="21">
        <f>IF(B1846="","",J1846*(Settings!$C$11+Settings!$C$12+Settings!$C$14)+IF(C1846="",Settings!$C$13,IF(COUNTIF($C$5:C1846,C1846)=1,Settings!$C$13,0))+E1846*Settings!$C$15+IF(H1846="Yes",J1846*Settings!$C$16,0))</f>
        <v/>
      </c>
      <c r="L1846" s="21">
        <f>IF(B1846="","",IF(Settings!$C$5="Yes",0,K1846*Settings!$C$17))</f>
        <v/>
      </c>
      <c r="M1846" s="21">
        <f>IF(B1846="","",E1846*IFERROR(VLOOKUP(D1846,Products!$B$5:$F$204,5,FALSE),0))</f>
        <v/>
      </c>
      <c r="N1846" s="21">
        <f>IF(B1846="","",J1846-K1846-L1846-M1846-I1846)</f>
        <v/>
      </c>
    </row>
    <row r="1847">
      <c r="B1847" s="11" t="n"/>
      <c r="C1847" s="8" t="n"/>
      <c r="D1847" s="8" t="n"/>
      <c r="E1847" s="8" t="n"/>
      <c r="F1847" s="20" t="n"/>
      <c r="G1847" s="20" t="n"/>
      <c r="H1847" s="8" t="n"/>
      <c r="I1847" s="20" t="n"/>
      <c r="J1847" s="21">
        <f>IF(B1847="","",F1847+G1847)</f>
        <v/>
      </c>
      <c r="K1847" s="21">
        <f>IF(B1847="","",J1847*(Settings!$C$11+Settings!$C$12+Settings!$C$14)+IF(C1847="",Settings!$C$13,IF(COUNTIF($C$5:C1847,C1847)=1,Settings!$C$13,0))+E1847*Settings!$C$15+IF(H1847="Yes",J1847*Settings!$C$16,0))</f>
        <v/>
      </c>
      <c r="L1847" s="21">
        <f>IF(B1847="","",IF(Settings!$C$5="Yes",0,K1847*Settings!$C$17))</f>
        <v/>
      </c>
      <c r="M1847" s="21">
        <f>IF(B1847="","",E1847*IFERROR(VLOOKUP(D1847,Products!$B$5:$F$204,5,FALSE),0))</f>
        <v/>
      </c>
      <c r="N1847" s="21">
        <f>IF(B1847="","",J1847-K1847-L1847-M1847-I1847)</f>
        <v/>
      </c>
    </row>
    <row r="1848">
      <c r="B1848" s="11" t="n"/>
      <c r="C1848" s="8" t="n"/>
      <c r="D1848" s="8" t="n"/>
      <c r="E1848" s="8" t="n"/>
      <c r="F1848" s="20" t="n"/>
      <c r="G1848" s="20" t="n"/>
      <c r="H1848" s="8" t="n"/>
      <c r="I1848" s="20" t="n"/>
      <c r="J1848" s="21">
        <f>IF(B1848="","",F1848+G1848)</f>
        <v/>
      </c>
      <c r="K1848" s="21">
        <f>IF(B1848="","",J1848*(Settings!$C$11+Settings!$C$12+Settings!$C$14)+IF(C1848="",Settings!$C$13,IF(COUNTIF($C$5:C1848,C1848)=1,Settings!$C$13,0))+E1848*Settings!$C$15+IF(H1848="Yes",J1848*Settings!$C$16,0))</f>
        <v/>
      </c>
      <c r="L1848" s="21">
        <f>IF(B1848="","",IF(Settings!$C$5="Yes",0,K1848*Settings!$C$17))</f>
        <v/>
      </c>
      <c r="M1848" s="21">
        <f>IF(B1848="","",E1848*IFERROR(VLOOKUP(D1848,Products!$B$5:$F$204,5,FALSE),0))</f>
        <v/>
      </c>
      <c r="N1848" s="21">
        <f>IF(B1848="","",J1848-K1848-L1848-M1848-I1848)</f>
        <v/>
      </c>
    </row>
    <row r="1849">
      <c r="B1849" s="11" t="n"/>
      <c r="C1849" s="8" t="n"/>
      <c r="D1849" s="8" t="n"/>
      <c r="E1849" s="8" t="n"/>
      <c r="F1849" s="20" t="n"/>
      <c r="G1849" s="20" t="n"/>
      <c r="H1849" s="8" t="n"/>
      <c r="I1849" s="20" t="n"/>
      <c r="J1849" s="21">
        <f>IF(B1849="","",F1849+G1849)</f>
        <v/>
      </c>
      <c r="K1849" s="21">
        <f>IF(B1849="","",J1849*(Settings!$C$11+Settings!$C$12+Settings!$C$14)+IF(C1849="",Settings!$C$13,IF(COUNTIF($C$5:C1849,C1849)=1,Settings!$C$13,0))+E1849*Settings!$C$15+IF(H1849="Yes",J1849*Settings!$C$16,0))</f>
        <v/>
      </c>
      <c r="L1849" s="21">
        <f>IF(B1849="","",IF(Settings!$C$5="Yes",0,K1849*Settings!$C$17))</f>
        <v/>
      </c>
      <c r="M1849" s="21">
        <f>IF(B1849="","",E1849*IFERROR(VLOOKUP(D1849,Products!$B$5:$F$204,5,FALSE),0))</f>
        <v/>
      </c>
      <c r="N1849" s="21">
        <f>IF(B1849="","",J1849-K1849-L1849-M1849-I1849)</f>
        <v/>
      </c>
    </row>
    <row r="1850">
      <c r="B1850" s="11" t="n"/>
      <c r="C1850" s="8" t="n"/>
      <c r="D1850" s="8" t="n"/>
      <c r="E1850" s="8" t="n"/>
      <c r="F1850" s="20" t="n"/>
      <c r="G1850" s="20" t="n"/>
      <c r="H1850" s="8" t="n"/>
      <c r="I1850" s="20" t="n"/>
      <c r="J1850" s="21">
        <f>IF(B1850="","",F1850+G1850)</f>
        <v/>
      </c>
      <c r="K1850" s="21">
        <f>IF(B1850="","",J1850*(Settings!$C$11+Settings!$C$12+Settings!$C$14)+IF(C1850="",Settings!$C$13,IF(COUNTIF($C$5:C1850,C1850)=1,Settings!$C$13,0))+E1850*Settings!$C$15+IF(H1850="Yes",J1850*Settings!$C$16,0))</f>
        <v/>
      </c>
      <c r="L1850" s="21">
        <f>IF(B1850="","",IF(Settings!$C$5="Yes",0,K1850*Settings!$C$17))</f>
        <v/>
      </c>
      <c r="M1850" s="21">
        <f>IF(B1850="","",E1850*IFERROR(VLOOKUP(D1850,Products!$B$5:$F$204,5,FALSE),0))</f>
        <v/>
      </c>
      <c r="N1850" s="21">
        <f>IF(B1850="","",J1850-K1850-L1850-M1850-I1850)</f>
        <v/>
      </c>
    </row>
    <row r="1851">
      <c r="B1851" s="11" t="n"/>
      <c r="C1851" s="8" t="n"/>
      <c r="D1851" s="8" t="n"/>
      <c r="E1851" s="8" t="n"/>
      <c r="F1851" s="20" t="n"/>
      <c r="G1851" s="20" t="n"/>
      <c r="H1851" s="8" t="n"/>
      <c r="I1851" s="20" t="n"/>
      <c r="J1851" s="21">
        <f>IF(B1851="","",F1851+G1851)</f>
        <v/>
      </c>
      <c r="K1851" s="21">
        <f>IF(B1851="","",J1851*(Settings!$C$11+Settings!$C$12+Settings!$C$14)+IF(C1851="",Settings!$C$13,IF(COUNTIF($C$5:C1851,C1851)=1,Settings!$C$13,0))+E1851*Settings!$C$15+IF(H1851="Yes",J1851*Settings!$C$16,0))</f>
        <v/>
      </c>
      <c r="L1851" s="21">
        <f>IF(B1851="","",IF(Settings!$C$5="Yes",0,K1851*Settings!$C$17))</f>
        <v/>
      </c>
      <c r="M1851" s="21">
        <f>IF(B1851="","",E1851*IFERROR(VLOOKUP(D1851,Products!$B$5:$F$204,5,FALSE),0))</f>
        <v/>
      </c>
      <c r="N1851" s="21">
        <f>IF(B1851="","",J1851-K1851-L1851-M1851-I1851)</f>
        <v/>
      </c>
    </row>
    <row r="1852">
      <c r="B1852" s="11" t="n"/>
      <c r="C1852" s="8" t="n"/>
      <c r="D1852" s="8" t="n"/>
      <c r="E1852" s="8" t="n"/>
      <c r="F1852" s="20" t="n"/>
      <c r="G1852" s="20" t="n"/>
      <c r="H1852" s="8" t="n"/>
      <c r="I1852" s="20" t="n"/>
      <c r="J1852" s="21">
        <f>IF(B1852="","",F1852+G1852)</f>
        <v/>
      </c>
      <c r="K1852" s="21">
        <f>IF(B1852="","",J1852*(Settings!$C$11+Settings!$C$12+Settings!$C$14)+IF(C1852="",Settings!$C$13,IF(COUNTIF($C$5:C1852,C1852)=1,Settings!$C$13,0))+E1852*Settings!$C$15+IF(H1852="Yes",J1852*Settings!$C$16,0))</f>
        <v/>
      </c>
      <c r="L1852" s="21">
        <f>IF(B1852="","",IF(Settings!$C$5="Yes",0,K1852*Settings!$C$17))</f>
        <v/>
      </c>
      <c r="M1852" s="21">
        <f>IF(B1852="","",E1852*IFERROR(VLOOKUP(D1852,Products!$B$5:$F$204,5,FALSE),0))</f>
        <v/>
      </c>
      <c r="N1852" s="21">
        <f>IF(B1852="","",J1852-K1852-L1852-M1852-I1852)</f>
        <v/>
      </c>
    </row>
    <row r="1853">
      <c r="B1853" s="11" t="n"/>
      <c r="C1853" s="8" t="n"/>
      <c r="D1853" s="8" t="n"/>
      <c r="E1853" s="8" t="n"/>
      <c r="F1853" s="20" t="n"/>
      <c r="G1853" s="20" t="n"/>
      <c r="H1853" s="8" t="n"/>
      <c r="I1853" s="20" t="n"/>
      <c r="J1853" s="21">
        <f>IF(B1853="","",F1853+G1853)</f>
        <v/>
      </c>
      <c r="K1853" s="21">
        <f>IF(B1853="","",J1853*(Settings!$C$11+Settings!$C$12+Settings!$C$14)+IF(C1853="",Settings!$C$13,IF(COUNTIF($C$5:C1853,C1853)=1,Settings!$C$13,0))+E1853*Settings!$C$15+IF(H1853="Yes",J1853*Settings!$C$16,0))</f>
        <v/>
      </c>
      <c r="L1853" s="21">
        <f>IF(B1853="","",IF(Settings!$C$5="Yes",0,K1853*Settings!$C$17))</f>
        <v/>
      </c>
      <c r="M1853" s="21">
        <f>IF(B1853="","",E1853*IFERROR(VLOOKUP(D1853,Products!$B$5:$F$204,5,FALSE),0))</f>
        <v/>
      </c>
      <c r="N1853" s="21">
        <f>IF(B1853="","",J1853-K1853-L1853-M1853-I1853)</f>
        <v/>
      </c>
    </row>
    <row r="1854">
      <c r="B1854" s="11" t="n"/>
      <c r="C1854" s="8" t="n"/>
      <c r="D1854" s="8" t="n"/>
      <c r="E1854" s="8" t="n"/>
      <c r="F1854" s="20" t="n"/>
      <c r="G1854" s="20" t="n"/>
      <c r="H1854" s="8" t="n"/>
      <c r="I1854" s="20" t="n"/>
      <c r="J1854" s="21">
        <f>IF(B1854="","",F1854+G1854)</f>
        <v/>
      </c>
      <c r="K1854" s="21">
        <f>IF(B1854="","",J1854*(Settings!$C$11+Settings!$C$12+Settings!$C$14)+IF(C1854="",Settings!$C$13,IF(COUNTIF($C$5:C1854,C1854)=1,Settings!$C$13,0))+E1854*Settings!$C$15+IF(H1854="Yes",J1854*Settings!$C$16,0))</f>
        <v/>
      </c>
      <c r="L1854" s="21">
        <f>IF(B1854="","",IF(Settings!$C$5="Yes",0,K1854*Settings!$C$17))</f>
        <v/>
      </c>
      <c r="M1854" s="21">
        <f>IF(B1854="","",E1854*IFERROR(VLOOKUP(D1854,Products!$B$5:$F$204,5,FALSE),0))</f>
        <v/>
      </c>
      <c r="N1854" s="21">
        <f>IF(B1854="","",J1854-K1854-L1854-M1854-I1854)</f>
        <v/>
      </c>
    </row>
    <row r="1855">
      <c r="B1855" s="11" t="n"/>
      <c r="C1855" s="8" t="n"/>
      <c r="D1855" s="8" t="n"/>
      <c r="E1855" s="8" t="n"/>
      <c r="F1855" s="20" t="n"/>
      <c r="G1855" s="20" t="n"/>
      <c r="H1855" s="8" t="n"/>
      <c r="I1855" s="20" t="n"/>
      <c r="J1855" s="21">
        <f>IF(B1855="","",F1855+G1855)</f>
        <v/>
      </c>
      <c r="K1855" s="21">
        <f>IF(B1855="","",J1855*(Settings!$C$11+Settings!$C$12+Settings!$C$14)+IF(C1855="",Settings!$C$13,IF(COUNTIF($C$5:C1855,C1855)=1,Settings!$C$13,0))+E1855*Settings!$C$15+IF(H1855="Yes",J1855*Settings!$C$16,0))</f>
        <v/>
      </c>
      <c r="L1855" s="21">
        <f>IF(B1855="","",IF(Settings!$C$5="Yes",0,K1855*Settings!$C$17))</f>
        <v/>
      </c>
      <c r="M1855" s="21">
        <f>IF(B1855="","",E1855*IFERROR(VLOOKUP(D1855,Products!$B$5:$F$204,5,FALSE),0))</f>
        <v/>
      </c>
      <c r="N1855" s="21">
        <f>IF(B1855="","",J1855-K1855-L1855-M1855-I1855)</f>
        <v/>
      </c>
    </row>
    <row r="1856">
      <c r="B1856" s="11" t="n"/>
      <c r="C1856" s="8" t="n"/>
      <c r="D1856" s="8" t="n"/>
      <c r="E1856" s="8" t="n"/>
      <c r="F1856" s="20" t="n"/>
      <c r="G1856" s="20" t="n"/>
      <c r="H1856" s="8" t="n"/>
      <c r="I1856" s="20" t="n"/>
      <c r="J1856" s="21">
        <f>IF(B1856="","",F1856+G1856)</f>
        <v/>
      </c>
      <c r="K1856" s="21">
        <f>IF(B1856="","",J1856*(Settings!$C$11+Settings!$C$12+Settings!$C$14)+IF(C1856="",Settings!$C$13,IF(COUNTIF($C$5:C1856,C1856)=1,Settings!$C$13,0))+E1856*Settings!$C$15+IF(H1856="Yes",J1856*Settings!$C$16,0))</f>
        <v/>
      </c>
      <c r="L1856" s="21">
        <f>IF(B1856="","",IF(Settings!$C$5="Yes",0,K1856*Settings!$C$17))</f>
        <v/>
      </c>
      <c r="M1856" s="21">
        <f>IF(B1856="","",E1856*IFERROR(VLOOKUP(D1856,Products!$B$5:$F$204,5,FALSE),0))</f>
        <v/>
      </c>
      <c r="N1856" s="21">
        <f>IF(B1856="","",J1856-K1856-L1856-M1856-I1856)</f>
        <v/>
      </c>
    </row>
    <row r="1857">
      <c r="B1857" s="11" t="n"/>
      <c r="C1857" s="8" t="n"/>
      <c r="D1857" s="8" t="n"/>
      <c r="E1857" s="8" t="n"/>
      <c r="F1857" s="20" t="n"/>
      <c r="G1857" s="20" t="n"/>
      <c r="H1857" s="8" t="n"/>
      <c r="I1857" s="20" t="n"/>
      <c r="J1857" s="21">
        <f>IF(B1857="","",F1857+G1857)</f>
        <v/>
      </c>
      <c r="K1857" s="21">
        <f>IF(B1857="","",J1857*(Settings!$C$11+Settings!$C$12+Settings!$C$14)+IF(C1857="",Settings!$C$13,IF(COUNTIF($C$5:C1857,C1857)=1,Settings!$C$13,0))+E1857*Settings!$C$15+IF(H1857="Yes",J1857*Settings!$C$16,0))</f>
        <v/>
      </c>
      <c r="L1857" s="21">
        <f>IF(B1857="","",IF(Settings!$C$5="Yes",0,K1857*Settings!$C$17))</f>
        <v/>
      </c>
      <c r="M1857" s="21">
        <f>IF(B1857="","",E1857*IFERROR(VLOOKUP(D1857,Products!$B$5:$F$204,5,FALSE),0))</f>
        <v/>
      </c>
      <c r="N1857" s="21">
        <f>IF(B1857="","",J1857-K1857-L1857-M1857-I1857)</f>
        <v/>
      </c>
    </row>
    <row r="1858">
      <c r="B1858" s="11" t="n"/>
      <c r="C1858" s="8" t="n"/>
      <c r="D1858" s="8" t="n"/>
      <c r="E1858" s="8" t="n"/>
      <c r="F1858" s="20" t="n"/>
      <c r="G1858" s="20" t="n"/>
      <c r="H1858" s="8" t="n"/>
      <c r="I1858" s="20" t="n"/>
      <c r="J1858" s="21">
        <f>IF(B1858="","",F1858+G1858)</f>
        <v/>
      </c>
      <c r="K1858" s="21">
        <f>IF(B1858="","",J1858*(Settings!$C$11+Settings!$C$12+Settings!$C$14)+IF(C1858="",Settings!$C$13,IF(COUNTIF($C$5:C1858,C1858)=1,Settings!$C$13,0))+E1858*Settings!$C$15+IF(H1858="Yes",J1858*Settings!$C$16,0))</f>
        <v/>
      </c>
      <c r="L1858" s="21">
        <f>IF(B1858="","",IF(Settings!$C$5="Yes",0,K1858*Settings!$C$17))</f>
        <v/>
      </c>
      <c r="M1858" s="21">
        <f>IF(B1858="","",E1858*IFERROR(VLOOKUP(D1858,Products!$B$5:$F$204,5,FALSE),0))</f>
        <v/>
      </c>
      <c r="N1858" s="21">
        <f>IF(B1858="","",J1858-K1858-L1858-M1858-I1858)</f>
        <v/>
      </c>
    </row>
    <row r="1859">
      <c r="B1859" s="11" t="n"/>
      <c r="C1859" s="8" t="n"/>
      <c r="D1859" s="8" t="n"/>
      <c r="E1859" s="8" t="n"/>
      <c r="F1859" s="20" t="n"/>
      <c r="G1859" s="20" t="n"/>
      <c r="H1859" s="8" t="n"/>
      <c r="I1859" s="20" t="n"/>
      <c r="J1859" s="21">
        <f>IF(B1859="","",F1859+G1859)</f>
        <v/>
      </c>
      <c r="K1859" s="21">
        <f>IF(B1859="","",J1859*(Settings!$C$11+Settings!$C$12+Settings!$C$14)+IF(C1859="",Settings!$C$13,IF(COUNTIF($C$5:C1859,C1859)=1,Settings!$C$13,0))+E1859*Settings!$C$15+IF(H1859="Yes",J1859*Settings!$C$16,0))</f>
        <v/>
      </c>
      <c r="L1859" s="21">
        <f>IF(B1859="","",IF(Settings!$C$5="Yes",0,K1859*Settings!$C$17))</f>
        <v/>
      </c>
      <c r="M1859" s="21">
        <f>IF(B1859="","",E1859*IFERROR(VLOOKUP(D1859,Products!$B$5:$F$204,5,FALSE),0))</f>
        <v/>
      </c>
      <c r="N1859" s="21">
        <f>IF(B1859="","",J1859-K1859-L1859-M1859-I1859)</f>
        <v/>
      </c>
    </row>
    <row r="1860">
      <c r="B1860" s="11" t="n"/>
      <c r="C1860" s="8" t="n"/>
      <c r="D1860" s="8" t="n"/>
      <c r="E1860" s="8" t="n"/>
      <c r="F1860" s="20" t="n"/>
      <c r="G1860" s="20" t="n"/>
      <c r="H1860" s="8" t="n"/>
      <c r="I1860" s="20" t="n"/>
      <c r="J1860" s="21">
        <f>IF(B1860="","",F1860+G1860)</f>
        <v/>
      </c>
      <c r="K1860" s="21">
        <f>IF(B1860="","",J1860*(Settings!$C$11+Settings!$C$12+Settings!$C$14)+IF(C1860="",Settings!$C$13,IF(COUNTIF($C$5:C1860,C1860)=1,Settings!$C$13,0))+E1860*Settings!$C$15+IF(H1860="Yes",J1860*Settings!$C$16,0))</f>
        <v/>
      </c>
      <c r="L1860" s="21">
        <f>IF(B1860="","",IF(Settings!$C$5="Yes",0,K1860*Settings!$C$17))</f>
        <v/>
      </c>
      <c r="M1860" s="21">
        <f>IF(B1860="","",E1860*IFERROR(VLOOKUP(D1860,Products!$B$5:$F$204,5,FALSE),0))</f>
        <v/>
      </c>
      <c r="N1860" s="21">
        <f>IF(B1860="","",J1860-K1860-L1860-M1860-I1860)</f>
        <v/>
      </c>
    </row>
    <row r="1861">
      <c r="B1861" s="11" t="n"/>
      <c r="C1861" s="8" t="n"/>
      <c r="D1861" s="8" t="n"/>
      <c r="E1861" s="8" t="n"/>
      <c r="F1861" s="20" t="n"/>
      <c r="G1861" s="20" t="n"/>
      <c r="H1861" s="8" t="n"/>
      <c r="I1861" s="20" t="n"/>
      <c r="J1861" s="21">
        <f>IF(B1861="","",F1861+G1861)</f>
        <v/>
      </c>
      <c r="K1861" s="21">
        <f>IF(B1861="","",J1861*(Settings!$C$11+Settings!$C$12+Settings!$C$14)+IF(C1861="",Settings!$C$13,IF(COUNTIF($C$5:C1861,C1861)=1,Settings!$C$13,0))+E1861*Settings!$C$15+IF(H1861="Yes",J1861*Settings!$C$16,0))</f>
        <v/>
      </c>
      <c r="L1861" s="21">
        <f>IF(B1861="","",IF(Settings!$C$5="Yes",0,K1861*Settings!$C$17))</f>
        <v/>
      </c>
      <c r="M1861" s="21">
        <f>IF(B1861="","",E1861*IFERROR(VLOOKUP(D1861,Products!$B$5:$F$204,5,FALSE),0))</f>
        <v/>
      </c>
      <c r="N1861" s="21">
        <f>IF(B1861="","",J1861-K1861-L1861-M1861-I1861)</f>
        <v/>
      </c>
    </row>
    <row r="1862">
      <c r="B1862" s="11" t="n"/>
      <c r="C1862" s="8" t="n"/>
      <c r="D1862" s="8" t="n"/>
      <c r="E1862" s="8" t="n"/>
      <c r="F1862" s="20" t="n"/>
      <c r="G1862" s="20" t="n"/>
      <c r="H1862" s="8" t="n"/>
      <c r="I1862" s="20" t="n"/>
      <c r="J1862" s="21">
        <f>IF(B1862="","",F1862+G1862)</f>
        <v/>
      </c>
      <c r="K1862" s="21">
        <f>IF(B1862="","",J1862*(Settings!$C$11+Settings!$C$12+Settings!$C$14)+IF(C1862="",Settings!$C$13,IF(COUNTIF($C$5:C1862,C1862)=1,Settings!$C$13,0))+E1862*Settings!$C$15+IF(H1862="Yes",J1862*Settings!$C$16,0))</f>
        <v/>
      </c>
      <c r="L1862" s="21">
        <f>IF(B1862="","",IF(Settings!$C$5="Yes",0,K1862*Settings!$C$17))</f>
        <v/>
      </c>
      <c r="M1862" s="21">
        <f>IF(B1862="","",E1862*IFERROR(VLOOKUP(D1862,Products!$B$5:$F$204,5,FALSE),0))</f>
        <v/>
      </c>
      <c r="N1862" s="21">
        <f>IF(B1862="","",J1862-K1862-L1862-M1862-I1862)</f>
        <v/>
      </c>
    </row>
    <row r="1863">
      <c r="B1863" s="11" t="n"/>
      <c r="C1863" s="8" t="n"/>
      <c r="D1863" s="8" t="n"/>
      <c r="E1863" s="8" t="n"/>
      <c r="F1863" s="20" t="n"/>
      <c r="G1863" s="20" t="n"/>
      <c r="H1863" s="8" t="n"/>
      <c r="I1863" s="20" t="n"/>
      <c r="J1863" s="21">
        <f>IF(B1863="","",F1863+G1863)</f>
        <v/>
      </c>
      <c r="K1863" s="21">
        <f>IF(B1863="","",J1863*(Settings!$C$11+Settings!$C$12+Settings!$C$14)+IF(C1863="",Settings!$C$13,IF(COUNTIF($C$5:C1863,C1863)=1,Settings!$C$13,0))+E1863*Settings!$C$15+IF(H1863="Yes",J1863*Settings!$C$16,0))</f>
        <v/>
      </c>
      <c r="L1863" s="21">
        <f>IF(B1863="","",IF(Settings!$C$5="Yes",0,K1863*Settings!$C$17))</f>
        <v/>
      </c>
      <c r="M1863" s="21">
        <f>IF(B1863="","",E1863*IFERROR(VLOOKUP(D1863,Products!$B$5:$F$204,5,FALSE),0))</f>
        <v/>
      </c>
      <c r="N1863" s="21">
        <f>IF(B1863="","",J1863-K1863-L1863-M1863-I1863)</f>
        <v/>
      </c>
    </row>
    <row r="1864">
      <c r="B1864" s="11" t="n"/>
      <c r="C1864" s="8" t="n"/>
      <c r="D1864" s="8" t="n"/>
      <c r="E1864" s="8" t="n"/>
      <c r="F1864" s="20" t="n"/>
      <c r="G1864" s="20" t="n"/>
      <c r="H1864" s="8" t="n"/>
      <c r="I1864" s="20" t="n"/>
      <c r="J1864" s="21">
        <f>IF(B1864="","",F1864+G1864)</f>
        <v/>
      </c>
      <c r="K1864" s="21">
        <f>IF(B1864="","",J1864*(Settings!$C$11+Settings!$C$12+Settings!$C$14)+IF(C1864="",Settings!$C$13,IF(COUNTIF($C$5:C1864,C1864)=1,Settings!$C$13,0))+E1864*Settings!$C$15+IF(H1864="Yes",J1864*Settings!$C$16,0))</f>
        <v/>
      </c>
      <c r="L1864" s="21">
        <f>IF(B1864="","",IF(Settings!$C$5="Yes",0,K1864*Settings!$C$17))</f>
        <v/>
      </c>
      <c r="M1864" s="21">
        <f>IF(B1864="","",E1864*IFERROR(VLOOKUP(D1864,Products!$B$5:$F$204,5,FALSE),0))</f>
        <v/>
      </c>
      <c r="N1864" s="21">
        <f>IF(B1864="","",J1864-K1864-L1864-M1864-I1864)</f>
        <v/>
      </c>
    </row>
    <row r="1865">
      <c r="B1865" s="11" t="n"/>
      <c r="C1865" s="8" t="n"/>
      <c r="D1865" s="8" t="n"/>
      <c r="E1865" s="8" t="n"/>
      <c r="F1865" s="20" t="n"/>
      <c r="G1865" s="20" t="n"/>
      <c r="H1865" s="8" t="n"/>
      <c r="I1865" s="20" t="n"/>
      <c r="J1865" s="21">
        <f>IF(B1865="","",F1865+G1865)</f>
        <v/>
      </c>
      <c r="K1865" s="21">
        <f>IF(B1865="","",J1865*(Settings!$C$11+Settings!$C$12+Settings!$C$14)+IF(C1865="",Settings!$C$13,IF(COUNTIF($C$5:C1865,C1865)=1,Settings!$C$13,0))+E1865*Settings!$C$15+IF(H1865="Yes",J1865*Settings!$C$16,0))</f>
        <v/>
      </c>
      <c r="L1865" s="21">
        <f>IF(B1865="","",IF(Settings!$C$5="Yes",0,K1865*Settings!$C$17))</f>
        <v/>
      </c>
      <c r="M1865" s="21">
        <f>IF(B1865="","",E1865*IFERROR(VLOOKUP(D1865,Products!$B$5:$F$204,5,FALSE),0))</f>
        <v/>
      </c>
      <c r="N1865" s="21">
        <f>IF(B1865="","",J1865-K1865-L1865-M1865-I1865)</f>
        <v/>
      </c>
    </row>
    <row r="1866">
      <c r="B1866" s="11" t="n"/>
      <c r="C1866" s="8" t="n"/>
      <c r="D1866" s="8" t="n"/>
      <c r="E1866" s="8" t="n"/>
      <c r="F1866" s="20" t="n"/>
      <c r="G1866" s="20" t="n"/>
      <c r="H1866" s="8" t="n"/>
      <c r="I1866" s="20" t="n"/>
      <c r="J1866" s="21">
        <f>IF(B1866="","",F1866+G1866)</f>
        <v/>
      </c>
      <c r="K1866" s="21">
        <f>IF(B1866="","",J1866*(Settings!$C$11+Settings!$C$12+Settings!$C$14)+IF(C1866="",Settings!$C$13,IF(COUNTIF($C$5:C1866,C1866)=1,Settings!$C$13,0))+E1866*Settings!$C$15+IF(H1866="Yes",J1866*Settings!$C$16,0))</f>
        <v/>
      </c>
      <c r="L1866" s="21">
        <f>IF(B1866="","",IF(Settings!$C$5="Yes",0,K1866*Settings!$C$17))</f>
        <v/>
      </c>
      <c r="M1866" s="21">
        <f>IF(B1866="","",E1866*IFERROR(VLOOKUP(D1866,Products!$B$5:$F$204,5,FALSE),0))</f>
        <v/>
      </c>
      <c r="N1866" s="21">
        <f>IF(B1866="","",J1866-K1866-L1866-M1866-I1866)</f>
        <v/>
      </c>
    </row>
    <row r="1867">
      <c r="B1867" s="11" t="n"/>
      <c r="C1867" s="8" t="n"/>
      <c r="D1867" s="8" t="n"/>
      <c r="E1867" s="8" t="n"/>
      <c r="F1867" s="20" t="n"/>
      <c r="G1867" s="20" t="n"/>
      <c r="H1867" s="8" t="n"/>
      <c r="I1867" s="20" t="n"/>
      <c r="J1867" s="21">
        <f>IF(B1867="","",F1867+G1867)</f>
        <v/>
      </c>
      <c r="K1867" s="21">
        <f>IF(B1867="","",J1867*(Settings!$C$11+Settings!$C$12+Settings!$C$14)+IF(C1867="",Settings!$C$13,IF(COUNTIF($C$5:C1867,C1867)=1,Settings!$C$13,0))+E1867*Settings!$C$15+IF(H1867="Yes",J1867*Settings!$C$16,0))</f>
        <v/>
      </c>
      <c r="L1867" s="21">
        <f>IF(B1867="","",IF(Settings!$C$5="Yes",0,K1867*Settings!$C$17))</f>
        <v/>
      </c>
      <c r="M1867" s="21">
        <f>IF(B1867="","",E1867*IFERROR(VLOOKUP(D1867,Products!$B$5:$F$204,5,FALSE),0))</f>
        <v/>
      </c>
      <c r="N1867" s="21">
        <f>IF(B1867="","",J1867-K1867-L1867-M1867-I1867)</f>
        <v/>
      </c>
    </row>
    <row r="1868">
      <c r="B1868" s="11" t="n"/>
      <c r="C1868" s="8" t="n"/>
      <c r="D1868" s="8" t="n"/>
      <c r="E1868" s="8" t="n"/>
      <c r="F1868" s="20" t="n"/>
      <c r="G1868" s="20" t="n"/>
      <c r="H1868" s="8" t="n"/>
      <c r="I1868" s="20" t="n"/>
      <c r="J1868" s="21">
        <f>IF(B1868="","",F1868+G1868)</f>
        <v/>
      </c>
      <c r="K1868" s="21">
        <f>IF(B1868="","",J1868*(Settings!$C$11+Settings!$C$12+Settings!$C$14)+IF(C1868="",Settings!$C$13,IF(COUNTIF($C$5:C1868,C1868)=1,Settings!$C$13,0))+E1868*Settings!$C$15+IF(H1868="Yes",J1868*Settings!$C$16,0))</f>
        <v/>
      </c>
      <c r="L1868" s="21">
        <f>IF(B1868="","",IF(Settings!$C$5="Yes",0,K1868*Settings!$C$17))</f>
        <v/>
      </c>
      <c r="M1868" s="21">
        <f>IF(B1868="","",E1868*IFERROR(VLOOKUP(D1868,Products!$B$5:$F$204,5,FALSE),0))</f>
        <v/>
      </c>
      <c r="N1868" s="21">
        <f>IF(B1868="","",J1868-K1868-L1868-M1868-I1868)</f>
        <v/>
      </c>
    </row>
    <row r="1869">
      <c r="B1869" s="11" t="n"/>
      <c r="C1869" s="8" t="n"/>
      <c r="D1869" s="8" t="n"/>
      <c r="E1869" s="8" t="n"/>
      <c r="F1869" s="20" t="n"/>
      <c r="G1869" s="20" t="n"/>
      <c r="H1869" s="8" t="n"/>
      <c r="I1869" s="20" t="n"/>
      <c r="J1869" s="21">
        <f>IF(B1869="","",F1869+G1869)</f>
        <v/>
      </c>
      <c r="K1869" s="21">
        <f>IF(B1869="","",J1869*(Settings!$C$11+Settings!$C$12+Settings!$C$14)+IF(C1869="",Settings!$C$13,IF(COUNTIF($C$5:C1869,C1869)=1,Settings!$C$13,0))+E1869*Settings!$C$15+IF(H1869="Yes",J1869*Settings!$C$16,0))</f>
        <v/>
      </c>
      <c r="L1869" s="21">
        <f>IF(B1869="","",IF(Settings!$C$5="Yes",0,K1869*Settings!$C$17))</f>
        <v/>
      </c>
      <c r="M1869" s="21">
        <f>IF(B1869="","",E1869*IFERROR(VLOOKUP(D1869,Products!$B$5:$F$204,5,FALSE),0))</f>
        <v/>
      </c>
      <c r="N1869" s="21">
        <f>IF(B1869="","",J1869-K1869-L1869-M1869-I1869)</f>
        <v/>
      </c>
    </row>
    <row r="1870">
      <c r="B1870" s="11" t="n"/>
      <c r="C1870" s="8" t="n"/>
      <c r="D1870" s="8" t="n"/>
      <c r="E1870" s="8" t="n"/>
      <c r="F1870" s="20" t="n"/>
      <c r="G1870" s="20" t="n"/>
      <c r="H1870" s="8" t="n"/>
      <c r="I1870" s="20" t="n"/>
      <c r="J1870" s="21">
        <f>IF(B1870="","",F1870+G1870)</f>
        <v/>
      </c>
      <c r="K1870" s="21">
        <f>IF(B1870="","",J1870*(Settings!$C$11+Settings!$C$12+Settings!$C$14)+IF(C1870="",Settings!$C$13,IF(COUNTIF($C$5:C1870,C1870)=1,Settings!$C$13,0))+E1870*Settings!$C$15+IF(H1870="Yes",J1870*Settings!$C$16,0))</f>
        <v/>
      </c>
      <c r="L1870" s="21">
        <f>IF(B1870="","",IF(Settings!$C$5="Yes",0,K1870*Settings!$C$17))</f>
        <v/>
      </c>
      <c r="M1870" s="21">
        <f>IF(B1870="","",E1870*IFERROR(VLOOKUP(D1870,Products!$B$5:$F$204,5,FALSE),0))</f>
        <v/>
      </c>
      <c r="N1870" s="21">
        <f>IF(B1870="","",J1870-K1870-L1870-M1870-I1870)</f>
        <v/>
      </c>
    </row>
    <row r="1871">
      <c r="B1871" s="11" t="n"/>
      <c r="C1871" s="8" t="n"/>
      <c r="D1871" s="8" t="n"/>
      <c r="E1871" s="8" t="n"/>
      <c r="F1871" s="20" t="n"/>
      <c r="G1871" s="20" t="n"/>
      <c r="H1871" s="8" t="n"/>
      <c r="I1871" s="20" t="n"/>
      <c r="J1871" s="21">
        <f>IF(B1871="","",F1871+G1871)</f>
        <v/>
      </c>
      <c r="K1871" s="21">
        <f>IF(B1871="","",J1871*(Settings!$C$11+Settings!$C$12+Settings!$C$14)+IF(C1871="",Settings!$C$13,IF(COUNTIF($C$5:C1871,C1871)=1,Settings!$C$13,0))+E1871*Settings!$C$15+IF(H1871="Yes",J1871*Settings!$C$16,0))</f>
        <v/>
      </c>
      <c r="L1871" s="21">
        <f>IF(B1871="","",IF(Settings!$C$5="Yes",0,K1871*Settings!$C$17))</f>
        <v/>
      </c>
      <c r="M1871" s="21">
        <f>IF(B1871="","",E1871*IFERROR(VLOOKUP(D1871,Products!$B$5:$F$204,5,FALSE),0))</f>
        <v/>
      </c>
      <c r="N1871" s="21">
        <f>IF(B1871="","",J1871-K1871-L1871-M1871-I1871)</f>
        <v/>
      </c>
    </row>
    <row r="1872">
      <c r="B1872" s="11" t="n"/>
      <c r="C1872" s="8" t="n"/>
      <c r="D1872" s="8" t="n"/>
      <c r="E1872" s="8" t="n"/>
      <c r="F1872" s="20" t="n"/>
      <c r="G1872" s="20" t="n"/>
      <c r="H1872" s="8" t="n"/>
      <c r="I1872" s="20" t="n"/>
      <c r="J1872" s="21">
        <f>IF(B1872="","",F1872+G1872)</f>
        <v/>
      </c>
      <c r="K1872" s="21">
        <f>IF(B1872="","",J1872*(Settings!$C$11+Settings!$C$12+Settings!$C$14)+IF(C1872="",Settings!$C$13,IF(COUNTIF($C$5:C1872,C1872)=1,Settings!$C$13,0))+E1872*Settings!$C$15+IF(H1872="Yes",J1872*Settings!$C$16,0))</f>
        <v/>
      </c>
      <c r="L1872" s="21">
        <f>IF(B1872="","",IF(Settings!$C$5="Yes",0,K1872*Settings!$C$17))</f>
        <v/>
      </c>
      <c r="M1872" s="21">
        <f>IF(B1872="","",E1872*IFERROR(VLOOKUP(D1872,Products!$B$5:$F$204,5,FALSE),0))</f>
        <v/>
      </c>
      <c r="N1872" s="21">
        <f>IF(B1872="","",J1872-K1872-L1872-M1872-I1872)</f>
        <v/>
      </c>
    </row>
    <row r="1873">
      <c r="B1873" s="11" t="n"/>
      <c r="C1873" s="8" t="n"/>
      <c r="D1873" s="8" t="n"/>
      <c r="E1873" s="8" t="n"/>
      <c r="F1873" s="20" t="n"/>
      <c r="G1873" s="20" t="n"/>
      <c r="H1873" s="8" t="n"/>
      <c r="I1873" s="20" t="n"/>
      <c r="J1873" s="21">
        <f>IF(B1873="","",F1873+G1873)</f>
        <v/>
      </c>
      <c r="K1873" s="21">
        <f>IF(B1873="","",J1873*(Settings!$C$11+Settings!$C$12+Settings!$C$14)+IF(C1873="",Settings!$C$13,IF(COUNTIF($C$5:C1873,C1873)=1,Settings!$C$13,0))+E1873*Settings!$C$15+IF(H1873="Yes",J1873*Settings!$C$16,0))</f>
        <v/>
      </c>
      <c r="L1873" s="21">
        <f>IF(B1873="","",IF(Settings!$C$5="Yes",0,K1873*Settings!$C$17))</f>
        <v/>
      </c>
      <c r="M1873" s="21">
        <f>IF(B1873="","",E1873*IFERROR(VLOOKUP(D1873,Products!$B$5:$F$204,5,FALSE),0))</f>
        <v/>
      </c>
      <c r="N1873" s="21">
        <f>IF(B1873="","",J1873-K1873-L1873-M1873-I1873)</f>
        <v/>
      </c>
    </row>
    <row r="1874">
      <c r="B1874" s="11" t="n"/>
      <c r="C1874" s="8" t="n"/>
      <c r="D1874" s="8" t="n"/>
      <c r="E1874" s="8" t="n"/>
      <c r="F1874" s="20" t="n"/>
      <c r="G1874" s="20" t="n"/>
      <c r="H1874" s="8" t="n"/>
      <c r="I1874" s="20" t="n"/>
      <c r="J1874" s="21">
        <f>IF(B1874="","",F1874+G1874)</f>
        <v/>
      </c>
      <c r="K1874" s="21">
        <f>IF(B1874="","",J1874*(Settings!$C$11+Settings!$C$12+Settings!$C$14)+IF(C1874="",Settings!$C$13,IF(COUNTIF($C$5:C1874,C1874)=1,Settings!$C$13,0))+E1874*Settings!$C$15+IF(H1874="Yes",J1874*Settings!$C$16,0))</f>
        <v/>
      </c>
      <c r="L1874" s="21">
        <f>IF(B1874="","",IF(Settings!$C$5="Yes",0,K1874*Settings!$C$17))</f>
        <v/>
      </c>
      <c r="M1874" s="21">
        <f>IF(B1874="","",E1874*IFERROR(VLOOKUP(D1874,Products!$B$5:$F$204,5,FALSE),0))</f>
        <v/>
      </c>
      <c r="N1874" s="21">
        <f>IF(B1874="","",J1874-K1874-L1874-M1874-I1874)</f>
        <v/>
      </c>
    </row>
    <row r="1875">
      <c r="B1875" s="11" t="n"/>
      <c r="C1875" s="8" t="n"/>
      <c r="D1875" s="8" t="n"/>
      <c r="E1875" s="8" t="n"/>
      <c r="F1875" s="20" t="n"/>
      <c r="G1875" s="20" t="n"/>
      <c r="H1875" s="8" t="n"/>
      <c r="I1875" s="20" t="n"/>
      <c r="J1875" s="21">
        <f>IF(B1875="","",F1875+G1875)</f>
        <v/>
      </c>
      <c r="K1875" s="21">
        <f>IF(B1875="","",J1875*(Settings!$C$11+Settings!$C$12+Settings!$C$14)+IF(C1875="",Settings!$C$13,IF(COUNTIF($C$5:C1875,C1875)=1,Settings!$C$13,0))+E1875*Settings!$C$15+IF(H1875="Yes",J1875*Settings!$C$16,0))</f>
        <v/>
      </c>
      <c r="L1875" s="21">
        <f>IF(B1875="","",IF(Settings!$C$5="Yes",0,K1875*Settings!$C$17))</f>
        <v/>
      </c>
      <c r="M1875" s="21">
        <f>IF(B1875="","",E1875*IFERROR(VLOOKUP(D1875,Products!$B$5:$F$204,5,FALSE),0))</f>
        <v/>
      </c>
      <c r="N1875" s="21">
        <f>IF(B1875="","",J1875-K1875-L1875-M1875-I1875)</f>
        <v/>
      </c>
    </row>
    <row r="1876">
      <c r="B1876" s="11" t="n"/>
      <c r="C1876" s="8" t="n"/>
      <c r="D1876" s="8" t="n"/>
      <c r="E1876" s="8" t="n"/>
      <c r="F1876" s="20" t="n"/>
      <c r="G1876" s="20" t="n"/>
      <c r="H1876" s="8" t="n"/>
      <c r="I1876" s="20" t="n"/>
      <c r="J1876" s="21">
        <f>IF(B1876="","",F1876+G1876)</f>
        <v/>
      </c>
      <c r="K1876" s="21">
        <f>IF(B1876="","",J1876*(Settings!$C$11+Settings!$C$12+Settings!$C$14)+IF(C1876="",Settings!$C$13,IF(COUNTIF($C$5:C1876,C1876)=1,Settings!$C$13,0))+E1876*Settings!$C$15+IF(H1876="Yes",J1876*Settings!$C$16,0))</f>
        <v/>
      </c>
      <c r="L1876" s="21">
        <f>IF(B1876="","",IF(Settings!$C$5="Yes",0,K1876*Settings!$C$17))</f>
        <v/>
      </c>
      <c r="M1876" s="21">
        <f>IF(B1876="","",E1876*IFERROR(VLOOKUP(D1876,Products!$B$5:$F$204,5,FALSE),0))</f>
        <v/>
      </c>
      <c r="N1876" s="21">
        <f>IF(B1876="","",J1876-K1876-L1876-M1876-I1876)</f>
        <v/>
      </c>
    </row>
    <row r="1877">
      <c r="B1877" s="11" t="n"/>
      <c r="C1877" s="8" t="n"/>
      <c r="D1877" s="8" t="n"/>
      <c r="E1877" s="8" t="n"/>
      <c r="F1877" s="20" t="n"/>
      <c r="G1877" s="20" t="n"/>
      <c r="H1877" s="8" t="n"/>
      <c r="I1877" s="20" t="n"/>
      <c r="J1877" s="21">
        <f>IF(B1877="","",F1877+G1877)</f>
        <v/>
      </c>
      <c r="K1877" s="21">
        <f>IF(B1877="","",J1877*(Settings!$C$11+Settings!$C$12+Settings!$C$14)+IF(C1877="",Settings!$C$13,IF(COUNTIF($C$5:C1877,C1877)=1,Settings!$C$13,0))+E1877*Settings!$C$15+IF(H1877="Yes",J1877*Settings!$C$16,0))</f>
        <v/>
      </c>
      <c r="L1877" s="21">
        <f>IF(B1877="","",IF(Settings!$C$5="Yes",0,K1877*Settings!$C$17))</f>
        <v/>
      </c>
      <c r="M1877" s="21">
        <f>IF(B1877="","",E1877*IFERROR(VLOOKUP(D1877,Products!$B$5:$F$204,5,FALSE),0))</f>
        <v/>
      </c>
      <c r="N1877" s="21">
        <f>IF(B1877="","",J1877-K1877-L1877-M1877-I1877)</f>
        <v/>
      </c>
    </row>
    <row r="1878">
      <c r="B1878" s="11" t="n"/>
      <c r="C1878" s="8" t="n"/>
      <c r="D1878" s="8" t="n"/>
      <c r="E1878" s="8" t="n"/>
      <c r="F1878" s="20" t="n"/>
      <c r="G1878" s="20" t="n"/>
      <c r="H1878" s="8" t="n"/>
      <c r="I1878" s="20" t="n"/>
      <c r="J1878" s="21">
        <f>IF(B1878="","",F1878+G1878)</f>
        <v/>
      </c>
      <c r="K1878" s="21">
        <f>IF(B1878="","",J1878*(Settings!$C$11+Settings!$C$12+Settings!$C$14)+IF(C1878="",Settings!$C$13,IF(COUNTIF($C$5:C1878,C1878)=1,Settings!$C$13,0))+E1878*Settings!$C$15+IF(H1878="Yes",J1878*Settings!$C$16,0))</f>
        <v/>
      </c>
      <c r="L1878" s="21">
        <f>IF(B1878="","",IF(Settings!$C$5="Yes",0,K1878*Settings!$C$17))</f>
        <v/>
      </c>
      <c r="M1878" s="21">
        <f>IF(B1878="","",E1878*IFERROR(VLOOKUP(D1878,Products!$B$5:$F$204,5,FALSE),0))</f>
        <v/>
      </c>
      <c r="N1878" s="21">
        <f>IF(B1878="","",J1878-K1878-L1878-M1878-I1878)</f>
        <v/>
      </c>
    </row>
    <row r="1879">
      <c r="B1879" s="11" t="n"/>
      <c r="C1879" s="8" t="n"/>
      <c r="D1879" s="8" t="n"/>
      <c r="E1879" s="8" t="n"/>
      <c r="F1879" s="20" t="n"/>
      <c r="G1879" s="20" t="n"/>
      <c r="H1879" s="8" t="n"/>
      <c r="I1879" s="20" t="n"/>
      <c r="J1879" s="21">
        <f>IF(B1879="","",F1879+G1879)</f>
        <v/>
      </c>
      <c r="K1879" s="21">
        <f>IF(B1879="","",J1879*(Settings!$C$11+Settings!$C$12+Settings!$C$14)+IF(C1879="",Settings!$C$13,IF(COUNTIF($C$5:C1879,C1879)=1,Settings!$C$13,0))+E1879*Settings!$C$15+IF(H1879="Yes",J1879*Settings!$C$16,0))</f>
        <v/>
      </c>
      <c r="L1879" s="21">
        <f>IF(B1879="","",IF(Settings!$C$5="Yes",0,K1879*Settings!$C$17))</f>
        <v/>
      </c>
      <c r="M1879" s="21">
        <f>IF(B1879="","",E1879*IFERROR(VLOOKUP(D1879,Products!$B$5:$F$204,5,FALSE),0))</f>
        <v/>
      </c>
      <c r="N1879" s="21">
        <f>IF(B1879="","",J1879-K1879-L1879-M1879-I1879)</f>
        <v/>
      </c>
    </row>
    <row r="1880">
      <c r="B1880" s="11" t="n"/>
      <c r="C1880" s="8" t="n"/>
      <c r="D1880" s="8" t="n"/>
      <c r="E1880" s="8" t="n"/>
      <c r="F1880" s="20" t="n"/>
      <c r="G1880" s="20" t="n"/>
      <c r="H1880" s="8" t="n"/>
      <c r="I1880" s="20" t="n"/>
      <c r="J1880" s="21">
        <f>IF(B1880="","",F1880+G1880)</f>
        <v/>
      </c>
      <c r="K1880" s="21">
        <f>IF(B1880="","",J1880*(Settings!$C$11+Settings!$C$12+Settings!$C$14)+IF(C1880="",Settings!$C$13,IF(COUNTIF($C$5:C1880,C1880)=1,Settings!$C$13,0))+E1880*Settings!$C$15+IF(H1880="Yes",J1880*Settings!$C$16,0))</f>
        <v/>
      </c>
      <c r="L1880" s="21">
        <f>IF(B1880="","",IF(Settings!$C$5="Yes",0,K1880*Settings!$C$17))</f>
        <v/>
      </c>
      <c r="M1880" s="21">
        <f>IF(B1880="","",E1880*IFERROR(VLOOKUP(D1880,Products!$B$5:$F$204,5,FALSE),0))</f>
        <v/>
      </c>
      <c r="N1880" s="21">
        <f>IF(B1880="","",J1880-K1880-L1880-M1880-I1880)</f>
        <v/>
      </c>
    </row>
    <row r="1881">
      <c r="B1881" s="11" t="n"/>
      <c r="C1881" s="8" t="n"/>
      <c r="D1881" s="8" t="n"/>
      <c r="E1881" s="8" t="n"/>
      <c r="F1881" s="20" t="n"/>
      <c r="G1881" s="20" t="n"/>
      <c r="H1881" s="8" t="n"/>
      <c r="I1881" s="20" t="n"/>
      <c r="J1881" s="21">
        <f>IF(B1881="","",F1881+G1881)</f>
        <v/>
      </c>
      <c r="K1881" s="21">
        <f>IF(B1881="","",J1881*(Settings!$C$11+Settings!$C$12+Settings!$C$14)+IF(C1881="",Settings!$C$13,IF(COUNTIF($C$5:C1881,C1881)=1,Settings!$C$13,0))+E1881*Settings!$C$15+IF(H1881="Yes",J1881*Settings!$C$16,0))</f>
        <v/>
      </c>
      <c r="L1881" s="21">
        <f>IF(B1881="","",IF(Settings!$C$5="Yes",0,K1881*Settings!$C$17))</f>
        <v/>
      </c>
      <c r="M1881" s="21">
        <f>IF(B1881="","",E1881*IFERROR(VLOOKUP(D1881,Products!$B$5:$F$204,5,FALSE),0))</f>
        <v/>
      </c>
      <c r="N1881" s="21">
        <f>IF(B1881="","",J1881-K1881-L1881-M1881-I1881)</f>
        <v/>
      </c>
    </row>
    <row r="1882">
      <c r="B1882" s="11" t="n"/>
      <c r="C1882" s="8" t="n"/>
      <c r="D1882" s="8" t="n"/>
      <c r="E1882" s="8" t="n"/>
      <c r="F1882" s="20" t="n"/>
      <c r="G1882" s="20" t="n"/>
      <c r="H1882" s="8" t="n"/>
      <c r="I1882" s="20" t="n"/>
      <c r="J1882" s="21">
        <f>IF(B1882="","",F1882+G1882)</f>
        <v/>
      </c>
      <c r="K1882" s="21">
        <f>IF(B1882="","",J1882*(Settings!$C$11+Settings!$C$12+Settings!$C$14)+IF(C1882="",Settings!$C$13,IF(COUNTIF($C$5:C1882,C1882)=1,Settings!$C$13,0))+E1882*Settings!$C$15+IF(H1882="Yes",J1882*Settings!$C$16,0))</f>
        <v/>
      </c>
      <c r="L1882" s="21">
        <f>IF(B1882="","",IF(Settings!$C$5="Yes",0,K1882*Settings!$C$17))</f>
        <v/>
      </c>
      <c r="M1882" s="21">
        <f>IF(B1882="","",E1882*IFERROR(VLOOKUP(D1882,Products!$B$5:$F$204,5,FALSE),0))</f>
        <v/>
      </c>
      <c r="N1882" s="21">
        <f>IF(B1882="","",J1882-K1882-L1882-M1882-I1882)</f>
        <v/>
      </c>
    </row>
    <row r="1883">
      <c r="B1883" s="11" t="n"/>
      <c r="C1883" s="8" t="n"/>
      <c r="D1883" s="8" t="n"/>
      <c r="E1883" s="8" t="n"/>
      <c r="F1883" s="20" t="n"/>
      <c r="G1883" s="20" t="n"/>
      <c r="H1883" s="8" t="n"/>
      <c r="I1883" s="20" t="n"/>
      <c r="J1883" s="21">
        <f>IF(B1883="","",F1883+G1883)</f>
        <v/>
      </c>
      <c r="K1883" s="21">
        <f>IF(B1883="","",J1883*(Settings!$C$11+Settings!$C$12+Settings!$C$14)+IF(C1883="",Settings!$C$13,IF(COUNTIF($C$5:C1883,C1883)=1,Settings!$C$13,0))+E1883*Settings!$C$15+IF(H1883="Yes",J1883*Settings!$C$16,0))</f>
        <v/>
      </c>
      <c r="L1883" s="21">
        <f>IF(B1883="","",IF(Settings!$C$5="Yes",0,K1883*Settings!$C$17))</f>
        <v/>
      </c>
      <c r="M1883" s="21">
        <f>IF(B1883="","",E1883*IFERROR(VLOOKUP(D1883,Products!$B$5:$F$204,5,FALSE),0))</f>
        <v/>
      </c>
      <c r="N1883" s="21">
        <f>IF(B1883="","",J1883-K1883-L1883-M1883-I1883)</f>
        <v/>
      </c>
    </row>
    <row r="1884">
      <c r="B1884" s="11" t="n"/>
      <c r="C1884" s="8" t="n"/>
      <c r="D1884" s="8" t="n"/>
      <c r="E1884" s="8" t="n"/>
      <c r="F1884" s="20" t="n"/>
      <c r="G1884" s="20" t="n"/>
      <c r="H1884" s="8" t="n"/>
      <c r="I1884" s="20" t="n"/>
      <c r="J1884" s="21">
        <f>IF(B1884="","",F1884+G1884)</f>
        <v/>
      </c>
      <c r="K1884" s="21">
        <f>IF(B1884="","",J1884*(Settings!$C$11+Settings!$C$12+Settings!$C$14)+IF(C1884="",Settings!$C$13,IF(COUNTIF($C$5:C1884,C1884)=1,Settings!$C$13,0))+E1884*Settings!$C$15+IF(H1884="Yes",J1884*Settings!$C$16,0))</f>
        <v/>
      </c>
      <c r="L1884" s="21">
        <f>IF(B1884="","",IF(Settings!$C$5="Yes",0,K1884*Settings!$C$17))</f>
        <v/>
      </c>
      <c r="M1884" s="21">
        <f>IF(B1884="","",E1884*IFERROR(VLOOKUP(D1884,Products!$B$5:$F$204,5,FALSE),0))</f>
        <v/>
      </c>
      <c r="N1884" s="21">
        <f>IF(B1884="","",J1884-K1884-L1884-M1884-I1884)</f>
        <v/>
      </c>
    </row>
    <row r="1885">
      <c r="B1885" s="11" t="n"/>
      <c r="C1885" s="8" t="n"/>
      <c r="D1885" s="8" t="n"/>
      <c r="E1885" s="8" t="n"/>
      <c r="F1885" s="20" t="n"/>
      <c r="G1885" s="20" t="n"/>
      <c r="H1885" s="8" t="n"/>
      <c r="I1885" s="20" t="n"/>
      <c r="J1885" s="21">
        <f>IF(B1885="","",F1885+G1885)</f>
        <v/>
      </c>
      <c r="K1885" s="21">
        <f>IF(B1885="","",J1885*(Settings!$C$11+Settings!$C$12+Settings!$C$14)+IF(C1885="",Settings!$C$13,IF(COUNTIF($C$5:C1885,C1885)=1,Settings!$C$13,0))+E1885*Settings!$C$15+IF(H1885="Yes",J1885*Settings!$C$16,0))</f>
        <v/>
      </c>
      <c r="L1885" s="21">
        <f>IF(B1885="","",IF(Settings!$C$5="Yes",0,K1885*Settings!$C$17))</f>
        <v/>
      </c>
      <c r="M1885" s="21">
        <f>IF(B1885="","",E1885*IFERROR(VLOOKUP(D1885,Products!$B$5:$F$204,5,FALSE),0))</f>
        <v/>
      </c>
      <c r="N1885" s="21">
        <f>IF(B1885="","",J1885-K1885-L1885-M1885-I1885)</f>
        <v/>
      </c>
    </row>
    <row r="1886">
      <c r="B1886" s="11" t="n"/>
      <c r="C1886" s="8" t="n"/>
      <c r="D1886" s="8" t="n"/>
      <c r="E1886" s="8" t="n"/>
      <c r="F1886" s="20" t="n"/>
      <c r="G1886" s="20" t="n"/>
      <c r="H1886" s="8" t="n"/>
      <c r="I1886" s="20" t="n"/>
      <c r="J1886" s="21">
        <f>IF(B1886="","",F1886+G1886)</f>
        <v/>
      </c>
      <c r="K1886" s="21">
        <f>IF(B1886="","",J1886*(Settings!$C$11+Settings!$C$12+Settings!$C$14)+IF(C1886="",Settings!$C$13,IF(COUNTIF($C$5:C1886,C1886)=1,Settings!$C$13,0))+E1886*Settings!$C$15+IF(H1886="Yes",J1886*Settings!$C$16,0))</f>
        <v/>
      </c>
      <c r="L1886" s="21">
        <f>IF(B1886="","",IF(Settings!$C$5="Yes",0,K1886*Settings!$C$17))</f>
        <v/>
      </c>
      <c r="M1886" s="21">
        <f>IF(B1886="","",E1886*IFERROR(VLOOKUP(D1886,Products!$B$5:$F$204,5,FALSE),0))</f>
        <v/>
      </c>
      <c r="N1886" s="21">
        <f>IF(B1886="","",J1886-K1886-L1886-M1886-I1886)</f>
        <v/>
      </c>
    </row>
    <row r="1887">
      <c r="B1887" s="11" t="n"/>
      <c r="C1887" s="8" t="n"/>
      <c r="D1887" s="8" t="n"/>
      <c r="E1887" s="8" t="n"/>
      <c r="F1887" s="20" t="n"/>
      <c r="G1887" s="20" t="n"/>
      <c r="H1887" s="8" t="n"/>
      <c r="I1887" s="20" t="n"/>
      <c r="J1887" s="21">
        <f>IF(B1887="","",F1887+G1887)</f>
        <v/>
      </c>
      <c r="K1887" s="21">
        <f>IF(B1887="","",J1887*(Settings!$C$11+Settings!$C$12+Settings!$C$14)+IF(C1887="",Settings!$C$13,IF(COUNTIF($C$5:C1887,C1887)=1,Settings!$C$13,0))+E1887*Settings!$C$15+IF(H1887="Yes",J1887*Settings!$C$16,0))</f>
        <v/>
      </c>
      <c r="L1887" s="21">
        <f>IF(B1887="","",IF(Settings!$C$5="Yes",0,K1887*Settings!$C$17))</f>
        <v/>
      </c>
      <c r="M1887" s="21">
        <f>IF(B1887="","",E1887*IFERROR(VLOOKUP(D1887,Products!$B$5:$F$204,5,FALSE),0))</f>
        <v/>
      </c>
      <c r="N1887" s="21">
        <f>IF(B1887="","",J1887-K1887-L1887-M1887-I1887)</f>
        <v/>
      </c>
    </row>
    <row r="1888">
      <c r="B1888" s="11" t="n"/>
      <c r="C1888" s="8" t="n"/>
      <c r="D1888" s="8" t="n"/>
      <c r="E1888" s="8" t="n"/>
      <c r="F1888" s="20" t="n"/>
      <c r="G1888" s="20" t="n"/>
      <c r="H1888" s="8" t="n"/>
      <c r="I1888" s="20" t="n"/>
      <c r="J1888" s="21">
        <f>IF(B1888="","",F1888+G1888)</f>
        <v/>
      </c>
      <c r="K1888" s="21">
        <f>IF(B1888="","",J1888*(Settings!$C$11+Settings!$C$12+Settings!$C$14)+IF(C1888="",Settings!$C$13,IF(COUNTIF($C$5:C1888,C1888)=1,Settings!$C$13,0))+E1888*Settings!$C$15+IF(H1888="Yes",J1888*Settings!$C$16,0))</f>
        <v/>
      </c>
      <c r="L1888" s="21">
        <f>IF(B1888="","",IF(Settings!$C$5="Yes",0,K1888*Settings!$C$17))</f>
        <v/>
      </c>
      <c r="M1888" s="21">
        <f>IF(B1888="","",E1888*IFERROR(VLOOKUP(D1888,Products!$B$5:$F$204,5,FALSE),0))</f>
        <v/>
      </c>
      <c r="N1888" s="21">
        <f>IF(B1888="","",J1888-K1888-L1888-M1888-I1888)</f>
        <v/>
      </c>
    </row>
    <row r="1889">
      <c r="B1889" s="11" t="n"/>
      <c r="C1889" s="8" t="n"/>
      <c r="D1889" s="8" t="n"/>
      <c r="E1889" s="8" t="n"/>
      <c r="F1889" s="20" t="n"/>
      <c r="G1889" s="20" t="n"/>
      <c r="H1889" s="8" t="n"/>
      <c r="I1889" s="20" t="n"/>
      <c r="J1889" s="21">
        <f>IF(B1889="","",F1889+G1889)</f>
        <v/>
      </c>
      <c r="K1889" s="21">
        <f>IF(B1889="","",J1889*(Settings!$C$11+Settings!$C$12+Settings!$C$14)+IF(C1889="",Settings!$C$13,IF(COUNTIF($C$5:C1889,C1889)=1,Settings!$C$13,0))+E1889*Settings!$C$15+IF(H1889="Yes",J1889*Settings!$C$16,0))</f>
        <v/>
      </c>
      <c r="L1889" s="21">
        <f>IF(B1889="","",IF(Settings!$C$5="Yes",0,K1889*Settings!$C$17))</f>
        <v/>
      </c>
      <c r="M1889" s="21">
        <f>IF(B1889="","",E1889*IFERROR(VLOOKUP(D1889,Products!$B$5:$F$204,5,FALSE),0))</f>
        <v/>
      </c>
      <c r="N1889" s="21">
        <f>IF(B1889="","",J1889-K1889-L1889-M1889-I1889)</f>
        <v/>
      </c>
    </row>
    <row r="1890">
      <c r="B1890" s="11" t="n"/>
      <c r="C1890" s="8" t="n"/>
      <c r="D1890" s="8" t="n"/>
      <c r="E1890" s="8" t="n"/>
      <c r="F1890" s="20" t="n"/>
      <c r="G1890" s="20" t="n"/>
      <c r="H1890" s="8" t="n"/>
      <c r="I1890" s="20" t="n"/>
      <c r="J1890" s="21">
        <f>IF(B1890="","",F1890+G1890)</f>
        <v/>
      </c>
      <c r="K1890" s="21">
        <f>IF(B1890="","",J1890*(Settings!$C$11+Settings!$C$12+Settings!$C$14)+IF(C1890="",Settings!$C$13,IF(COUNTIF($C$5:C1890,C1890)=1,Settings!$C$13,0))+E1890*Settings!$C$15+IF(H1890="Yes",J1890*Settings!$C$16,0))</f>
        <v/>
      </c>
      <c r="L1890" s="21">
        <f>IF(B1890="","",IF(Settings!$C$5="Yes",0,K1890*Settings!$C$17))</f>
        <v/>
      </c>
      <c r="M1890" s="21">
        <f>IF(B1890="","",E1890*IFERROR(VLOOKUP(D1890,Products!$B$5:$F$204,5,FALSE),0))</f>
        <v/>
      </c>
      <c r="N1890" s="21">
        <f>IF(B1890="","",J1890-K1890-L1890-M1890-I1890)</f>
        <v/>
      </c>
    </row>
    <row r="1891">
      <c r="B1891" s="11" t="n"/>
      <c r="C1891" s="8" t="n"/>
      <c r="D1891" s="8" t="n"/>
      <c r="E1891" s="8" t="n"/>
      <c r="F1891" s="20" t="n"/>
      <c r="G1891" s="20" t="n"/>
      <c r="H1891" s="8" t="n"/>
      <c r="I1891" s="20" t="n"/>
      <c r="J1891" s="21">
        <f>IF(B1891="","",F1891+G1891)</f>
        <v/>
      </c>
      <c r="K1891" s="21">
        <f>IF(B1891="","",J1891*(Settings!$C$11+Settings!$C$12+Settings!$C$14)+IF(C1891="",Settings!$C$13,IF(COUNTIF($C$5:C1891,C1891)=1,Settings!$C$13,0))+E1891*Settings!$C$15+IF(H1891="Yes",J1891*Settings!$C$16,0))</f>
        <v/>
      </c>
      <c r="L1891" s="21">
        <f>IF(B1891="","",IF(Settings!$C$5="Yes",0,K1891*Settings!$C$17))</f>
        <v/>
      </c>
      <c r="M1891" s="21">
        <f>IF(B1891="","",E1891*IFERROR(VLOOKUP(D1891,Products!$B$5:$F$204,5,FALSE),0))</f>
        <v/>
      </c>
      <c r="N1891" s="21">
        <f>IF(B1891="","",J1891-K1891-L1891-M1891-I1891)</f>
        <v/>
      </c>
    </row>
    <row r="1892">
      <c r="B1892" s="11" t="n"/>
      <c r="C1892" s="8" t="n"/>
      <c r="D1892" s="8" t="n"/>
      <c r="E1892" s="8" t="n"/>
      <c r="F1892" s="20" t="n"/>
      <c r="G1892" s="20" t="n"/>
      <c r="H1892" s="8" t="n"/>
      <c r="I1892" s="20" t="n"/>
      <c r="J1892" s="21">
        <f>IF(B1892="","",F1892+G1892)</f>
        <v/>
      </c>
      <c r="K1892" s="21">
        <f>IF(B1892="","",J1892*(Settings!$C$11+Settings!$C$12+Settings!$C$14)+IF(C1892="",Settings!$C$13,IF(COUNTIF($C$5:C1892,C1892)=1,Settings!$C$13,0))+E1892*Settings!$C$15+IF(H1892="Yes",J1892*Settings!$C$16,0))</f>
        <v/>
      </c>
      <c r="L1892" s="21">
        <f>IF(B1892="","",IF(Settings!$C$5="Yes",0,K1892*Settings!$C$17))</f>
        <v/>
      </c>
      <c r="M1892" s="21">
        <f>IF(B1892="","",E1892*IFERROR(VLOOKUP(D1892,Products!$B$5:$F$204,5,FALSE),0))</f>
        <v/>
      </c>
      <c r="N1892" s="21">
        <f>IF(B1892="","",J1892-K1892-L1892-M1892-I1892)</f>
        <v/>
      </c>
    </row>
    <row r="1893">
      <c r="B1893" s="11" t="n"/>
      <c r="C1893" s="8" t="n"/>
      <c r="D1893" s="8" t="n"/>
      <c r="E1893" s="8" t="n"/>
      <c r="F1893" s="20" t="n"/>
      <c r="G1893" s="20" t="n"/>
      <c r="H1893" s="8" t="n"/>
      <c r="I1893" s="20" t="n"/>
      <c r="J1893" s="21">
        <f>IF(B1893="","",F1893+G1893)</f>
        <v/>
      </c>
      <c r="K1893" s="21">
        <f>IF(B1893="","",J1893*(Settings!$C$11+Settings!$C$12+Settings!$C$14)+IF(C1893="",Settings!$C$13,IF(COUNTIF($C$5:C1893,C1893)=1,Settings!$C$13,0))+E1893*Settings!$C$15+IF(H1893="Yes",J1893*Settings!$C$16,0))</f>
        <v/>
      </c>
      <c r="L1893" s="21">
        <f>IF(B1893="","",IF(Settings!$C$5="Yes",0,K1893*Settings!$C$17))</f>
        <v/>
      </c>
      <c r="M1893" s="21">
        <f>IF(B1893="","",E1893*IFERROR(VLOOKUP(D1893,Products!$B$5:$F$204,5,FALSE),0))</f>
        <v/>
      </c>
      <c r="N1893" s="21">
        <f>IF(B1893="","",J1893-K1893-L1893-M1893-I1893)</f>
        <v/>
      </c>
    </row>
    <row r="1894">
      <c r="B1894" s="11" t="n"/>
      <c r="C1894" s="8" t="n"/>
      <c r="D1894" s="8" t="n"/>
      <c r="E1894" s="8" t="n"/>
      <c r="F1894" s="20" t="n"/>
      <c r="G1894" s="20" t="n"/>
      <c r="H1894" s="8" t="n"/>
      <c r="I1894" s="20" t="n"/>
      <c r="J1894" s="21">
        <f>IF(B1894="","",F1894+G1894)</f>
        <v/>
      </c>
      <c r="K1894" s="21">
        <f>IF(B1894="","",J1894*(Settings!$C$11+Settings!$C$12+Settings!$C$14)+IF(C1894="",Settings!$C$13,IF(COUNTIF($C$5:C1894,C1894)=1,Settings!$C$13,0))+E1894*Settings!$C$15+IF(H1894="Yes",J1894*Settings!$C$16,0))</f>
        <v/>
      </c>
      <c r="L1894" s="21">
        <f>IF(B1894="","",IF(Settings!$C$5="Yes",0,K1894*Settings!$C$17))</f>
        <v/>
      </c>
      <c r="M1894" s="21">
        <f>IF(B1894="","",E1894*IFERROR(VLOOKUP(D1894,Products!$B$5:$F$204,5,FALSE),0))</f>
        <v/>
      </c>
      <c r="N1894" s="21">
        <f>IF(B1894="","",J1894-K1894-L1894-M1894-I1894)</f>
        <v/>
      </c>
    </row>
    <row r="1895">
      <c r="B1895" s="11" t="n"/>
      <c r="C1895" s="8" t="n"/>
      <c r="D1895" s="8" t="n"/>
      <c r="E1895" s="8" t="n"/>
      <c r="F1895" s="20" t="n"/>
      <c r="G1895" s="20" t="n"/>
      <c r="H1895" s="8" t="n"/>
      <c r="I1895" s="20" t="n"/>
      <c r="J1895" s="21">
        <f>IF(B1895="","",F1895+G1895)</f>
        <v/>
      </c>
      <c r="K1895" s="21">
        <f>IF(B1895="","",J1895*(Settings!$C$11+Settings!$C$12+Settings!$C$14)+IF(C1895="",Settings!$C$13,IF(COUNTIF($C$5:C1895,C1895)=1,Settings!$C$13,0))+E1895*Settings!$C$15+IF(H1895="Yes",J1895*Settings!$C$16,0))</f>
        <v/>
      </c>
      <c r="L1895" s="21">
        <f>IF(B1895="","",IF(Settings!$C$5="Yes",0,K1895*Settings!$C$17))</f>
        <v/>
      </c>
      <c r="M1895" s="21">
        <f>IF(B1895="","",E1895*IFERROR(VLOOKUP(D1895,Products!$B$5:$F$204,5,FALSE),0))</f>
        <v/>
      </c>
      <c r="N1895" s="21">
        <f>IF(B1895="","",J1895-K1895-L1895-M1895-I1895)</f>
        <v/>
      </c>
    </row>
    <row r="1896">
      <c r="B1896" s="11" t="n"/>
      <c r="C1896" s="8" t="n"/>
      <c r="D1896" s="8" t="n"/>
      <c r="E1896" s="8" t="n"/>
      <c r="F1896" s="20" t="n"/>
      <c r="G1896" s="20" t="n"/>
      <c r="H1896" s="8" t="n"/>
      <c r="I1896" s="20" t="n"/>
      <c r="J1896" s="21">
        <f>IF(B1896="","",F1896+G1896)</f>
        <v/>
      </c>
      <c r="K1896" s="21">
        <f>IF(B1896="","",J1896*(Settings!$C$11+Settings!$C$12+Settings!$C$14)+IF(C1896="",Settings!$C$13,IF(COUNTIF($C$5:C1896,C1896)=1,Settings!$C$13,0))+E1896*Settings!$C$15+IF(H1896="Yes",J1896*Settings!$C$16,0))</f>
        <v/>
      </c>
      <c r="L1896" s="21">
        <f>IF(B1896="","",IF(Settings!$C$5="Yes",0,K1896*Settings!$C$17))</f>
        <v/>
      </c>
      <c r="M1896" s="21">
        <f>IF(B1896="","",E1896*IFERROR(VLOOKUP(D1896,Products!$B$5:$F$204,5,FALSE),0))</f>
        <v/>
      </c>
      <c r="N1896" s="21">
        <f>IF(B1896="","",J1896-K1896-L1896-M1896-I1896)</f>
        <v/>
      </c>
    </row>
    <row r="1897">
      <c r="B1897" s="11" t="n"/>
      <c r="C1897" s="8" t="n"/>
      <c r="D1897" s="8" t="n"/>
      <c r="E1897" s="8" t="n"/>
      <c r="F1897" s="20" t="n"/>
      <c r="G1897" s="20" t="n"/>
      <c r="H1897" s="8" t="n"/>
      <c r="I1897" s="20" t="n"/>
      <c r="J1897" s="21">
        <f>IF(B1897="","",F1897+G1897)</f>
        <v/>
      </c>
      <c r="K1897" s="21">
        <f>IF(B1897="","",J1897*(Settings!$C$11+Settings!$C$12+Settings!$C$14)+IF(C1897="",Settings!$C$13,IF(COUNTIF($C$5:C1897,C1897)=1,Settings!$C$13,0))+E1897*Settings!$C$15+IF(H1897="Yes",J1897*Settings!$C$16,0))</f>
        <v/>
      </c>
      <c r="L1897" s="21">
        <f>IF(B1897="","",IF(Settings!$C$5="Yes",0,K1897*Settings!$C$17))</f>
        <v/>
      </c>
      <c r="M1897" s="21">
        <f>IF(B1897="","",E1897*IFERROR(VLOOKUP(D1897,Products!$B$5:$F$204,5,FALSE),0))</f>
        <v/>
      </c>
      <c r="N1897" s="21">
        <f>IF(B1897="","",J1897-K1897-L1897-M1897-I1897)</f>
        <v/>
      </c>
    </row>
    <row r="1898">
      <c r="B1898" s="11" t="n"/>
      <c r="C1898" s="8" t="n"/>
      <c r="D1898" s="8" t="n"/>
      <c r="E1898" s="8" t="n"/>
      <c r="F1898" s="20" t="n"/>
      <c r="G1898" s="20" t="n"/>
      <c r="H1898" s="8" t="n"/>
      <c r="I1898" s="20" t="n"/>
      <c r="J1898" s="21">
        <f>IF(B1898="","",F1898+G1898)</f>
        <v/>
      </c>
      <c r="K1898" s="21">
        <f>IF(B1898="","",J1898*(Settings!$C$11+Settings!$C$12+Settings!$C$14)+IF(C1898="",Settings!$C$13,IF(COUNTIF($C$5:C1898,C1898)=1,Settings!$C$13,0))+E1898*Settings!$C$15+IF(H1898="Yes",J1898*Settings!$C$16,0))</f>
        <v/>
      </c>
      <c r="L1898" s="21">
        <f>IF(B1898="","",IF(Settings!$C$5="Yes",0,K1898*Settings!$C$17))</f>
        <v/>
      </c>
      <c r="M1898" s="21">
        <f>IF(B1898="","",E1898*IFERROR(VLOOKUP(D1898,Products!$B$5:$F$204,5,FALSE),0))</f>
        <v/>
      </c>
      <c r="N1898" s="21">
        <f>IF(B1898="","",J1898-K1898-L1898-M1898-I1898)</f>
        <v/>
      </c>
    </row>
    <row r="1899">
      <c r="B1899" s="11" t="n"/>
      <c r="C1899" s="8" t="n"/>
      <c r="D1899" s="8" t="n"/>
      <c r="E1899" s="8" t="n"/>
      <c r="F1899" s="20" t="n"/>
      <c r="G1899" s="20" t="n"/>
      <c r="H1899" s="8" t="n"/>
      <c r="I1899" s="20" t="n"/>
      <c r="J1899" s="21">
        <f>IF(B1899="","",F1899+G1899)</f>
        <v/>
      </c>
      <c r="K1899" s="21">
        <f>IF(B1899="","",J1899*(Settings!$C$11+Settings!$C$12+Settings!$C$14)+IF(C1899="",Settings!$C$13,IF(COUNTIF($C$5:C1899,C1899)=1,Settings!$C$13,0))+E1899*Settings!$C$15+IF(H1899="Yes",J1899*Settings!$C$16,0))</f>
        <v/>
      </c>
      <c r="L1899" s="21">
        <f>IF(B1899="","",IF(Settings!$C$5="Yes",0,K1899*Settings!$C$17))</f>
        <v/>
      </c>
      <c r="M1899" s="21">
        <f>IF(B1899="","",E1899*IFERROR(VLOOKUP(D1899,Products!$B$5:$F$204,5,FALSE),0))</f>
        <v/>
      </c>
      <c r="N1899" s="21">
        <f>IF(B1899="","",J1899-K1899-L1899-M1899-I1899)</f>
        <v/>
      </c>
    </row>
    <row r="1900">
      <c r="B1900" s="11" t="n"/>
      <c r="C1900" s="8" t="n"/>
      <c r="D1900" s="8" t="n"/>
      <c r="E1900" s="8" t="n"/>
      <c r="F1900" s="20" t="n"/>
      <c r="G1900" s="20" t="n"/>
      <c r="H1900" s="8" t="n"/>
      <c r="I1900" s="20" t="n"/>
      <c r="J1900" s="21">
        <f>IF(B1900="","",F1900+G1900)</f>
        <v/>
      </c>
      <c r="K1900" s="21">
        <f>IF(B1900="","",J1900*(Settings!$C$11+Settings!$C$12+Settings!$C$14)+IF(C1900="",Settings!$C$13,IF(COUNTIF($C$5:C1900,C1900)=1,Settings!$C$13,0))+E1900*Settings!$C$15+IF(H1900="Yes",J1900*Settings!$C$16,0))</f>
        <v/>
      </c>
      <c r="L1900" s="21">
        <f>IF(B1900="","",IF(Settings!$C$5="Yes",0,K1900*Settings!$C$17))</f>
        <v/>
      </c>
      <c r="M1900" s="21">
        <f>IF(B1900="","",E1900*IFERROR(VLOOKUP(D1900,Products!$B$5:$F$204,5,FALSE),0))</f>
        <v/>
      </c>
      <c r="N1900" s="21">
        <f>IF(B1900="","",J1900-K1900-L1900-M1900-I1900)</f>
        <v/>
      </c>
    </row>
    <row r="1901">
      <c r="B1901" s="11" t="n"/>
      <c r="C1901" s="8" t="n"/>
      <c r="D1901" s="8" t="n"/>
      <c r="E1901" s="8" t="n"/>
      <c r="F1901" s="20" t="n"/>
      <c r="G1901" s="20" t="n"/>
      <c r="H1901" s="8" t="n"/>
      <c r="I1901" s="20" t="n"/>
      <c r="J1901" s="21">
        <f>IF(B1901="","",F1901+G1901)</f>
        <v/>
      </c>
      <c r="K1901" s="21">
        <f>IF(B1901="","",J1901*(Settings!$C$11+Settings!$C$12+Settings!$C$14)+IF(C1901="",Settings!$C$13,IF(COUNTIF($C$5:C1901,C1901)=1,Settings!$C$13,0))+E1901*Settings!$C$15+IF(H1901="Yes",J1901*Settings!$C$16,0))</f>
        <v/>
      </c>
      <c r="L1901" s="21">
        <f>IF(B1901="","",IF(Settings!$C$5="Yes",0,K1901*Settings!$C$17))</f>
        <v/>
      </c>
      <c r="M1901" s="21">
        <f>IF(B1901="","",E1901*IFERROR(VLOOKUP(D1901,Products!$B$5:$F$204,5,FALSE),0))</f>
        <v/>
      </c>
      <c r="N1901" s="21">
        <f>IF(B1901="","",J1901-K1901-L1901-M1901-I1901)</f>
        <v/>
      </c>
    </row>
    <row r="1902">
      <c r="B1902" s="11" t="n"/>
      <c r="C1902" s="8" t="n"/>
      <c r="D1902" s="8" t="n"/>
      <c r="E1902" s="8" t="n"/>
      <c r="F1902" s="20" t="n"/>
      <c r="G1902" s="20" t="n"/>
      <c r="H1902" s="8" t="n"/>
      <c r="I1902" s="20" t="n"/>
      <c r="J1902" s="21">
        <f>IF(B1902="","",F1902+G1902)</f>
        <v/>
      </c>
      <c r="K1902" s="21">
        <f>IF(B1902="","",J1902*(Settings!$C$11+Settings!$C$12+Settings!$C$14)+IF(C1902="",Settings!$C$13,IF(COUNTIF($C$5:C1902,C1902)=1,Settings!$C$13,0))+E1902*Settings!$C$15+IF(H1902="Yes",J1902*Settings!$C$16,0))</f>
        <v/>
      </c>
      <c r="L1902" s="21">
        <f>IF(B1902="","",IF(Settings!$C$5="Yes",0,K1902*Settings!$C$17))</f>
        <v/>
      </c>
      <c r="M1902" s="21">
        <f>IF(B1902="","",E1902*IFERROR(VLOOKUP(D1902,Products!$B$5:$F$204,5,FALSE),0))</f>
        <v/>
      </c>
      <c r="N1902" s="21">
        <f>IF(B1902="","",J1902-K1902-L1902-M1902-I1902)</f>
        <v/>
      </c>
    </row>
    <row r="1903">
      <c r="B1903" s="11" t="n"/>
      <c r="C1903" s="8" t="n"/>
      <c r="D1903" s="8" t="n"/>
      <c r="E1903" s="8" t="n"/>
      <c r="F1903" s="20" t="n"/>
      <c r="G1903" s="20" t="n"/>
      <c r="H1903" s="8" t="n"/>
      <c r="I1903" s="20" t="n"/>
      <c r="J1903" s="21">
        <f>IF(B1903="","",F1903+G1903)</f>
        <v/>
      </c>
      <c r="K1903" s="21">
        <f>IF(B1903="","",J1903*(Settings!$C$11+Settings!$C$12+Settings!$C$14)+IF(C1903="",Settings!$C$13,IF(COUNTIF($C$5:C1903,C1903)=1,Settings!$C$13,0))+E1903*Settings!$C$15+IF(H1903="Yes",J1903*Settings!$C$16,0))</f>
        <v/>
      </c>
      <c r="L1903" s="21">
        <f>IF(B1903="","",IF(Settings!$C$5="Yes",0,K1903*Settings!$C$17))</f>
        <v/>
      </c>
      <c r="M1903" s="21">
        <f>IF(B1903="","",E1903*IFERROR(VLOOKUP(D1903,Products!$B$5:$F$204,5,FALSE),0))</f>
        <v/>
      </c>
      <c r="N1903" s="21">
        <f>IF(B1903="","",J1903-K1903-L1903-M1903-I1903)</f>
        <v/>
      </c>
    </row>
    <row r="1904">
      <c r="B1904" s="11" t="n"/>
      <c r="C1904" s="8" t="n"/>
      <c r="D1904" s="8" t="n"/>
      <c r="E1904" s="8" t="n"/>
      <c r="F1904" s="20" t="n"/>
      <c r="G1904" s="20" t="n"/>
      <c r="H1904" s="8" t="n"/>
      <c r="I1904" s="20" t="n"/>
      <c r="J1904" s="21">
        <f>IF(B1904="","",F1904+G1904)</f>
        <v/>
      </c>
      <c r="K1904" s="21">
        <f>IF(B1904="","",J1904*(Settings!$C$11+Settings!$C$12+Settings!$C$14)+IF(C1904="",Settings!$C$13,IF(COUNTIF($C$5:C1904,C1904)=1,Settings!$C$13,0))+E1904*Settings!$C$15+IF(H1904="Yes",J1904*Settings!$C$16,0))</f>
        <v/>
      </c>
      <c r="L1904" s="21">
        <f>IF(B1904="","",IF(Settings!$C$5="Yes",0,K1904*Settings!$C$17))</f>
        <v/>
      </c>
      <c r="M1904" s="21">
        <f>IF(B1904="","",E1904*IFERROR(VLOOKUP(D1904,Products!$B$5:$F$204,5,FALSE),0))</f>
        <v/>
      </c>
      <c r="N1904" s="21">
        <f>IF(B1904="","",J1904-K1904-L1904-M1904-I1904)</f>
        <v/>
      </c>
    </row>
    <row r="1905">
      <c r="B1905" s="11" t="n"/>
      <c r="C1905" s="8" t="n"/>
      <c r="D1905" s="8" t="n"/>
      <c r="E1905" s="8" t="n"/>
      <c r="F1905" s="20" t="n"/>
      <c r="G1905" s="20" t="n"/>
      <c r="H1905" s="8" t="n"/>
      <c r="I1905" s="20" t="n"/>
      <c r="J1905" s="21">
        <f>IF(B1905="","",F1905+G1905)</f>
        <v/>
      </c>
      <c r="K1905" s="21">
        <f>IF(B1905="","",J1905*(Settings!$C$11+Settings!$C$12+Settings!$C$14)+IF(C1905="",Settings!$C$13,IF(COUNTIF($C$5:C1905,C1905)=1,Settings!$C$13,0))+E1905*Settings!$C$15+IF(H1905="Yes",J1905*Settings!$C$16,0))</f>
        <v/>
      </c>
      <c r="L1905" s="21">
        <f>IF(B1905="","",IF(Settings!$C$5="Yes",0,K1905*Settings!$C$17))</f>
        <v/>
      </c>
      <c r="M1905" s="21">
        <f>IF(B1905="","",E1905*IFERROR(VLOOKUP(D1905,Products!$B$5:$F$204,5,FALSE),0))</f>
        <v/>
      </c>
      <c r="N1905" s="21">
        <f>IF(B1905="","",J1905-K1905-L1905-M1905-I1905)</f>
        <v/>
      </c>
    </row>
    <row r="1906">
      <c r="B1906" s="11" t="n"/>
      <c r="C1906" s="8" t="n"/>
      <c r="D1906" s="8" t="n"/>
      <c r="E1906" s="8" t="n"/>
      <c r="F1906" s="20" t="n"/>
      <c r="G1906" s="20" t="n"/>
      <c r="H1906" s="8" t="n"/>
      <c r="I1906" s="20" t="n"/>
      <c r="J1906" s="21">
        <f>IF(B1906="","",F1906+G1906)</f>
        <v/>
      </c>
      <c r="K1906" s="21">
        <f>IF(B1906="","",J1906*(Settings!$C$11+Settings!$C$12+Settings!$C$14)+IF(C1906="",Settings!$C$13,IF(COUNTIF($C$5:C1906,C1906)=1,Settings!$C$13,0))+E1906*Settings!$C$15+IF(H1906="Yes",J1906*Settings!$C$16,0))</f>
        <v/>
      </c>
      <c r="L1906" s="21">
        <f>IF(B1906="","",IF(Settings!$C$5="Yes",0,K1906*Settings!$C$17))</f>
        <v/>
      </c>
      <c r="M1906" s="21">
        <f>IF(B1906="","",E1906*IFERROR(VLOOKUP(D1906,Products!$B$5:$F$204,5,FALSE),0))</f>
        <v/>
      </c>
      <c r="N1906" s="21">
        <f>IF(B1906="","",J1906-K1906-L1906-M1906-I1906)</f>
        <v/>
      </c>
    </row>
    <row r="1907">
      <c r="B1907" s="11" t="n"/>
      <c r="C1907" s="8" t="n"/>
      <c r="D1907" s="8" t="n"/>
      <c r="E1907" s="8" t="n"/>
      <c r="F1907" s="20" t="n"/>
      <c r="G1907" s="20" t="n"/>
      <c r="H1907" s="8" t="n"/>
      <c r="I1907" s="20" t="n"/>
      <c r="J1907" s="21">
        <f>IF(B1907="","",F1907+G1907)</f>
        <v/>
      </c>
      <c r="K1907" s="21">
        <f>IF(B1907="","",J1907*(Settings!$C$11+Settings!$C$12+Settings!$C$14)+IF(C1907="",Settings!$C$13,IF(COUNTIF($C$5:C1907,C1907)=1,Settings!$C$13,0))+E1907*Settings!$C$15+IF(H1907="Yes",J1907*Settings!$C$16,0))</f>
        <v/>
      </c>
      <c r="L1907" s="21">
        <f>IF(B1907="","",IF(Settings!$C$5="Yes",0,K1907*Settings!$C$17))</f>
        <v/>
      </c>
      <c r="M1907" s="21">
        <f>IF(B1907="","",E1907*IFERROR(VLOOKUP(D1907,Products!$B$5:$F$204,5,FALSE),0))</f>
        <v/>
      </c>
      <c r="N1907" s="21">
        <f>IF(B1907="","",J1907-K1907-L1907-M1907-I1907)</f>
        <v/>
      </c>
    </row>
    <row r="1908">
      <c r="B1908" s="11" t="n"/>
      <c r="C1908" s="8" t="n"/>
      <c r="D1908" s="8" t="n"/>
      <c r="E1908" s="8" t="n"/>
      <c r="F1908" s="20" t="n"/>
      <c r="G1908" s="20" t="n"/>
      <c r="H1908" s="8" t="n"/>
      <c r="I1908" s="20" t="n"/>
      <c r="J1908" s="21">
        <f>IF(B1908="","",F1908+G1908)</f>
        <v/>
      </c>
      <c r="K1908" s="21">
        <f>IF(B1908="","",J1908*(Settings!$C$11+Settings!$C$12+Settings!$C$14)+IF(C1908="",Settings!$C$13,IF(COUNTIF($C$5:C1908,C1908)=1,Settings!$C$13,0))+E1908*Settings!$C$15+IF(H1908="Yes",J1908*Settings!$C$16,0))</f>
        <v/>
      </c>
      <c r="L1908" s="21">
        <f>IF(B1908="","",IF(Settings!$C$5="Yes",0,K1908*Settings!$C$17))</f>
        <v/>
      </c>
      <c r="M1908" s="21">
        <f>IF(B1908="","",E1908*IFERROR(VLOOKUP(D1908,Products!$B$5:$F$204,5,FALSE),0))</f>
        <v/>
      </c>
      <c r="N1908" s="21">
        <f>IF(B1908="","",J1908-K1908-L1908-M1908-I1908)</f>
        <v/>
      </c>
    </row>
    <row r="1909">
      <c r="B1909" s="11" t="n"/>
      <c r="C1909" s="8" t="n"/>
      <c r="D1909" s="8" t="n"/>
      <c r="E1909" s="8" t="n"/>
      <c r="F1909" s="20" t="n"/>
      <c r="G1909" s="20" t="n"/>
      <c r="H1909" s="8" t="n"/>
      <c r="I1909" s="20" t="n"/>
      <c r="J1909" s="21">
        <f>IF(B1909="","",F1909+G1909)</f>
        <v/>
      </c>
      <c r="K1909" s="21">
        <f>IF(B1909="","",J1909*(Settings!$C$11+Settings!$C$12+Settings!$C$14)+IF(C1909="",Settings!$C$13,IF(COUNTIF($C$5:C1909,C1909)=1,Settings!$C$13,0))+E1909*Settings!$C$15+IF(H1909="Yes",J1909*Settings!$C$16,0))</f>
        <v/>
      </c>
      <c r="L1909" s="21">
        <f>IF(B1909="","",IF(Settings!$C$5="Yes",0,K1909*Settings!$C$17))</f>
        <v/>
      </c>
      <c r="M1909" s="21">
        <f>IF(B1909="","",E1909*IFERROR(VLOOKUP(D1909,Products!$B$5:$F$204,5,FALSE),0))</f>
        <v/>
      </c>
      <c r="N1909" s="21">
        <f>IF(B1909="","",J1909-K1909-L1909-M1909-I1909)</f>
        <v/>
      </c>
    </row>
    <row r="1910">
      <c r="B1910" s="11" t="n"/>
      <c r="C1910" s="8" t="n"/>
      <c r="D1910" s="8" t="n"/>
      <c r="E1910" s="8" t="n"/>
      <c r="F1910" s="20" t="n"/>
      <c r="G1910" s="20" t="n"/>
      <c r="H1910" s="8" t="n"/>
      <c r="I1910" s="20" t="n"/>
      <c r="J1910" s="21">
        <f>IF(B1910="","",F1910+G1910)</f>
        <v/>
      </c>
      <c r="K1910" s="21">
        <f>IF(B1910="","",J1910*(Settings!$C$11+Settings!$C$12+Settings!$C$14)+IF(C1910="",Settings!$C$13,IF(COUNTIF($C$5:C1910,C1910)=1,Settings!$C$13,0))+E1910*Settings!$C$15+IF(H1910="Yes",J1910*Settings!$C$16,0))</f>
        <v/>
      </c>
      <c r="L1910" s="21">
        <f>IF(B1910="","",IF(Settings!$C$5="Yes",0,K1910*Settings!$C$17))</f>
        <v/>
      </c>
      <c r="M1910" s="21">
        <f>IF(B1910="","",E1910*IFERROR(VLOOKUP(D1910,Products!$B$5:$F$204,5,FALSE),0))</f>
        <v/>
      </c>
      <c r="N1910" s="21">
        <f>IF(B1910="","",J1910-K1910-L1910-M1910-I1910)</f>
        <v/>
      </c>
    </row>
    <row r="1911">
      <c r="B1911" s="11" t="n"/>
      <c r="C1911" s="8" t="n"/>
      <c r="D1911" s="8" t="n"/>
      <c r="E1911" s="8" t="n"/>
      <c r="F1911" s="20" t="n"/>
      <c r="G1911" s="20" t="n"/>
      <c r="H1911" s="8" t="n"/>
      <c r="I1911" s="20" t="n"/>
      <c r="J1911" s="21">
        <f>IF(B1911="","",F1911+G1911)</f>
        <v/>
      </c>
      <c r="K1911" s="21">
        <f>IF(B1911="","",J1911*(Settings!$C$11+Settings!$C$12+Settings!$C$14)+IF(C1911="",Settings!$C$13,IF(COUNTIF($C$5:C1911,C1911)=1,Settings!$C$13,0))+E1911*Settings!$C$15+IF(H1911="Yes",J1911*Settings!$C$16,0))</f>
        <v/>
      </c>
      <c r="L1911" s="21">
        <f>IF(B1911="","",IF(Settings!$C$5="Yes",0,K1911*Settings!$C$17))</f>
        <v/>
      </c>
      <c r="M1911" s="21">
        <f>IF(B1911="","",E1911*IFERROR(VLOOKUP(D1911,Products!$B$5:$F$204,5,FALSE),0))</f>
        <v/>
      </c>
      <c r="N1911" s="21">
        <f>IF(B1911="","",J1911-K1911-L1911-M1911-I1911)</f>
        <v/>
      </c>
    </row>
    <row r="1912">
      <c r="B1912" s="11" t="n"/>
      <c r="C1912" s="8" t="n"/>
      <c r="D1912" s="8" t="n"/>
      <c r="E1912" s="8" t="n"/>
      <c r="F1912" s="20" t="n"/>
      <c r="G1912" s="20" t="n"/>
      <c r="H1912" s="8" t="n"/>
      <c r="I1912" s="20" t="n"/>
      <c r="J1912" s="21">
        <f>IF(B1912="","",F1912+G1912)</f>
        <v/>
      </c>
      <c r="K1912" s="21">
        <f>IF(B1912="","",J1912*(Settings!$C$11+Settings!$C$12+Settings!$C$14)+IF(C1912="",Settings!$C$13,IF(COUNTIF($C$5:C1912,C1912)=1,Settings!$C$13,0))+E1912*Settings!$C$15+IF(H1912="Yes",J1912*Settings!$C$16,0))</f>
        <v/>
      </c>
      <c r="L1912" s="21">
        <f>IF(B1912="","",IF(Settings!$C$5="Yes",0,K1912*Settings!$C$17))</f>
        <v/>
      </c>
      <c r="M1912" s="21">
        <f>IF(B1912="","",E1912*IFERROR(VLOOKUP(D1912,Products!$B$5:$F$204,5,FALSE),0))</f>
        <v/>
      </c>
      <c r="N1912" s="21">
        <f>IF(B1912="","",J1912-K1912-L1912-M1912-I1912)</f>
        <v/>
      </c>
    </row>
    <row r="1913">
      <c r="B1913" s="11" t="n"/>
      <c r="C1913" s="8" t="n"/>
      <c r="D1913" s="8" t="n"/>
      <c r="E1913" s="8" t="n"/>
      <c r="F1913" s="20" t="n"/>
      <c r="G1913" s="20" t="n"/>
      <c r="H1913" s="8" t="n"/>
      <c r="I1913" s="20" t="n"/>
      <c r="J1913" s="21">
        <f>IF(B1913="","",F1913+G1913)</f>
        <v/>
      </c>
      <c r="K1913" s="21">
        <f>IF(B1913="","",J1913*(Settings!$C$11+Settings!$C$12+Settings!$C$14)+IF(C1913="",Settings!$C$13,IF(COUNTIF($C$5:C1913,C1913)=1,Settings!$C$13,0))+E1913*Settings!$C$15+IF(H1913="Yes",J1913*Settings!$C$16,0))</f>
        <v/>
      </c>
      <c r="L1913" s="21">
        <f>IF(B1913="","",IF(Settings!$C$5="Yes",0,K1913*Settings!$C$17))</f>
        <v/>
      </c>
      <c r="M1913" s="21">
        <f>IF(B1913="","",E1913*IFERROR(VLOOKUP(D1913,Products!$B$5:$F$204,5,FALSE),0))</f>
        <v/>
      </c>
      <c r="N1913" s="21">
        <f>IF(B1913="","",J1913-K1913-L1913-M1913-I1913)</f>
        <v/>
      </c>
    </row>
    <row r="1914">
      <c r="B1914" s="11" t="n"/>
      <c r="C1914" s="8" t="n"/>
      <c r="D1914" s="8" t="n"/>
      <c r="E1914" s="8" t="n"/>
      <c r="F1914" s="20" t="n"/>
      <c r="G1914" s="20" t="n"/>
      <c r="H1914" s="8" t="n"/>
      <c r="I1914" s="20" t="n"/>
      <c r="J1914" s="21">
        <f>IF(B1914="","",F1914+G1914)</f>
        <v/>
      </c>
      <c r="K1914" s="21">
        <f>IF(B1914="","",J1914*(Settings!$C$11+Settings!$C$12+Settings!$C$14)+IF(C1914="",Settings!$C$13,IF(COUNTIF($C$5:C1914,C1914)=1,Settings!$C$13,0))+E1914*Settings!$C$15+IF(H1914="Yes",J1914*Settings!$C$16,0))</f>
        <v/>
      </c>
      <c r="L1914" s="21">
        <f>IF(B1914="","",IF(Settings!$C$5="Yes",0,K1914*Settings!$C$17))</f>
        <v/>
      </c>
      <c r="M1914" s="21">
        <f>IF(B1914="","",E1914*IFERROR(VLOOKUP(D1914,Products!$B$5:$F$204,5,FALSE),0))</f>
        <v/>
      </c>
      <c r="N1914" s="21">
        <f>IF(B1914="","",J1914-K1914-L1914-M1914-I1914)</f>
        <v/>
      </c>
    </row>
    <row r="1915">
      <c r="B1915" s="11" t="n"/>
      <c r="C1915" s="8" t="n"/>
      <c r="D1915" s="8" t="n"/>
      <c r="E1915" s="8" t="n"/>
      <c r="F1915" s="20" t="n"/>
      <c r="G1915" s="20" t="n"/>
      <c r="H1915" s="8" t="n"/>
      <c r="I1915" s="20" t="n"/>
      <c r="J1915" s="21">
        <f>IF(B1915="","",F1915+G1915)</f>
        <v/>
      </c>
      <c r="K1915" s="21">
        <f>IF(B1915="","",J1915*(Settings!$C$11+Settings!$C$12+Settings!$C$14)+IF(C1915="",Settings!$C$13,IF(COUNTIF($C$5:C1915,C1915)=1,Settings!$C$13,0))+E1915*Settings!$C$15+IF(H1915="Yes",J1915*Settings!$C$16,0))</f>
        <v/>
      </c>
      <c r="L1915" s="21">
        <f>IF(B1915="","",IF(Settings!$C$5="Yes",0,K1915*Settings!$C$17))</f>
        <v/>
      </c>
      <c r="M1915" s="21">
        <f>IF(B1915="","",E1915*IFERROR(VLOOKUP(D1915,Products!$B$5:$F$204,5,FALSE),0))</f>
        <v/>
      </c>
      <c r="N1915" s="21">
        <f>IF(B1915="","",J1915-K1915-L1915-M1915-I1915)</f>
        <v/>
      </c>
    </row>
    <row r="1916">
      <c r="B1916" s="11" t="n"/>
      <c r="C1916" s="8" t="n"/>
      <c r="D1916" s="8" t="n"/>
      <c r="E1916" s="8" t="n"/>
      <c r="F1916" s="20" t="n"/>
      <c r="G1916" s="20" t="n"/>
      <c r="H1916" s="8" t="n"/>
      <c r="I1916" s="20" t="n"/>
      <c r="J1916" s="21">
        <f>IF(B1916="","",F1916+G1916)</f>
        <v/>
      </c>
      <c r="K1916" s="21">
        <f>IF(B1916="","",J1916*(Settings!$C$11+Settings!$C$12+Settings!$C$14)+IF(C1916="",Settings!$C$13,IF(COUNTIF($C$5:C1916,C1916)=1,Settings!$C$13,0))+E1916*Settings!$C$15+IF(H1916="Yes",J1916*Settings!$C$16,0))</f>
        <v/>
      </c>
      <c r="L1916" s="21">
        <f>IF(B1916="","",IF(Settings!$C$5="Yes",0,K1916*Settings!$C$17))</f>
        <v/>
      </c>
      <c r="M1916" s="21">
        <f>IF(B1916="","",E1916*IFERROR(VLOOKUP(D1916,Products!$B$5:$F$204,5,FALSE),0))</f>
        <v/>
      </c>
      <c r="N1916" s="21">
        <f>IF(B1916="","",J1916-K1916-L1916-M1916-I1916)</f>
        <v/>
      </c>
    </row>
    <row r="1917">
      <c r="B1917" s="11" t="n"/>
      <c r="C1917" s="8" t="n"/>
      <c r="D1917" s="8" t="n"/>
      <c r="E1917" s="8" t="n"/>
      <c r="F1917" s="20" t="n"/>
      <c r="G1917" s="20" t="n"/>
      <c r="H1917" s="8" t="n"/>
      <c r="I1917" s="20" t="n"/>
      <c r="J1917" s="21">
        <f>IF(B1917="","",F1917+G1917)</f>
        <v/>
      </c>
      <c r="K1917" s="21">
        <f>IF(B1917="","",J1917*(Settings!$C$11+Settings!$C$12+Settings!$C$14)+IF(C1917="",Settings!$C$13,IF(COUNTIF($C$5:C1917,C1917)=1,Settings!$C$13,0))+E1917*Settings!$C$15+IF(H1917="Yes",J1917*Settings!$C$16,0))</f>
        <v/>
      </c>
      <c r="L1917" s="21">
        <f>IF(B1917="","",IF(Settings!$C$5="Yes",0,K1917*Settings!$C$17))</f>
        <v/>
      </c>
      <c r="M1917" s="21">
        <f>IF(B1917="","",E1917*IFERROR(VLOOKUP(D1917,Products!$B$5:$F$204,5,FALSE),0))</f>
        <v/>
      </c>
      <c r="N1917" s="21">
        <f>IF(B1917="","",J1917-K1917-L1917-M1917-I1917)</f>
        <v/>
      </c>
    </row>
    <row r="1918">
      <c r="B1918" s="11" t="n"/>
      <c r="C1918" s="8" t="n"/>
      <c r="D1918" s="8" t="n"/>
      <c r="E1918" s="8" t="n"/>
      <c r="F1918" s="20" t="n"/>
      <c r="G1918" s="20" t="n"/>
      <c r="H1918" s="8" t="n"/>
      <c r="I1918" s="20" t="n"/>
      <c r="J1918" s="21">
        <f>IF(B1918="","",F1918+G1918)</f>
        <v/>
      </c>
      <c r="K1918" s="21">
        <f>IF(B1918="","",J1918*(Settings!$C$11+Settings!$C$12+Settings!$C$14)+IF(C1918="",Settings!$C$13,IF(COUNTIF($C$5:C1918,C1918)=1,Settings!$C$13,0))+E1918*Settings!$C$15+IF(H1918="Yes",J1918*Settings!$C$16,0))</f>
        <v/>
      </c>
      <c r="L1918" s="21">
        <f>IF(B1918="","",IF(Settings!$C$5="Yes",0,K1918*Settings!$C$17))</f>
        <v/>
      </c>
      <c r="M1918" s="21">
        <f>IF(B1918="","",E1918*IFERROR(VLOOKUP(D1918,Products!$B$5:$F$204,5,FALSE),0))</f>
        <v/>
      </c>
      <c r="N1918" s="21">
        <f>IF(B1918="","",J1918-K1918-L1918-M1918-I1918)</f>
        <v/>
      </c>
    </row>
    <row r="1919">
      <c r="B1919" s="11" t="n"/>
      <c r="C1919" s="8" t="n"/>
      <c r="D1919" s="8" t="n"/>
      <c r="E1919" s="8" t="n"/>
      <c r="F1919" s="20" t="n"/>
      <c r="G1919" s="20" t="n"/>
      <c r="H1919" s="8" t="n"/>
      <c r="I1919" s="20" t="n"/>
      <c r="J1919" s="21">
        <f>IF(B1919="","",F1919+G1919)</f>
        <v/>
      </c>
      <c r="K1919" s="21">
        <f>IF(B1919="","",J1919*(Settings!$C$11+Settings!$C$12+Settings!$C$14)+IF(C1919="",Settings!$C$13,IF(COUNTIF($C$5:C1919,C1919)=1,Settings!$C$13,0))+E1919*Settings!$C$15+IF(H1919="Yes",J1919*Settings!$C$16,0))</f>
        <v/>
      </c>
      <c r="L1919" s="21">
        <f>IF(B1919="","",IF(Settings!$C$5="Yes",0,K1919*Settings!$C$17))</f>
        <v/>
      </c>
      <c r="M1919" s="21">
        <f>IF(B1919="","",E1919*IFERROR(VLOOKUP(D1919,Products!$B$5:$F$204,5,FALSE),0))</f>
        <v/>
      </c>
      <c r="N1919" s="21">
        <f>IF(B1919="","",J1919-K1919-L1919-M1919-I1919)</f>
        <v/>
      </c>
    </row>
    <row r="1920">
      <c r="B1920" s="11" t="n"/>
      <c r="C1920" s="8" t="n"/>
      <c r="D1920" s="8" t="n"/>
      <c r="E1920" s="8" t="n"/>
      <c r="F1920" s="20" t="n"/>
      <c r="G1920" s="20" t="n"/>
      <c r="H1920" s="8" t="n"/>
      <c r="I1920" s="20" t="n"/>
      <c r="J1920" s="21">
        <f>IF(B1920="","",F1920+G1920)</f>
        <v/>
      </c>
      <c r="K1920" s="21">
        <f>IF(B1920="","",J1920*(Settings!$C$11+Settings!$C$12+Settings!$C$14)+IF(C1920="",Settings!$C$13,IF(COUNTIF($C$5:C1920,C1920)=1,Settings!$C$13,0))+E1920*Settings!$C$15+IF(H1920="Yes",J1920*Settings!$C$16,0))</f>
        <v/>
      </c>
      <c r="L1920" s="21">
        <f>IF(B1920="","",IF(Settings!$C$5="Yes",0,K1920*Settings!$C$17))</f>
        <v/>
      </c>
      <c r="M1920" s="21">
        <f>IF(B1920="","",E1920*IFERROR(VLOOKUP(D1920,Products!$B$5:$F$204,5,FALSE),0))</f>
        <v/>
      </c>
      <c r="N1920" s="21">
        <f>IF(B1920="","",J1920-K1920-L1920-M1920-I1920)</f>
        <v/>
      </c>
    </row>
    <row r="1921">
      <c r="B1921" s="11" t="n"/>
      <c r="C1921" s="8" t="n"/>
      <c r="D1921" s="8" t="n"/>
      <c r="E1921" s="8" t="n"/>
      <c r="F1921" s="20" t="n"/>
      <c r="G1921" s="20" t="n"/>
      <c r="H1921" s="8" t="n"/>
      <c r="I1921" s="20" t="n"/>
      <c r="J1921" s="21">
        <f>IF(B1921="","",F1921+G1921)</f>
        <v/>
      </c>
      <c r="K1921" s="21">
        <f>IF(B1921="","",J1921*(Settings!$C$11+Settings!$C$12+Settings!$C$14)+IF(C1921="",Settings!$C$13,IF(COUNTIF($C$5:C1921,C1921)=1,Settings!$C$13,0))+E1921*Settings!$C$15+IF(H1921="Yes",J1921*Settings!$C$16,0))</f>
        <v/>
      </c>
      <c r="L1921" s="21">
        <f>IF(B1921="","",IF(Settings!$C$5="Yes",0,K1921*Settings!$C$17))</f>
        <v/>
      </c>
      <c r="M1921" s="21">
        <f>IF(B1921="","",E1921*IFERROR(VLOOKUP(D1921,Products!$B$5:$F$204,5,FALSE),0))</f>
        <v/>
      </c>
      <c r="N1921" s="21">
        <f>IF(B1921="","",J1921-K1921-L1921-M1921-I1921)</f>
        <v/>
      </c>
    </row>
    <row r="1922">
      <c r="B1922" s="11" t="n"/>
      <c r="C1922" s="8" t="n"/>
      <c r="D1922" s="8" t="n"/>
      <c r="E1922" s="8" t="n"/>
      <c r="F1922" s="20" t="n"/>
      <c r="G1922" s="20" t="n"/>
      <c r="H1922" s="8" t="n"/>
      <c r="I1922" s="20" t="n"/>
      <c r="J1922" s="21">
        <f>IF(B1922="","",F1922+G1922)</f>
        <v/>
      </c>
      <c r="K1922" s="21">
        <f>IF(B1922="","",J1922*(Settings!$C$11+Settings!$C$12+Settings!$C$14)+IF(C1922="",Settings!$C$13,IF(COUNTIF($C$5:C1922,C1922)=1,Settings!$C$13,0))+E1922*Settings!$C$15+IF(H1922="Yes",J1922*Settings!$C$16,0))</f>
        <v/>
      </c>
      <c r="L1922" s="21">
        <f>IF(B1922="","",IF(Settings!$C$5="Yes",0,K1922*Settings!$C$17))</f>
        <v/>
      </c>
      <c r="M1922" s="21">
        <f>IF(B1922="","",E1922*IFERROR(VLOOKUP(D1922,Products!$B$5:$F$204,5,FALSE),0))</f>
        <v/>
      </c>
      <c r="N1922" s="21">
        <f>IF(B1922="","",J1922-K1922-L1922-M1922-I1922)</f>
        <v/>
      </c>
    </row>
    <row r="1923">
      <c r="B1923" s="11" t="n"/>
      <c r="C1923" s="8" t="n"/>
      <c r="D1923" s="8" t="n"/>
      <c r="E1923" s="8" t="n"/>
      <c r="F1923" s="20" t="n"/>
      <c r="G1923" s="20" t="n"/>
      <c r="H1923" s="8" t="n"/>
      <c r="I1923" s="20" t="n"/>
      <c r="J1923" s="21">
        <f>IF(B1923="","",F1923+G1923)</f>
        <v/>
      </c>
      <c r="K1923" s="21">
        <f>IF(B1923="","",J1923*(Settings!$C$11+Settings!$C$12+Settings!$C$14)+IF(C1923="",Settings!$C$13,IF(COUNTIF($C$5:C1923,C1923)=1,Settings!$C$13,0))+E1923*Settings!$C$15+IF(H1923="Yes",J1923*Settings!$C$16,0))</f>
        <v/>
      </c>
      <c r="L1923" s="21">
        <f>IF(B1923="","",IF(Settings!$C$5="Yes",0,K1923*Settings!$C$17))</f>
        <v/>
      </c>
      <c r="M1923" s="21">
        <f>IF(B1923="","",E1923*IFERROR(VLOOKUP(D1923,Products!$B$5:$F$204,5,FALSE),0))</f>
        <v/>
      </c>
      <c r="N1923" s="21">
        <f>IF(B1923="","",J1923-K1923-L1923-M1923-I1923)</f>
        <v/>
      </c>
    </row>
    <row r="1924">
      <c r="B1924" s="11" t="n"/>
      <c r="C1924" s="8" t="n"/>
      <c r="D1924" s="8" t="n"/>
      <c r="E1924" s="8" t="n"/>
      <c r="F1924" s="20" t="n"/>
      <c r="G1924" s="20" t="n"/>
      <c r="H1924" s="8" t="n"/>
      <c r="I1924" s="20" t="n"/>
      <c r="J1924" s="21">
        <f>IF(B1924="","",F1924+G1924)</f>
        <v/>
      </c>
      <c r="K1924" s="21">
        <f>IF(B1924="","",J1924*(Settings!$C$11+Settings!$C$12+Settings!$C$14)+IF(C1924="",Settings!$C$13,IF(COUNTIF($C$5:C1924,C1924)=1,Settings!$C$13,0))+E1924*Settings!$C$15+IF(H1924="Yes",J1924*Settings!$C$16,0))</f>
        <v/>
      </c>
      <c r="L1924" s="21">
        <f>IF(B1924="","",IF(Settings!$C$5="Yes",0,K1924*Settings!$C$17))</f>
        <v/>
      </c>
      <c r="M1924" s="21">
        <f>IF(B1924="","",E1924*IFERROR(VLOOKUP(D1924,Products!$B$5:$F$204,5,FALSE),0))</f>
        <v/>
      </c>
      <c r="N1924" s="21">
        <f>IF(B1924="","",J1924-K1924-L1924-M1924-I1924)</f>
        <v/>
      </c>
    </row>
    <row r="1925">
      <c r="B1925" s="11" t="n"/>
      <c r="C1925" s="8" t="n"/>
      <c r="D1925" s="8" t="n"/>
      <c r="E1925" s="8" t="n"/>
      <c r="F1925" s="20" t="n"/>
      <c r="G1925" s="20" t="n"/>
      <c r="H1925" s="8" t="n"/>
      <c r="I1925" s="20" t="n"/>
      <c r="J1925" s="21">
        <f>IF(B1925="","",F1925+G1925)</f>
        <v/>
      </c>
      <c r="K1925" s="21">
        <f>IF(B1925="","",J1925*(Settings!$C$11+Settings!$C$12+Settings!$C$14)+IF(C1925="",Settings!$C$13,IF(COUNTIF($C$5:C1925,C1925)=1,Settings!$C$13,0))+E1925*Settings!$C$15+IF(H1925="Yes",J1925*Settings!$C$16,0))</f>
        <v/>
      </c>
      <c r="L1925" s="21">
        <f>IF(B1925="","",IF(Settings!$C$5="Yes",0,K1925*Settings!$C$17))</f>
        <v/>
      </c>
      <c r="M1925" s="21">
        <f>IF(B1925="","",E1925*IFERROR(VLOOKUP(D1925,Products!$B$5:$F$204,5,FALSE),0))</f>
        <v/>
      </c>
      <c r="N1925" s="21">
        <f>IF(B1925="","",J1925-K1925-L1925-M1925-I1925)</f>
        <v/>
      </c>
    </row>
    <row r="1926">
      <c r="B1926" s="11" t="n"/>
      <c r="C1926" s="8" t="n"/>
      <c r="D1926" s="8" t="n"/>
      <c r="E1926" s="8" t="n"/>
      <c r="F1926" s="20" t="n"/>
      <c r="G1926" s="20" t="n"/>
      <c r="H1926" s="8" t="n"/>
      <c r="I1926" s="20" t="n"/>
      <c r="J1926" s="21">
        <f>IF(B1926="","",F1926+G1926)</f>
        <v/>
      </c>
      <c r="K1926" s="21">
        <f>IF(B1926="","",J1926*(Settings!$C$11+Settings!$C$12+Settings!$C$14)+IF(C1926="",Settings!$C$13,IF(COUNTIF($C$5:C1926,C1926)=1,Settings!$C$13,0))+E1926*Settings!$C$15+IF(H1926="Yes",J1926*Settings!$C$16,0))</f>
        <v/>
      </c>
      <c r="L1926" s="21">
        <f>IF(B1926="","",IF(Settings!$C$5="Yes",0,K1926*Settings!$C$17))</f>
        <v/>
      </c>
      <c r="M1926" s="21">
        <f>IF(B1926="","",E1926*IFERROR(VLOOKUP(D1926,Products!$B$5:$F$204,5,FALSE),0))</f>
        <v/>
      </c>
      <c r="N1926" s="21">
        <f>IF(B1926="","",J1926-K1926-L1926-M1926-I1926)</f>
        <v/>
      </c>
    </row>
    <row r="1927">
      <c r="B1927" s="11" t="n"/>
      <c r="C1927" s="8" t="n"/>
      <c r="D1927" s="8" t="n"/>
      <c r="E1927" s="8" t="n"/>
      <c r="F1927" s="20" t="n"/>
      <c r="G1927" s="20" t="n"/>
      <c r="H1927" s="8" t="n"/>
      <c r="I1927" s="20" t="n"/>
      <c r="J1927" s="21">
        <f>IF(B1927="","",F1927+G1927)</f>
        <v/>
      </c>
      <c r="K1927" s="21">
        <f>IF(B1927="","",J1927*(Settings!$C$11+Settings!$C$12+Settings!$C$14)+IF(C1927="",Settings!$C$13,IF(COUNTIF($C$5:C1927,C1927)=1,Settings!$C$13,0))+E1927*Settings!$C$15+IF(H1927="Yes",J1927*Settings!$C$16,0))</f>
        <v/>
      </c>
      <c r="L1927" s="21">
        <f>IF(B1927="","",IF(Settings!$C$5="Yes",0,K1927*Settings!$C$17))</f>
        <v/>
      </c>
      <c r="M1927" s="21">
        <f>IF(B1927="","",E1927*IFERROR(VLOOKUP(D1927,Products!$B$5:$F$204,5,FALSE),0))</f>
        <v/>
      </c>
      <c r="N1927" s="21">
        <f>IF(B1927="","",J1927-K1927-L1927-M1927-I1927)</f>
        <v/>
      </c>
    </row>
    <row r="1928">
      <c r="B1928" s="11" t="n"/>
      <c r="C1928" s="8" t="n"/>
      <c r="D1928" s="8" t="n"/>
      <c r="E1928" s="8" t="n"/>
      <c r="F1928" s="20" t="n"/>
      <c r="G1928" s="20" t="n"/>
      <c r="H1928" s="8" t="n"/>
      <c r="I1928" s="20" t="n"/>
      <c r="J1928" s="21">
        <f>IF(B1928="","",F1928+G1928)</f>
        <v/>
      </c>
      <c r="K1928" s="21">
        <f>IF(B1928="","",J1928*(Settings!$C$11+Settings!$C$12+Settings!$C$14)+IF(C1928="",Settings!$C$13,IF(COUNTIF($C$5:C1928,C1928)=1,Settings!$C$13,0))+E1928*Settings!$C$15+IF(H1928="Yes",J1928*Settings!$C$16,0))</f>
        <v/>
      </c>
      <c r="L1928" s="21">
        <f>IF(B1928="","",IF(Settings!$C$5="Yes",0,K1928*Settings!$C$17))</f>
        <v/>
      </c>
      <c r="M1928" s="21">
        <f>IF(B1928="","",E1928*IFERROR(VLOOKUP(D1928,Products!$B$5:$F$204,5,FALSE),0))</f>
        <v/>
      </c>
      <c r="N1928" s="21">
        <f>IF(B1928="","",J1928-K1928-L1928-M1928-I1928)</f>
        <v/>
      </c>
    </row>
    <row r="1929">
      <c r="B1929" s="11" t="n"/>
      <c r="C1929" s="8" t="n"/>
      <c r="D1929" s="8" t="n"/>
      <c r="E1929" s="8" t="n"/>
      <c r="F1929" s="20" t="n"/>
      <c r="G1929" s="20" t="n"/>
      <c r="H1929" s="8" t="n"/>
      <c r="I1929" s="20" t="n"/>
      <c r="J1929" s="21">
        <f>IF(B1929="","",F1929+G1929)</f>
        <v/>
      </c>
      <c r="K1929" s="21">
        <f>IF(B1929="","",J1929*(Settings!$C$11+Settings!$C$12+Settings!$C$14)+IF(C1929="",Settings!$C$13,IF(COUNTIF($C$5:C1929,C1929)=1,Settings!$C$13,0))+E1929*Settings!$C$15+IF(H1929="Yes",J1929*Settings!$C$16,0))</f>
        <v/>
      </c>
      <c r="L1929" s="21">
        <f>IF(B1929="","",IF(Settings!$C$5="Yes",0,K1929*Settings!$C$17))</f>
        <v/>
      </c>
      <c r="M1929" s="21">
        <f>IF(B1929="","",E1929*IFERROR(VLOOKUP(D1929,Products!$B$5:$F$204,5,FALSE),0))</f>
        <v/>
      </c>
      <c r="N1929" s="21">
        <f>IF(B1929="","",J1929-K1929-L1929-M1929-I1929)</f>
        <v/>
      </c>
    </row>
    <row r="1930">
      <c r="B1930" s="11" t="n"/>
      <c r="C1930" s="8" t="n"/>
      <c r="D1930" s="8" t="n"/>
      <c r="E1930" s="8" t="n"/>
      <c r="F1930" s="20" t="n"/>
      <c r="G1930" s="20" t="n"/>
      <c r="H1930" s="8" t="n"/>
      <c r="I1930" s="20" t="n"/>
      <c r="J1930" s="21">
        <f>IF(B1930="","",F1930+G1930)</f>
        <v/>
      </c>
      <c r="K1930" s="21">
        <f>IF(B1930="","",J1930*(Settings!$C$11+Settings!$C$12+Settings!$C$14)+IF(C1930="",Settings!$C$13,IF(COUNTIF($C$5:C1930,C1930)=1,Settings!$C$13,0))+E1930*Settings!$C$15+IF(H1930="Yes",J1930*Settings!$C$16,0))</f>
        <v/>
      </c>
      <c r="L1930" s="21">
        <f>IF(B1930="","",IF(Settings!$C$5="Yes",0,K1930*Settings!$C$17))</f>
        <v/>
      </c>
      <c r="M1930" s="21">
        <f>IF(B1930="","",E1930*IFERROR(VLOOKUP(D1930,Products!$B$5:$F$204,5,FALSE),0))</f>
        <v/>
      </c>
      <c r="N1930" s="21">
        <f>IF(B1930="","",J1930-K1930-L1930-M1930-I1930)</f>
        <v/>
      </c>
    </row>
    <row r="1931">
      <c r="B1931" s="11" t="n"/>
      <c r="C1931" s="8" t="n"/>
      <c r="D1931" s="8" t="n"/>
      <c r="E1931" s="8" t="n"/>
      <c r="F1931" s="20" t="n"/>
      <c r="G1931" s="20" t="n"/>
      <c r="H1931" s="8" t="n"/>
      <c r="I1931" s="20" t="n"/>
      <c r="J1931" s="21">
        <f>IF(B1931="","",F1931+G1931)</f>
        <v/>
      </c>
      <c r="K1931" s="21">
        <f>IF(B1931="","",J1931*(Settings!$C$11+Settings!$C$12+Settings!$C$14)+IF(C1931="",Settings!$C$13,IF(COUNTIF($C$5:C1931,C1931)=1,Settings!$C$13,0))+E1931*Settings!$C$15+IF(H1931="Yes",J1931*Settings!$C$16,0))</f>
        <v/>
      </c>
      <c r="L1931" s="21">
        <f>IF(B1931="","",IF(Settings!$C$5="Yes",0,K1931*Settings!$C$17))</f>
        <v/>
      </c>
      <c r="M1931" s="21">
        <f>IF(B1931="","",E1931*IFERROR(VLOOKUP(D1931,Products!$B$5:$F$204,5,FALSE),0))</f>
        <v/>
      </c>
      <c r="N1931" s="21">
        <f>IF(B1931="","",J1931-K1931-L1931-M1931-I1931)</f>
        <v/>
      </c>
    </row>
    <row r="1932">
      <c r="B1932" s="11" t="n"/>
      <c r="C1932" s="8" t="n"/>
      <c r="D1932" s="8" t="n"/>
      <c r="E1932" s="8" t="n"/>
      <c r="F1932" s="20" t="n"/>
      <c r="G1932" s="20" t="n"/>
      <c r="H1932" s="8" t="n"/>
      <c r="I1932" s="20" t="n"/>
      <c r="J1932" s="21">
        <f>IF(B1932="","",F1932+G1932)</f>
        <v/>
      </c>
      <c r="K1932" s="21">
        <f>IF(B1932="","",J1932*(Settings!$C$11+Settings!$C$12+Settings!$C$14)+IF(C1932="",Settings!$C$13,IF(COUNTIF($C$5:C1932,C1932)=1,Settings!$C$13,0))+E1932*Settings!$C$15+IF(H1932="Yes",J1932*Settings!$C$16,0))</f>
        <v/>
      </c>
      <c r="L1932" s="21">
        <f>IF(B1932="","",IF(Settings!$C$5="Yes",0,K1932*Settings!$C$17))</f>
        <v/>
      </c>
      <c r="M1932" s="21">
        <f>IF(B1932="","",E1932*IFERROR(VLOOKUP(D1932,Products!$B$5:$F$204,5,FALSE),0))</f>
        <v/>
      </c>
      <c r="N1932" s="21">
        <f>IF(B1932="","",J1932-K1932-L1932-M1932-I1932)</f>
        <v/>
      </c>
    </row>
    <row r="1933">
      <c r="B1933" s="11" t="n"/>
      <c r="C1933" s="8" t="n"/>
      <c r="D1933" s="8" t="n"/>
      <c r="E1933" s="8" t="n"/>
      <c r="F1933" s="20" t="n"/>
      <c r="G1933" s="20" t="n"/>
      <c r="H1933" s="8" t="n"/>
      <c r="I1933" s="20" t="n"/>
      <c r="J1933" s="21">
        <f>IF(B1933="","",F1933+G1933)</f>
        <v/>
      </c>
      <c r="K1933" s="21">
        <f>IF(B1933="","",J1933*(Settings!$C$11+Settings!$C$12+Settings!$C$14)+IF(C1933="",Settings!$C$13,IF(COUNTIF($C$5:C1933,C1933)=1,Settings!$C$13,0))+E1933*Settings!$C$15+IF(H1933="Yes",J1933*Settings!$C$16,0))</f>
        <v/>
      </c>
      <c r="L1933" s="21">
        <f>IF(B1933="","",IF(Settings!$C$5="Yes",0,K1933*Settings!$C$17))</f>
        <v/>
      </c>
      <c r="M1933" s="21">
        <f>IF(B1933="","",E1933*IFERROR(VLOOKUP(D1933,Products!$B$5:$F$204,5,FALSE),0))</f>
        <v/>
      </c>
      <c r="N1933" s="21">
        <f>IF(B1933="","",J1933-K1933-L1933-M1933-I1933)</f>
        <v/>
      </c>
    </row>
    <row r="1934">
      <c r="B1934" s="11" t="n"/>
      <c r="C1934" s="8" t="n"/>
      <c r="D1934" s="8" t="n"/>
      <c r="E1934" s="8" t="n"/>
      <c r="F1934" s="20" t="n"/>
      <c r="G1934" s="20" t="n"/>
      <c r="H1934" s="8" t="n"/>
      <c r="I1934" s="20" t="n"/>
      <c r="J1934" s="21">
        <f>IF(B1934="","",F1934+G1934)</f>
        <v/>
      </c>
      <c r="K1934" s="21">
        <f>IF(B1934="","",J1934*(Settings!$C$11+Settings!$C$12+Settings!$C$14)+IF(C1934="",Settings!$C$13,IF(COUNTIF($C$5:C1934,C1934)=1,Settings!$C$13,0))+E1934*Settings!$C$15+IF(H1934="Yes",J1934*Settings!$C$16,0))</f>
        <v/>
      </c>
      <c r="L1934" s="21">
        <f>IF(B1934="","",IF(Settings!$C$5="Yes",0,K1934*Settings!$C$17))</f>
        <v/>
      </c>
      <c r="M1934" s="21">
        <f>IF(B1934="","",E1934*IFERROR(VLOOKUP(D1934,Products!$B$5:$F$204,5,FALSE),0))</f>
        <v/>
      </c>
      <c r="N1934" s="21">
        <f>IF(B1934="","",J1934-K1934-L1934-M1934-I1934)</f>
        <v/>
      </c>
    </row>
    <row r="1935">
      <c r="B1935" s="11" t="n"/>
      <c r="C1935" s="8" t="n"/>
      <c r="D1935" s="8" t="n"/>
      <c r="E1935" s="8" t="n"/>
      <c r="F1935" s="20" t="n"/>
      <c r="G1935" s="20" t="n"/>
      <c r="H1935" s="8" t="n"/>
      <c r="I1935" s="20" t="n"/>
      <c r="J1935" s="21">
        <f>IF(B1935="","",F1935+G1935)</f>
        <v/>
      </c>
      <c r="K1935" s="21">
        <f>IF(B1935="","",J1935*(Settings!$C$11+Settings!$C$12+Settings!$C$14)+IF(C1935="",Settings!$C$13,IF(COUNTIF($C$5:C1935,C1935)=1,Settings!$C$13,0))+E1935*Settings!$C$15+IF(H1935="Yes",J1935*Settings!$C$16,0))</f>
        <v/>
      </c>
      <c r="L1935" s="21">
        <f>IF(B1935="","",IF(Settings!$C$5="Yes",0,K1935*Settings!$C$17))</f>
        <v/>
      </c>
      <c r="M1935" s="21">
        <f>IF(B1935="","",E1935*IFERROR(VLOOKUP(D1935,Products!$B$5:$F$204,5,FALSE),0))</f>
        <v/>
      </c>
      <c r="N1935" s="21">
        <f>IF(B1935="","",J1935-K1935-L1935-M1935-I1935)</f>
        <v/>
      </c>
    </row>
    <row r="1936">
      <c r="B1936" s="11" t="n"/>
      <c r="C1936" s="8" t="n"/>
      <c r="D1936" s="8" t="n"/>
      <c r="E1936" s="8" t="n"/>
      <c r="F1936" s="20" t="n"/>
      <c r="G1936" s="20" t="n"/>
      <c r="H1936" s="8" t="n"/>
      <c r="I1936" s="20" t="n"/>
      <c r="J1936" s="21">
        <f>IF(B1936="","",F1936+G1936)</f>
        <v/>
      </c>
      <c r="K1936" s="21">
        <f>IF(B1936="","",J1936*(Settings!$C$11+Settings!$C$12+Settings!$C$14)+IF(C1936="",Settings!$C$13,IF(COUNTIF($C$5:C1936,C1936)=1,Settings!$C$13,0))+E1936*Settings!$C$15+IF(H1936="Yes",J1936*Settings!$C$16,0))</f>
        <v/>
      </c>
      <c r="L1936" s="21">
        <f>IF(B1936="","",IF(Settings!$C$5="Yes",0,K1936*Settings!$C$17))</f>
        <v/>
      </c>
      <c r="M1936" s="21">
        <f>IF(B1936="","",E1936*IFERROR(VLOOKUP(D1936,Products!$B$5:$F$204,5,FALSE),0))</f>
        <v/>
      </c>
      <c r="N1936" s="21">
        <f>IF(B1936="","",J1936-K1936-L1936-M1936-I1936)</f>
        <v/>
      </c>
    </row>
    <row r="1937">
      <c r="B1937" s="11" t="n"/>
      <c r="C1937" s="8" t="n"/>
      <c r="D1937" s="8" t="n"/>
      <c r="E1937" s="8" t="n"/>
      <c r="F1937" s="20" t="n"/>
      <c r="G1937" s="20" t="n"/>
      <c r="H1937" s="8" t="n"/>
      <c r="I1937" s="20" t="n"/>
      <c r="J1937" s="21">
        <f>IF(B1937="","",F1937+G1937)</f>
        <v/>
      </c>
      <c r="K1937" s="21">
        <f>IF(B1937="","",J1937*(Settings!$C$11+Settings!$C$12+Settings!$C$14)+IF(C1937="",Settings!$C$13,IF(COUNTIF($C$5:C1937,C1937)=1,Settings!$C$13,0))+E1937*Settings!$C$15+IF(H1937="Yes",J1937*Settings!$C$16,0))</f>
        <v/>
      </c>
      <c r="L1937" s="21">
        <f>IF(B1937="","",IF(Settings!$C$5="Yes",0,K1937*Settings!$C$17))</f>
        <v/>
      </c>
      <c r="M1937" s="21">
        <f>IF(B1937="","",E1937*IFERROR(VLOOKUP(D1937,Products!$B$5:$F$204,5,FALSE),0))</f>
        <v/>
      </c>
      <c r="N1937" s="21">
        <f>IF(B1937="","",J1937-K1937-L1937-M1937-I1937)</f>
        <v/>
      </c>
    </row>
    <row r="1938">
      <c r="B1938" s="11" t="n"/>
      <c r="C1938" s="8" t="n"/>
      <c r="D1938" s="8" t="n"/>
      <c r="E1938" s="8" t="n"/>
      <c r="F1938" s="20" t="n"/>
      <c r="G1938" s="20" t="n"/>
      <c r="H1938" s="8" t="n"/>
      <c r="I1938" s="20" t="n"/>
      <c r="J1938" s="21">
        <f>IF(B1938="","",F1938+G1938)</f>
        <v/>
      </c>
      <c r="K1938" s="21">
        <f>IF(B1938="","",J1938*(Settings!$C$11+Settings!$C$12+Settings!$C$14)+IF(C1938="",Settings!$C$13,IF(COUNTIF($C$5:C1938,C1938)=1,Settings!$C$13,0))+E1938*Settings!$C$15+IF(H1938="Yes",J1938*Settings!$C$16,0))</f>
        <v/>
      </c>
      <c r="L1938" s="21">
        <f>IF(B1938="","",IF(Settings!$C$5="Yes",0,K1938*Settings!$C$17))</f>
        <v/>
      </c>
      <c r="M1938" s="21">
        <f>IF(B1938="","",E1938*IFERROR(VLOOKUP(D1938,Products!$B$5:$F$204,5,FALSE),0))</f>
        <v/>
      </c>
      <c r="N1938" s="21">
        <f>IF(B1938="","",J1938-K1938-L1938-M1938-I1938)</f>
        <v/>
      </c>
    </row>
    <row r="1939">
      <c r="B1939" s="11" t="n"/>
      <c r="C1939" s="8" t="n"/>
      <c r="D1939" s="8" t="n"/>
      <c r="E1939" s="8" t="n"/>
      <c r="F1939" s="20" t="n"/>
      <c r="G1939" s="20" t="n"/>
      <c r="H1939" s="8" t="n"/>
      <c r="I1939" s="20" t="n"/>
      <c r="J1939" s="21">
        <f>IF(B1939="","",F1939+G1939)</f>
        <v/>
      </c>
      <c r="K1939" s="21">
        <f>IF(B1939="","",J1939*(Settings!$C$11+Settings!$C$12+Settings!$C$14)+IF(C1939="",Settings!$C$13,IF(COUNTIF($C$5:C1939,C1939)=1,Settings!$C$13,0))+E1939*Settings!$C$15+IF(H1939="Yes",J1939*Settings!$C$16,0))</f>
        <v/>
      </c>
      <c r="L1939" s="21">
        <f>IF(B1939="","",IF(Settings!$C$5="Yes",0,K1939*Settings!$C$17))</f>
        <v/>
      </c>
      <c r="M1939" s="21">
        <f>IF(B1939="","",E1939*IFERROR(VLOOKUP(D1939,Products!$B$5:$F$204,5,FALSE),0))</f>
        <v/>
      </c>
      <c r="N1939" s="21">
        <f>IF(B1939="","",J1939-K1939-L1939-M1939-I1939)</f>
        <v/>
      </c>
    </row>
    <row r="1940">
      <c r="B1940" s="11" t="n"/>
      <c r="C1940" s="8" t="n"/>
      <c r="D1940" s="8" t="n"/>
      <c r="E1940" s="8" t="n"/>
      <c r="F1940" s="20" t="n"/>
      <c r="G1940" s="20" t="n"/>
      <c r="H1940" s="8" t="n"/>
      <c r="I1940" s="20" t="n"/>
      <c r="J1940" s="21">
        <f>IF(B1940="","",F1940+G1940)</f>
        <v/>
      </c>
      <c r="K1940" s="21">
        <f>IF(B1940="","",J1940*(Settings!$C$11+Settings!$C$12+Settings!$C$14)+IF(C1940="",Settings!$C$13,IF(COUNTIF($C$5:C1940,C1940)=1,Settings!$C$13,0))+E1940*Settings!$C$15+IF(H1940="Yes",J1940*Settings!$C$16,0))</f>
        <v/>
      </c>
      <c r="L1940" s="21">
        <f>IF(B1940="","",IF(Settings!$C$5="Yes",0,K1940*Settings!$C$17))</f>
        <v/>
      </c>
      <c r="M1940" s="21">
        <f>IF(B1940="","",E1940*IFERROR(VLOOKUP(D1940,Products!$B$5:$F$204,5,FALSE),0))</f>
        <v/>
      </c>
      <c r="N1940" s="21">
        <f>IF(B1940="","",J1940-K1940-L1940-M1940-I1940)</f>
        <v/>
      </c>
    </row>
    <row r="1941">
      <c r="B1941" s="11" t="n"/>
      <c r="C1941" s="8" t="n"/>
      <c r="D1941" s="8" t="n"/>
      <c r="E1941" s="8" t="n"/>
      <c r="F1941" s="20" t="n"/>
      <c r="G1941" s="20" t="n"/>
      <c r="H1941" s="8" t="n"/>
      <c r="I1941" s="20" t="n"/>
      <c r="J1941" s="21">
        <f>IF(B1941="","",F1941+G1941)</f>
        <v/>
      </c>
      <c r="K1941" s="21">
        <f>IF(B1941="","",J1941*(Settings!$C$11+Settings!$C$12+Settings!$C$14)+IF(C1941="",Settings!$C$13,IF(COUNTIF($C$5:C1941,C1941)=1,Settings!$C$13,0))+E1941*Settings!$C$15+IF(H1941="Yes",J1941*Settings!$C$16,0))</f>
        <v/>
      </c>
      <c r="L1941" s="21">
        <f>IF(B1941="","",IF(Settings!$C$5="Yes",0,K1941*Settings!$C$17))</f>
        <v/>
      </c>
      <c r="M1941" s="21">
        <f>IF(B1941="","",E1941*IFERROR(VLOOKUP(D1941,Products!$B$5:$F$204,5,FALSE),0))</f>
        <v/>
      </c>
      <c r="N1941" s="21">
        <f>IF(B1941="","",J1941-K1941-L1941-M1941-I1941)</f>
        <v/>
      </c>
    </row>
    <row r="1942">
      <c r="B1942" s="11" t="n"/>
      <c r="C1942" s="8" t="n"/>
      <c r="D1942" s="8" t="n"/>
      <c r="E1942" s="8" t="n"/>
      <c r="F1942" s="20" t="n"/>
      <c r="G1942" s="20" t="n"/>
      <c r="H1942" s="8" t="n"/>
      <c r="I1942" s="20" t="n"/>
      <c r="J1942" s="21">
        <f>IF(B1942="","",F1942+G1942)</f>
        <v/>
      </c>
      <c r="K1942" s="21">
        <f>IF(B1942="","",J1942*(Settings!$C$11+Settings!$C$12+Settings!$C$14)+IF(C1942="",Settings!$C$13,IF(COUNTIF($C$5:C1942,C1942)=1,Settings!$C$13,0))+E1942*Settings!$C$15+IF(H1942="Yes",J1942*Settings!$C$16,0))</f>
        <v/>
      </c>
      <c r="L1942" s="21">
        <f>IF(B1942="","",IF(Settings!$C$5="Yes",0,K1942*Settings!$C$17))</f>
        <v/>
      </c>
      <c r="M1942" s="21">
        <f>IF(B1942="","",E1942*IFERROR(VLOOKUP(D1942,Products!$B$5:$F$204,5,FALSE),0))</f>
        <v/>
      </c>
      <c r="N1942" s="21">
        <f>IF(B1942="","",J1942-K1942-L1942-M1942-I1942)</f>
        <v/>
      </c>
    </row>
    <row r="1943">
      <c r="B1943" s="11" t="n"/>
      <c r="C1943" s="8" t="n"/>
      <c r="D1943" s="8" t="n"/>
      <c r="E1943" s="8" t="n"/>
      <c r="F1943" s="20" t="n"/>
      <c r="G1943" s="20" t="n"/>
      <c r="H1943" s="8" t="n"/>
      <c r="I1943" s="20" t="n"/>
      <c r="J1943" s="21">
        <f>IF(B1943="","",F1943+G1943)</f>
        <v/>
      </c>
      <c r="K1943" s="21">
        <f>IF(B1943="","",J1943*(Settings!$C$11+Settings!$C$12+Settings!$C$14)+IF(C1943="",Settings!$C$13,IF(COUNTIF($C$5:C1943,C1943)=1,Settings!$C$13,0))+E1943*Settings!$C$15+IF(H1943="Yes",J1943*Settings!$C$16,0))</f>
        <v/>
      </c>
      <c r="L1943" s="21">
        <f>IF(B1943="","",IF(Settings!$C$5="Yes",0,K1943*Settings!$C$17))</f>
        <v/>
      </c>
      <c r="M1943" s="21">
        <f>IF(B1943="","",E1943*IFERROR(VLOOKUP(D1943,Products!$B$5:$F$204,5,FALSE),0))</f>
        <v/>
      </c>
      <c r="N1943" s="21">
        <f>IF(B1943="","",J1943-K1943-L1943-M1943-I1943)</f>
        <v/>
      </c>
    </row>
    <row r="1944">
      <c r="B1944" s="11" t="n"/>
      <c r="C1944" s="8" t="n"/>
      <c r="D1944" s="8" t="n"/>
      <c r="E1944" s="8" t="n"/>
      <c r="F1944" s="20" t="n"/>
      <c r="G1944" s="20" t="n"/>
      <c r="H1944" s="8" t="n"/>
      <c r="I1944" s="20" t="n"/>
      <c r="J1944" s="21">
        <f>IF(B1944="","",F1944+G1944)</f>
        <v/>
      </c>
      <c r="K1944" s="21">
        <f>IF(B1944="","",J1944*(Settings!$C$11+Settings!$C$12+Settings!$C$14)+IF(C1944="",Settings!$C$13,IF(COUNTIF($C$5:C1944,C1944)=1,Settings!$C$13,0))+E1944*Settings!$C$15+IF(H1944="Yes",J1944*Settings!$C$16,0))</f>
        <v/>
      </c>
      <c r="L1944" s="21">
        <f>IF(B1944="","",IF(Settings!$C$5="Yes",0,K1944*Settings!$C$17))</f>
        <v/>
      </c>
      <c r="M1944" s="21">
        <f>IF(B1944="","",E1944*IFERROR(VLOOKUP(D1944,Products!$B$5:$F$204,5,FALSE),0))</f>
        <v/>
      </c>
      <c r="N1944" s="21">
        <f>IF(B1944="","",J1944-K1944-L1944-M1944-I1944)</f>
        <v/>
      </c>
    </row>
    <row r="1945">
      <c r="B1945" s="11" t="n"/>
      <c r="C1945" s="8" t="n"/>
      <c r="D1945" s="8" t="n"/>
      <c r="E1945" s="8" t="n"/>
      <c r="F1945" s="20" t="n"/>
      <c r="G1945" s="20" t="n"/>
      <c r="H1945" s="8" t="n"/>
      <c r="I1945" s="20" t="n"/>
      <c r="J1945" s="21">
        <f>IF(B1945="","",F1945+G1945)</f>
        <v/>
      </c>
      <c r="K1945" s="21">
        <f>IF(B1945="","",J1945*(Settings!$C$11+Settings!$C$12+Settings!$C$14)+IF(C1945="",Settings!$C$13,IF(COUNTIF($C$5:C1945,C1945)=1,Settings!$C$13,0))+E1945*Settings!$C$15+IF(H1945="Yes",J1945*Settings!$C$16,0))</f>
        <v/>
      </c>
      <c r="L1945" s="21">
        <f>IF(B1945="","",IF(Settings!$C$5="Yes",0,K1945*Settings!$C$17))</f>
        <v/>
      </c>
      <c r="M1945" s="21">
        <f>IF(B1945="","",E1945*IFERROR(VLOOKUP(D1945,Products!$B$5:$F$204,5,FALSE),0))</f>
        <v/>
      </c>
      <c r="N1945" s="21">
        <f>IF(B1945="","",J1945-K1945-L1945-M1945-I1945)</f>
        <v/>
      </c>
    </row>
    <row r="1946">
      <c r="B1946" s="11" t="n"/>
      <c r="C1946" s="8" t="n"/>
      <c r="D1946" s="8" t="n"/>
      <c r="E1946" s="8" t="n"/>
      <c r="F1946" s="20" t="n"/>
      <c r="G1946" s="20" t="n"/>
      <c r="H1946" s="8" t="n"/>
      <c r="I1946" s="20" t="n"/>
      <c r="J1946" s="21">
        <f>IF(B1946="","",F1946+G1946)</f>
        <v/>
      </c>
      <c r="K1946" s="21">
        <f>IF(B1946="","",J1946*(Settings!$C$11+Settings!$C$12+Settings!$C$14)+IF(C1946="",Settings!$C$13,IF(COUNTIF($C$5:C1946,C1946)=1,Settings!$C$13,0))+E1946*Settings!$C$15+IF(H1946="Yes",J1946*Settings!$C$16,0))</f>
        <v/>
      </c>
      <c r="L1946" s="21">
        <f>IF(B1946="","",IF(Settings!$C$5="Yes",0,K1946*Settings!$C$17))</f>
        <v/>
      </c>
      <c r="M1946" s="21">
        <f>IF(B1946="","",E1946*IFERROR(VLOOKUP(D1946,Products!$B$5:$F$204,5,FALSE),0))</f>
        <v/>
      </c>
      <c r="N1946" s="21">
        <f>IF(B1946="","",J1946-K1946-L1946-M1946-I1946)</f>
        <v/>
      </c>
    </row>
    <row r="1947">
      <c r="B1947" s="11" t="n"/>
      <c r="C1947" s="8" t="n"/>
      <c r="D1947" s="8" t="n"/>
      <c r="E1947" s="8" t="n"/>
      <c r="F1947" s="20" t="n"/>
      <c r="G1947" s="20" t="n"/>
      <c r="H1947" s="8" t="n"/>
      <c r="I1947" s="20" t="n"/>
      <c r="J1947" s="21">
        <f>IF(B1947="","",F1947+G1947)</f>
        <v/>
      </c>
      <c r="K1947" s="21">
        <f>IF(B1947="","",J1947*(Settings!$C$11+Settings!$C$12+Settings!$C$14)+IF(C1947="",Settings!$C$13,IF(COUNTIF($C$5:C1947,C1947)=1,Settings!$C$13,0))+E1947*Settings!$C$15+IF(H1947="Yes",J1947*Settings!$C$16,0))</f>
        <v/>
      </c>
      <c r="L1947" s="21">
        <f>IF(B1947="","",IF(Settings!$C$5="Yes",0,K1947*Settings!$C$17))</f>
        <v/>
      </c>
      <c r="M1947" s="21">
        <f>IF(B1947="","",E1947*IFERROR(VLOOKUP(D1947,Products!$B$5:$F$204,5,FALSE),0))</f>
        <v/>
      </c>
      <c r="N1947" s="21">
        <f>IF(B1947="","",J1947-K1947-L1947-M1947-I1947)</f>
        <v/>
      </c>
    </row>
    <row r="1948">
      <c r="B1948" s="11" t="n"/>
      <c r="C1948" s="8" t="n"/>
      <c r="D1948" s="8" t="n"/>
      <c r="E1948" s="8" t="n"/>
      <c r="F1948" s="20" t="n"/>
      <c r="G1948" s="20" t="n"/>
      <c r="H1948" s="8" t="n"/>
      <c r="I1948" s="20" t="n"/>
      <c r="J1948" s="21">
        <f>IF(B1948="","",F1948+G1948)</f>
        <v/>
      </c>
      <c r="K1948" s="21">
        <f>IF(B1948="","",J1948*(Settings!$C$11+Settings!$C$12+Settings!$C$14)+IF(C1948="",Settings!$C$13,IF(COUNTIF($C$5:C1948,C1948)=1,Settings!$C$13,0))+E1948*Settings!$C$15+IF(H1948="Yes",J1948*Settings!$C$16,0))</f>
        <v/>
      </c>
      <c r="L1948" s="21">
        <f>IF(B1948="","",IF(Settings!$C$5="Yes",0,K1948*Settings!$C$17))</f>
        <v/>
      </c>
      <c r="M1948" s="21">
        <f>IF(B1948="","",E1948*IFERROR(VLOOKUP(D1948,Products!$B$5:$F$204,5,FALSE),0))</f>
        <v/>
      </c>
      <c r="N1948" s="21">
        <f>IF(B1948="","",J1948-K1948-L1948-M1948-I1948)</f>
        <v/>
      </c>
    </row>
    <row r="1949">
      <c r="B1949" s="11" t="n"/>
      <c r="C1949" s="8" t="n"/>
      <c r="D1949" s="8" t="n"/>
      <c r="E1949" s="8" t="n"/>
      <c r="F1949" s="20" t="n"/>
      <c r="G1949" s="20" t="n"/>
      <c r="H1949" s="8" t="n"/>
      <c r="I1949" s="20" t="n"/>
      <c r="J1949" s="21">
        <f>IF(B1949="","",F1949+G1949)</f>
        <v/>
      </c>
      <c r="K1949" s="21">
        <f>IF(B1949="","",J1949*(Settings!$C$11+Settings!$C$12+Settings!$C$14)+IF(C1949="",Settings!$C$13,IF(COUNTIF($C$5:C1949,C1949)=1,Settings!$C$13,0))+E1949*Settings!$C$15+IF(H1949="Yes",J1949*Settings!$C$16,0))</f>
        <v/>
      </c>
      <c r="L1949" s="21">
        <f>IF(B1949="","",IF(Settings!$C$5="Yes",0,K1949*Settings!$C$17))</f>
        <v/>
      </c>
      <c r="M1949" s="21">
        <f>IF(B1949="","",E1949*IFERROR(VLOOKUP(D1949,Products!$B$5:$F$204,5,FALSE),0))</f>
        <v/>
      </c>
      <c r="N1949" s="21">
        <f>IF(B1949="","",J1949-K1949-L1949-M1949-I1949)</f>
        <v/>
      </c>
    </row>
    <row r="1950">
      <c r="B1950" s="11" t="n"/>
      <c r="C1950" s="8" t="n"/>
      <c r="D1950" s="8" t="n"/>
      <c r="E1950" s="8" t="n"/>
      <c r="F1950" s="20" t="n"/>
      <c r="G1950" s="20" t="n"/>
      <c r="H1950" s="8" t="n"/>
      <c r="I1950" s="20" t="n"/>
      <c r="J1950" s="21">
        <f>IF(B1950="","",F1950+G1950)</f>
        <v/>
      </c>
      <c r="K1950" s="21">
        <f>IF(B1950="","",J1950*(Settings!$C$11+Settings!$C$12+Settings!$C$14)+IF(C1950="",Settings!$C$13,IF(COUNTIF($C$5:C1950,C1950)=1,Settings!$C$13,0))+E1950*Settings!$C$15+IF(H1950="Yes",J1950*Settings!$C$16,0))</f>
        <v/>
      </c>
      <c r="L1950" s="21">
        <f>IF(B1950="","",IF(Settings!$C$5="Yes",0,K1950*Settings!$C$17))</f>
        <v/>
      </c>
      <c r="M1950" s="21">
        <f>IF(B1950="","",E1950*IFERROR(VLOOKUP(D1950,Products!$B$5:$F$204,5,FALSE),0))</f>
        <v/>
      </c>
      <c r="N1950" s="21">
        <f>IF(B1950="","",J1950-K1950-L1950-M1950-I1950)</f>
        <v/>
      </c>
    </row>
    <row r="1951">
      <c r="B1951" s="11" t="n"/>
      <c r="C1951" s="8" t="n"/>
      <c r="D1951" s="8" t="n"/>
      <c r="E1951" s="8" t="n"/>
      <c r="F1951" s="20" t="n"/>
      <c r="G1951" s="20" t="n"/>
      <c r="H1951" s="8" t="n"/>
      <c r="I1951" s="20" t="n"/>
      <c r="J1951" s="21">
        <f>IF(B1951="","",F1951+G1951)</f>
        <v/>
      </c>
      <c r="K1951" s="21">
        <f>IF(B1951="","",J1951*(Settings!$C$11+Settings!$C$12+Settings!$C$14)+IF(C1951="",Settings!$C$13,IF(COUNTIF($C$5:C1951,C1951)=1,Settings!$C$13,0))+E1951*Settings!$C$15+IF(H1951="Yes",J1951*Settings!$C$16,0))</f>
        <v/>
      </c>
      <c r="L1951" s="21">
        <f>IF(B1951="","",IF(Settings!$C$5="Yes",0,K1951*Settings!$C$17))</f>
        <v/>
      </c>
      <c r="M1951" s="21">
        <f>IF(B1951="","",E1951*IFERROR(VLOOKUP(D1951,Products!$B$5:$F$204,5,FALSE),0))</f>
        <v/>
      </c>
      <c r="N1951" s="21">
        <f>IF(B1951="","",J1951-K1951-L1951-M1951-I1951)</f>
        <v/>
      </c>
    </row>
    <row r="1952">
      <c r="B1952" s="11" t="n"/>
      <c r="C1952" s="8" t="n"/>
      <c r="D1952" s="8" t="n"/>
      <c r="E1952" s="8" t="n"/>
      <c r="F1952" s="20" t="n"/>
      <c r="G1952" s="20" t="n"/>
      <c r="H1952" s="8" t="n"/>
      <c r="I1952" s="20" t="n"/>
      <c r="J1952" s="21">
        <f>IF(B1952="","",F1952+G1952)</f>
        <v/>
      </c>
      <c r="K1952" s="21">
        <f>IF(B1952="","",J1952*(Settings!$C$11+Settings!$C$12+Settings!$C$14)+IF(C1952="",Settings!$C$13,IF(COUNTIF($C$5:C1952,C1952)=1,Settings!$C$13,0))+E1952*Settings!$C$15+IF(H1952="Yes",J1952*Settings!$C$16,0))</f>
        <v/>
      </c>
      <c r="L1952" s="21">
        <f>IF(B1952="","",IF(Settings!$C$5="Yes",0,K1952*Settings!$C$17))</f>
        <v/>
      </c>
      <c r="M1952" s="21">
        <f>IF(B1952="","",E1952*IFERROR(VLOOKUP(D1952,Products!$B$5:$F$204,5,FALSE),0))</f>
        <v/>
      </c>
      <c r="N1952" s="21">
        <f>IF(B1952="","",J1952-K1952-L1952-M1952-I1952)</f>
        <v/>
      </c>
    </row>
    <row r="1953">
      <c r="B1953" s="11" t="n"/>
      <c r="C1953" s="8" t="n"/>
      <c r="D1953" s="8" t="n"/>
      <c r="E1953" s="8" t="n"/>
      <c r="F1953" s="20" t="n"/>
      <c r="G1953" s="20" t="n"/>
      <c r="H1953" s="8" t="n"/>
      <c r="I1953" s="20" t="n"/>
      <c r="J1953" s="21">
        <f>IF(B1953="","",F1953+G1953)</f>
        <v/>
      </c>
      <c r="K1953" s="21">
        <f>IF(B1953="","",J1953*(Settings!$C$11+Settings!$C$12+Settings!$C$14)+IF(C1953="",Settings!$C$13,IF(COUNTIF($C$5:C1953,C1953)=1,Settings!$C$13,0))+E1953*Settings!$C$15+IF(H1953="Yes",J1953*Settings!$C$16,0))</f>
        <v/>
      </c>
      <c r="L1953" s="21">
        <f>IF(B1953="","",IF(Settings!$C$5="Yes",0,K1953*Settings!$C$17))</f>
        <v/>
      </c>
      <c r="M1953" s="21">
        <f>IF(B1953="","",E1953*IFERROR(VLOOKUP(D1953,Products!$B$5:$F$204,5,FALSE),0))</f>
        <v/>
      </c>
      <c r="N1953" s="21">
        <f>IF(B1953="","",J1953-K1953-L1953-M1953-I1953)</f>
        <v/>
      </c>
    </row>
    <row r="1954">
      <c r="B1954" s="11" t="n"/>
      <c r="C1954" s="8" t="n"/>
      <c r="D1954" s="8" t="n"/>
      <c r="E1954" s="8" t="n"/>
      <c r="F1954" s="20" t="n"/>
      <c r="G1954" s="20" t="n"/>
      <c r="H1954" s="8" t="n"/>
      <c r="I1954" s="20" t="n"/>
      <c r="J1954" s="21">
        <f>IF(B1954="","",F1954+G1954)</f>
        <v/>
      </c>
      <c r="K1954" s="21">
        <f>IF(B1954="","",J1954*(Settings!$C$11+Settings!$C$12+Settings!$C$14)+IF(C1954="",Settings!$C$13,IF(COUNTIF($C$5:C1954,C1954)=1,Settings!$C$13,0))+E1954*Settings!$C$15+IF(H1954="Yes",J1954*Settings!$C$16,0))</f>
        <v/>
      </c>
      <c r="L1954" s="21">
        <f>IF(B1954="","",IF(Settings!$C$5="Yes",0,K1954*Settings!$C$17))</f>
        <v/>
      </c>
      <c r="M1954" s="21">
        <f>IF(B1954="","",E1954*IFERROR(VLOOKUP(D1954,Products!$B$5:$F$204,5,FALSE),0))</f>
        <v/>
      </c>
      <c r="N1954" s="21">
        <f>IF(B1954="","",J1954-K1954-L1954-M1954-I1954)</f>
        <v/>
      </c>
    </row>
    <row r="1955">
      <c r="B1955" s="11" t="n"/>
      <c r="C1955" s="8" t="n"/>
      <c r="D1955" s="8" t="n"/>
      <c r="E1955" s="8" t="n"/>
      <c r="F1955" s="20" t="n"/>
      <c r="G1955" s="20" t="n"/>
      <c r="H1955" s="8" t="n"/>
      <c r="I1955" s="20" t="n"/>
      <c r="J1955" s="21">
        <f>IF(B1955="","",F1955+G1955)</f>
        <v/>
      </c>
      <c r="K1955" s="21">
        <f>IF(B1955="","",J1955*(Settings!$C$11+Settings!$C$12+Settings!$C$14)+IF(C1955="",Settings!$C$13,IF(COUNTIF($C$5:C1955,C1955)=1,Settings!$C$13,0))+E1955*Settings!$C$15+IF(H1955="Yes",J1955*Settings!$C$16,0))</f>
        <v/>
      </c>
      <c r="L1955" s="21">
        <f>IF(B1955="","",IF(Settings!$C$5="Yes",0,K1955*Settings!$C$17))</f>
        <v/>
      </c>
      <c r="M1955" s="21">
        <f>IF(B1955="","",E1955*IFERROR(VLOOKUP(D1955,Products!$B$5:$F$204,5,FALSE),0))</f>
        <v/>
      </c>
      <c r="N1955" s="21">
        <f>IF(B1955="","",J1955-K1955-L1955-M1955-I1955)</f>
        <v/>
      </c>
    </row>
    <row r="1956">
      <c r="B1956" s="11" t="n"/>
      <c r="C1956" s="8" t="n"/>
      <c r="D1956" s="8" t="n"/>
      <c r="E1956" s="8" t="n"/>
      <c r="F1956" s="20" t="n"/>
      <c r="G1956" s="20" t="n"/>
      <c r="H1956" s="8" t="n"/>
      <c r="I1956" s="20" t="n"/>
      <c r="J1956" s="21">
        <f>IF(B1956="","",F1956+G1956)</f>
        <v/>
      </c>
      <c r="K1956" s="21">
        <f>IF(B1956="","",J1956*(Settings!$C$11+Settings!$C$12+Settings!$C$14)+IF(C1956="",Settings!$C$13,IF(COUNTIF($C$5:C1956,C1956)=1,Settings!$C$13,0))+E1956*Settings!$C$15+IF(H1956="Yes",J1956*Settings!$C$16,0))</f>
        <v/>
      </c>
      <c r="L1956" s="21">
        <f>IF(B1956="","",IF(Settings!$C$5="Yes",0,K1956*Settings!$C$17))</f>
        <v/>
      </c>
      <c r="M1956" s="21">
        <f>IF(B1956="","",E1956*IFERROR(VLOOKUP(D1956,Products!$B$5:$F$204,5,FALSE),0))</f>
        <v/>
      </c>
      <c r="N1956" s="21">
        <f>IF(B1956="","",J1956-K1956-L1956-M1956-I1956)</f>
        <v/>
      </c>
    </row>
    <row r="1957">
      <c r="B1957" s="11" t="n"/>
      <c r="C1957" s="8" t="n"/>
      <c r="D1957" s="8" t="n"/>
      <c r="E1957" s="8" t="n"/>
      <c r="F1957" s="20" t="n"/>
      <c r="G1957" s="20" t="n"/>
      <c r="H1957" s="8" t="n"/>
      <c r="I1957" s="20" t="n"/>
      <c r="J1957" s="21">
        <f>IF(B1957="","",F1957+G1957)</f>
        <v/>
      </c>
      <c r="K1957" s="21">
        <f>IF(B1957="","",J1957*(Settings!$C$11+Settings!$C$12+Settings!$C$14)+IF(C1957="",Settings!$C$13,IF(COUNTIF($C$5:C1957,C1957)=1,Settings!$C$13,0))+E1957*Settings!$C$15+IF(H1957="Yes",J1957*Settings!$C$16,0))</f>
        <v/>
      </c>
      <c r="L1957" s="21">
        <f>IF(B1957="","",IF(Settings!$C$5="Yes",0,K1957*Settings!$C$17))</f>
        <v/>
      </c>
      <c r="M1957" s="21">
        <f>IF(B1957="","",E1957*IFERROR(VLOOKUP(D1957,Products!$B$5:$F$204,5,FALSE),0))</f>
        <v/>
      </c>
      <c r="N1957" s="21">
        <f>IF(B1957="","",J1957-K1957-L1957-M1957-I1957)</f>
        <v/>
      </c>
    </row>
    <row r="1958">
      <c r="B1958" s="11" t="n"/>
      <c r="C1958" s="8" t="n"/>
      <c r="D1958" s="8" t="n"/>
      <c r="E1958" s="8" t="n"/>
      <c r="F1958" s="20" t="n"/>
      <c r="G1958" s="20" t="n"/>
      <c r="H1958" s="8" t="n"/>
      <c r="I1958" s="20" t="n"/>
      <c r="J1958" s="21">
        <f>IF(B1958="","",F1958+G1958)</f>
        <v/>
      </c>
      <c r="K1958" s="21">
        <f>IF(B1958="","",J1958*(Settings!$C$11+Settings!$C$12+Settings!$C$14)+IF(C1958="",Settings!$C$13,IF(COUNTIF($C$5:C1958,C1958)=1,Settings!$C$13,0))+E1958*Settings!$C$15+IF(H1958="Yes",J1958*Settings!$C$16,0))</f>
        <v/>
      </c>
      <c r="L1958" s="21">
        <f>IF(B1958="","",IF(Settings!$C$5="Yes",0,K1958*Settings!$C$17))</f>
        <v/>
      </c>
      <c r="M1958" s="21">
        <f>IF(B1958="","",E1958*IFERROR(VLOOKUP(D1958,Products!$B$5:$F$204,5,FALSE),0))</f>
        <v/>
      </c>
      <c r="N1958" s="21">
        <f>IF(B1958="","",J1958-K1958-L1958-M1958-I1958)</f>
        <v/>
      </c>
    </row>
    <row r="1959">
      <c r="B1959" s="11" t="n"/>
      <c r="C1959" s="8" t="n"/>
      <c r="D1959" s="8" t="n"/>
      <c r="E1959" s="8" t="n"/>
      <c r="F1959" s="20" t="n"/>
      <c r="G1959" s="20" t="n"/>
      <c r="H1959" s="8" t="n"/>
      <c r="I1959" s="20" t="n"/>
      <c r="J1959" s="21">
        <f>IF(B1959="","",F1959+G1959)</f>
        <v/>
      </c>
      <c r="K1959" s="21">
        <f>IF(B1959="","",J1959*(Settings!$C$11+Settings!$C$12+Settings!$C$14)+IF(C1959="",Settings!$C$13,IF(COUNTIF($C$5:C1959,C1959)=1,Settings!$C$13,0))+E1959*Settings!$C$15+IF(H1959="Yes",J1959*Settings!$C$16,0))</f>
        <v/>
      </c>
      <c r="L1959" s="21">
        <f>IF(B1959="","",IF(Settings!$C$5="Yes",0,K1959*Settings!$C$17))</f>
        <v/>
      </c>
      <c r="M1959" s="21">
        <f>IF(B1959="","",E1959*IFERROR(VLOOKUP(D1959,Products!$B$5:$F$204,5,FALSE),0))</f>
        <v/>
      </c>
      <c r="N1959" s="21">
        <f>IF(B1959="","",J1959-K1959-L1959-M1959-I1959)</f>
        <v/>
      </c>
    </row>
    <row r="1960">
      <c r="B1960" s="11" t="n"/>
      <c r="C1960" s="8" t="n"/>
      <c r="D1960" s="8" t="n"/>
      <c r="E1960" s="8" t="n"/>
      <c r="F1960" s="20" t="n"/>
      <c r="G1960" s="20" t="n"/>
      <c r="H1960" s="8" t="n"/>
      <c r="I1960" s="20" t="n"/>
      <c r="J1960" s="21">
        <f>IF(B1960="","",F1960+G1960)</f>
        <v/>
      </c>
      <c r="K1960" s="21">
        <f>IF(B1960="","",J1960*(Settings!$C$11+Settings!$C$12+Settings!$C$14)+IF(C1960="",Settings!$C$13,IF(COUNTIF($C$5:C1960,C1960)=1,Settings!$C$13,0))+E1960*Settings!$C$15+IF(H1960="Yes",J1960*Settings!$C$16,0))</f>
        <v/>
      </c>
      <c r="L1960" s="21">
        <f>IF(B1960="","",IF(Settings!$C$5="Yes",0,K1960*Settings!$C$17))</f>
        <v/>
      </c>
      <c r="M1960" s="21">
        <f>IF(B1960="","",E1960*IFERROR(VLOOKUP(D1960,Products!$B$5:$F$204,5,FALSE),0))</f>
        <v/>
      </c>
      <c r="N1960" s="21">
        <f>IF(B1960="","",J1960-K1960-L1960-M1960-I1960)</f>
        <v/>
      </c>
    </row>
    <row r="1961">
      <c r="B1961" s="11" t="n"/>
      <c r="C1961" s="8" t="n"/>
      <c r="D1961" s="8" t="n"/>
      <c r="E1961" s="8" t="n"/>
      <c r="F1961" s="20" t="n"/>
      <c r="G1961" s="20" t="n"/>
      <c r="H1961" s="8" t="n"/>
      <c r="I1961" s="20" t="n"/>
      <c r="J1961" s="21">
        <f>IF(B1961="","",F1961+G1961)</f>
        <v/>
      </c>
      <c r="K1961" s="21">
        <f>IF(B1961="","",J1961*(Settings!$C$11+Settings!$C$12+Settings!$C$14)+IF(C1961="",Settings!$C$13,IF(COUNTIF($C$5:C1961,C1961)=1,Settings!$C$13,0))+E1961*Settings!$C$15+IF(H1961="Yes",J1961*Settings!$C$16,0))</f>
        <v/>
      </c>
      <c r="L1961" s="21">
        <f>IF(B1961="","",IF(Settings!$C$5="Yes",0,K1961*Settings!$C$17))</f>
        <v/>
      </c>
      <c r="M1961" s="21">
        <f>IF(B1961="","",E1961*IFERROR(VLOOKUP(D1961,Products!$B$5:$F$204,5,FALSE),0))</f>
        <v/>
      </c>
      <c r="N1961" s="21">
        <f>IF(B1961="","",J1961-K1961-L1961-M1961-I1961)</f>
        <v/>
      </c>
    </row>
    <row r="1962">
      <c r="B1962" s="11" t="n"/>
      <c r="C1962" s="8" t="n"/>
      <c r="D1962" s="8" t="n"/>
      <c r="E1962" s="8" t="n"/>
      <c r="F1962" s="20" t="n"/>
      <c r="G1962" s="20" t="n"/>
      <c r="H1962" s="8" t="n"/>
      <c r="I1962" s="20" t="n"/>
      <c r="J1962" s="21">
        <f>IF(B1962="","",F1962+G1962)</f>
        <v/>
      </c>
      <c r="K1962" s="21">
        <f>IF(B1962="","",J1962*(Settings!$C$11+Settings!$C$12+Settings!$C$14)+IF(C1962="",Settings!$C$13,IF(COUNTIF($C$5:C1962,C1962)=1,Settings!$C$13,0))+E1962*Settings!$C$15+IF(H1962="Yes",J1962*Settings!$C$16,0))</f>
        <v/>
      </c>
      <c r="L1962" s="21">
        <f>IF(B1962="","",IF(Settings!$C$5="Yes",0,K1962*Settings!$C$17))</f>
        <v/>
      </c>
      <c r="M1962" s="21">
        <f>IF(B1962="","",E1962*IFERROR(VLOOKUP(D1962,Products!$B$5:$F$204,5,FALSE),0))</f>
        <v/>
      </c>
      <c r="N1962" s="21">
        <f>IF(B1962="","",J1962-K1962-L1962-M1962-I1962)</f>
        <v/>
      </c>
    </row>
    <row r="1963">
      <c r="B1963" s="11" t="n"/>
      <c r="C1963" s="8" t="n"/>
      <c r="D1963" s="8" t="n"/>
      <c r="E1963" s="8" t="n"/>
      <c r="F1963" s="20" t="n"/>
      <c r="G1963" s="20" t="n"/>
      <c r="H1963" s="8" t="n"/>
      <c r="I1963" s="20" t="n"/>
      <c r="J1963" s="21">
        <f>IF(B1963="","",F1963+G1963)</f>
        <v/>
      </c>
      <c r="K1963" s="21">
        <f>IF(B1963="","",J1963*(Settings!$C$11+Settings!$C$12+Settings!$C$14)+IF(C1963="",Settings!$C$13,IF(COUNTIF($C$5:C1963,C1963)=1,Settings!$C$13,0))+E1963*Settings!$C$15+IF(H1963="Yes",J1963*Settings!$C$16,0))</f>
        <v/>
      </c>
      <c r="L1963" s="21">
        <f>IF(B1963="","",IF(Settings!$C$5="Yes",0,K1963*Settings!$C$17))</f>
        <v/>
      </c>
      <c r="M1963" s="21">
        <f>IF(B1963="","",E1963*IFERROR(VLOOKUP(D1963,Products!$B$5:$F$204,5,FALSE),0))</f>
        <v/>
      </c>
      <c r="N1963" s="21">
        <f>IF(B1963="","",J1963-K1963-L1963-M1963-I1963)</f>
        <v/>
      </c>
    </row>
    <row r="1964">
      <c r="B1964" s="11" t="n"/>
      <c r="C1964" s="8" t="n"/>
      <c r="D1964" s="8" t="n"/>
      <c r="E1964" s="8" t="n"/>
      <c r="F1964" s="20" t="n"/>
      <c r="G1964" s="20" t="n"/>
      <c r="H1964" s="8" t="n"/>
      <c r="I1964" s="20" t="n"/>
      <c r="J1964" s="21">
        <f>IF(B1964="","",F1964+G1964)</f>
        <v/>
      </c>
      <c r="K1964" s="21">
        <f>IF(B1964="","",J1964*(Settings!$C$11+Settings!$C$12+Settings!$C$14)+IF(C1964="",Settings!$C$13,IF(COUNTIF($C$5:C1964,C1964)=1,Settings!$C$13,0))+E1964*Settings!$C$15+IF(H1964="Yes",J1964*Settings!$C$16,0))</f>
        <v/>
      </c>
      <c r="L1964" s="21">
        <f>IF(B1964="","",IF(Settings!$C$5="Yes",0,K1964*Settings!$C$17))</f>
        <v/>
      </c>
      <c r="M1964" s="21">
        <f>IF(B1964="","",E1964*IFERROR(VLOOKUP(D1964,Products!$B$5:$F$204,5,FALSE),0))</f>
        <v/>
      </c>
      <c r="N1964" s="21">
        <f>IF(B1964="","",J1964-K1964-L1964-M1964-I1964)</f>
        <v/>
      </c>
    </row>
    <row r="1965">
      <c r="B1965" s="11" t="n"/>
      <c r="C1965" s="8" t="n"/>
      <c r="D1965" s="8" t="n"/>
      <c r="E1965" s="8" t="n"/>
      <c r="F1965" s="20" t="n"/>
      <c r="G1965" s="20" t="n"/>
      <c r="H1965" s="8" t="n"/>
      <c r="I1965" s="20" t="n"/>
      <c r="J1965" s="21">
        <f>IF(B1965="","",F1965+G1965)</f>
        <v/>
      </c>
      <c r="K1965" s="21">
        <f>IF(B1965="","",J1965*(Settings!$C$11+Settings!$C$12+Settings!$C$14)+IF(C1965="",Settings!$C$13,IF(COUNTIF($C$5:C1965,C1965)=1,Settings!$C$13,0))+E1965*Settings!$C$15+IF(H1965="Yes",J1965*Settings!$C$16,0))</f>
        <v/>
      </c>
      <c r="L1965" s="21">
        <f>IF(B1965="","",IF(Settings!$C$5="Yes",0,K1965*Settings!$C$17))</f>
        <v/>
      </c>
      <c r="M1965" s="21">
        <f>IF(B1965="","",E1965*IFERROR(VLOOKUP(D1965,Products!$B$5:$F$204,5,FALSE),0))</f>
        <v/>
      </c>
      <c r="N1965" s="21">
        <f>IF(B1965="","",J1965-K1965-L1965-M1965-I1965)</f>
        <v/>
      </c>
    </row>
    <row r="1966">
      <c r="B1966" s="11" t="n"/>
      <c r="C1966" s="8" t="n"/>
      <c r="D1966" s="8" t="n"/>
      <c r="E1966" s="8" t="n"/>
      <c r="F1966" s="20" t="n"/>
      <c r="G1966" s="20" t="n"/>
      <c r="H1966" s="8" t="n"/>
      <c r="I1966" s="20" t="n"/>
      <c r="J1966" s="21">
        <f>IF(B1966="","",F1966+G1966)</f>
        <v/>
      </c>
      <c r="K1966" s="21">
        <f>IF(B1966="","",J1966*(Settings!$C$11+Settings!$C$12+Settings!$C$14)+IF(C1966="",Settings!$C$13,IF(COUNTIF($C$5:C1966,C1966)=1,Settings!$C$13,0))+E1966*Settings!$C$15+IF(H1966="Yes",J1966*Settings!$C$16,0))</f>
        <v/>
      </c>
      <c r="L1966" s="21">
        <f>IF(B1966="","",IF(Settings!$C$5="Yes",0,K1966*Settings!$C$17))</f>
        <v/>
      </c>
      <c r="M1966" s="21">
        <f>IF(B1966="","",E1966*IFERROR(VLOOKUP(D1966,Products!$B$5:$F$204,5,FALSE),0))</f>
        <v/>
      </c>
      <c r="N1966" s="21">
        <f>IF(B1966="","",J1966-K1966-L1966-M1966-I1966)</f>
        <v/>
      </c>
    </row>
    <row r="1967">
      <c r="B1967" s="11" t="n"/>
      <c r="C1967" s="8" t="n"/>
      <c r="D1967" s="8" t="n"/>
      <c r="E1967" s="8" t="n"/>
      <c r="F1967" s="20" t="n"/>
      <c r="G1967" s="20" t="n"/>
      <c r="H1967" s="8" t="n"/>
      <c r="I1967" s="20" t="n"/>
      <c r="J1967" s="21">
        <f>IF(B1967="","",F1967+G1967)</f>
        <v/>
      </c>
      <c r="K1967" s="21">
        <f>IF(B1967="","",J1967*(Settings!$C$11+Settings!$C$12+Settings!$C$14)+IF(C1967="",Settings!$C$13,IF(COUNTIF($C$5:C1967,C1967)=1,Settings!$C$13,0))+E1967*Settings!$C$15+IF(H1967="Yes",J1967*Settings!$C$16,0))</f>
        <v/>
      </c>
      <c r="L1967" s="21">
        <f>IF(B1967="","",IF(Settings!$C$5="Yes",0,K1967*Settings!$C$17))</f>
        <v/>
      </c>
      <c r="M1967" s="21">
        <f>IF(B1967="","",E1967*IFERROR(VLOOKUP(D1967,Products!$B$5:$F$204,5,FALSE),0))</f>
        <v/>
      </c>
      <c r="N1967" s="21">
        <f>IF(B1967="","",J1967-K1967-L1967-M1967-I1967)</f>
        <v/>
      </c>
    </row>
    <row r="1968">
      <c r="B1968" s="11" t="n"/>
      <c r="C1968" s="8" t="n"/>
      <c r="D1968" s="8" t="n"/>
      <c r="E1968" s="8" t="n"/>
      <c r="F1968" s="20" t="n"/>
      <c r="G1968" s="20" t="n"/>
      <c r="H1968" s="8" t="n"/>
      <c r="I1968" s="20" t="n"/>
      <c r="J1968" s="21">
        <f>IF(B1968="","",F1968+G1968)</f>
        <v/>
      </c>
      <c r="K1968" s="21">
        <f>IF(B1968="","",J1968*(Settings!$C$11+Settings!$C$12+Settings!$C$14)+IF(C1968="",Settings!$C$13,IF(COUNTIF($C$5:C1968,C1968)=1,Settings!$C$13,0))+E1968*Settings!$C$15+IF(H1968="Yes",J1968*Settings!$C$16,0))</f>
        <v/>
      </c>
      <c r="L1968" s="21">
        <f>IF(B1968="","",IF(Settings!$C$5="Yes",0,K1968*Settings!$C$17))</f>
        <v/>
      </c>
      <c r="M1968" s="21">
        <f>IF(B1968="","",E1968*IFERROR(VLOOKUP(D1968,Products!$B$5:$F$204,5,FALSE),0))</f>
        <v/>
      </c>
      <c r="N1968" s="21">
        <f>IF(B1968="","",J1968-K1968-L1968-M1968-I1968)</f>
        <v/>
      </c>
    </row>
    <row r="1969">
      <c r="B1969" s="11" t="n"/>
      <c r="C1969" s="8" t="n"/>
      <c r="D1969" s="8" t="n"/>
      <c r="E1969" s="8" t="n"/>
      <c r="F1969" s="20" t="n"/>
      <c r="G1969" s="20" t="n"/>
      <c r="H1969" s="8" t="n"/>
      <c r="I1969" s="20" t="n"/>
      <c r="J1969" s="21">
        <f>IF(B1969="","",F1969+G1969)</f>
        <v/>
      </c>
      <c r="K1969" s="21">
        <f>IF(B1969="","",J1969*(Settings!$C$11+Settings!$C$12+Settings!$C$14)+IF(C1969="",Settings!$C$13,IF(COUNTIF($C$5:C1969,C1969)=1,Settings!$C$13,0))+E1969*Settings!$C$15+IF(H1969="Yes",J1969*Settings!$C$16,0))</f>
        <v/>
      </c>
      <c r="L1969" s="21">
        <f>IF(B1969="","",IF(Settings!$C$5="Yes",0,K1969*Settings!$C$17))</f>
        <v/>
      </c>
      <c r="M1969" s="21">
        <f>IF(B1969="","",E1969*IFERROR(VLOOKUP(D1969,Products!$B$5:$F$204,5,FALSE),0))</f>
        <v/>
      </c>
      <c r="N1969" s="21">
        <f>IF(B1969="","",J1969-K1969-L1969-M1969-I1969)</f>
        <v/>
      </c>
    </row>
    <row r="1970">
      <c r="B1970" s="11" t="n"/>
      <c r="C1970" s="8" t="n"/>
      <c r="D1970" s="8" t="n"/>
      <c r="E1970" s="8" t="n"/>
      <c r="F1970" s="20" t="n"/>
      <c r="G1970" s="20" t="n"/>
      <c r="H1970" s="8" t="n"/>
      <c r="I1970" s="20" t="n"/>
      <c r="J1970" s="21">
        <f>IF(B1970="","",F1970+G1970)</f>
        <v/>
      </c>
      <c r="K1970" s="21">
        <f>IF(B1970="","",J1970*(Settings!$C$11+Settings!$C$12+Settings!$C$14)+IF(C1970="",Settings!$C$13,IF(COUNTIF($C$5:C1970,C1970)=1,Settings!$C$13,0))+E1970*Settings!$C$15+IF(H1970="Yes",J1970*Settings!$C$16,0))</f>
        <v/>
      </c>
      <c r="L1970" s="21">
        <f>IF(B1970="","",IF(Settings!$C$5="Yes",0,K1970*Settings!$C$17))</f>
        <v/>
      </c>
      <c r="M1970" s="21">
        <f>IF(B1970="","",E1970*IFERROR(VLOOKUP(D1970,Products!$B$5:$F$204,5,FALSE),0))</f>
        <v/>
      </c>
      <c r="N1970" s="21">
        <f>IF(B1970="","",J1970-K1970-L1970-M1970-I1970)</f>
        <v/>
      </c>
    </row>
    <row r="1971">
      <c r="B1971" s="11" t="n"/>
      <c r="C1971" s="8" t="n"/>
      <c r="D1971" s="8" t="n"/>
      <c r="E1971" s="8" t="n"/>
      <c r="F1971" s="20" t="n"/>
      <c r="G1971" s="20" t="n"/>
      <c r="H1971" s="8" t="n"/>
      <c r="I1971" s="20" t="n"/>
      <c r="J1971" s="21">
        <f>IF(B1971="","",F1971+G1971)</f>
        <v/>
      </c>
      <c r="K1971" s="21">
        <f>IF(B1971="","",J1971*(Settings!$C$11+Settings!$C$12+Settings!$C$14)+IF(C1971="",Settings!$C$13,IF(COUNTIF($C$5:C1971,C1971)=1,Settings!$C$13,0))+E1971*Settings!$C$15+IF(H1971="Yes",J1971*Settings!$C$16,0))</f>
        <v/>
      </c>
      <c r="L1971" s="21">
        <f>IF(B1971="","",IF(Settings!$C$5="Yes",0,K1971*Settings!$C$17))</f>
        <v/>
      </c>
      <c r="M1971" s="21">
        <f>IF(B1971="","",E1971*IFERROR(VLOOKUP(D1971,Products!$B$5:$F$204,5,FALSE),0))</f>
        <v/>
      </c>
      <c r="N1971" s="21">
        <f>IF(B1971="","",J1971-K1971-L1971-M1971-I1971)</f>
        <v/>
      </c>
    </row>
    <row r="1972">
      <c r="B1972" s="11" t="n"/>
      <c r="C1972" s="8" t="n"/>
      <c r="D1972" s="8" t="n"/>
      <c r="E1972" s="8" t="n"/>
      <c r="F1972" s="20" t="n"/>
      <c r="G1972" s="20" t="n"/>
      <c r="H1972" s="8" t="n"/>
      <c r="I1972" s="20" t="n"/>
      <c r="J1972" s="21">
        <f>IF(B1972="","",F1972+G1972)</f>
        <v/>
      </c>
      <c r="K1972" s="21">
        <f>IF(B1972="","",J1972*(Settings!$C$11+Settings!$C$12+Settings!$C$14)+IF(C1972="",Settings!$C$13,IF(COUNTIF($C$5:C1972,C1972)=1,Settings!$C$13,0))+E1972*Settings!$C$15+IF(H1972="Yes",J1972*Settings!$C$16,0))</f>
        <v/>
      </c>
      <c r="L1972" s="21">
        <f>IF(B1972="","",IF(Settings!$C$5="Yes",0,K1972*Settings!$C$17))</f>
        <v/>
      </c>
      <c r="M1972" s="21">
        <f>IF(B1972="","",E1972*IFERROR(VLOOKUP(D1972,Products!$B$5:$F$204,5,FALSE),0))</f>
        <v/>
      </c>
      <c r="N1972" s="21">
        <f>IF(B1972="","",J1972-K1972-L1972-M1972-I1972)</f>
        <v/>
      </c>
    </row>
    <row r="1973">
      <c r="B1973" s="11" t="n"/>
      <c r="C1973" s="8" t="n"/>
      <c r="D1973" s="8" t="n"/>
      <c r="E1973" s="8" t="n"/>
      <c r="F1973" s="20" t="n"/>
      <c r="G1973" s="20" t="n"/>
      <c r="H1973" s="8" t="n"/>
      <c r="I1973" s="20" t="n"/>
      <c r="J1973" s="21">
        <f>IF(B1973="","",F1973+G1973)</f>
        <v/>
      </c>
      <c r="K1973" s="21">
        <f>IF(B1973="","",J1973*(Settings!$C$11+Settings!$C$12+Settings!$C$14)+IF(C1973="",Settings!$C$13,IF(COUNTIF($C$5:C1973,C1973)=1,Settings!$C$13,0))+E1973*Settings!$C$15+IF(H1973="Yes",J1973*Settings!$C$16,0))</f>
        <v/>
      </c>
      <c r="L1973" s="21">
        <f>IF(B1973="","",IF(Settings!$C$5="Yes",0,K1973*Settings!$C$17))</f>
        <v/>
      </c>
      <c r="M1973" s="21">
        <f>IF(B1973="","",E1973*IFERROR(VLOOKUP(D1973,Products!$B$5:$F$204,5,FALSE),0))</f>
        <v/>
      </c>
      <c r="N1973" s="21">
        <f>IF(B1973="","",J1973-K1973-L1973-M1973-I1973)</f>
        <v/>
      </c>
    </row>
    <row r="1974">
      <c r="B1974" s="11" t="n"/>
      <c r="C1974" s="8" t="n"/>
      <c r="D1974" s="8" t="n"/>
      <c r="E1974" s="8" t="n"/>
      <c r="F1974" s="20" t="n"/>
      <c r="G1974" s="20" t="n"/>
      <c r="H1974" s="8" t="n"/>
      <c r="I1974" s="20" t="n"/>
      <c r="J1974" s="21">
        <f>IF(B1974="","",F1974+G1974)</f>
        <v/>
      </c>
      <c r="K1974" s="21">
        <f>IF(B1974="","",J1974*(Settings!$C$11+Settings!$C$12+Settings!$C$14)+IF(C1974="",Settings!$C$13,IF(COUNTIF($C$5:C1974,C1974)=1,Settings!$C$13,0))+E1974*Settings!$C$15+IF(H1974="Yes",J1974*Settings!$C$16,0))</f>
        <v/>
      </c>
      <c r="L1974" s="21">
        <f>IF(B1974="","",IF(Settings!$C$5="Yes",0,K1974*Settings!$C$17))</f>
        <v/>
      </c>
      <c r="M1974" s="21">
        <f>IF(B1974="","",E1974*IFERROR(VLOOKUP(D1974,Products!$B$5:$F$204,5,FALSE),0))</f>
        <v/>
      </c>
      <c r="N1974" s="21">
        <f>IF(B1974="","",J1974-K1974-L1974-M1974-I1974)</f>
        <v/>
      </c>
    </row>
    <row r="1975">
      <c r="B1975" s="11" t="n"/>
      <c r="C1975" s="8" t="n"/>
      <c r="D1975" s="8" t="n"/>
      <c r="E1975" s="8" t="n"/>
      <c r="F1975" s="20" t="n"/>
      <c r="G1975" s="20" t="n"/>
      <c r="H1975" s="8" t="n"/>
      <c r="I1975" s="20" t="n"/>
      <c r="J1975" s="21">
        <f>IF(B1975="","",F1975+G1975)</f>
        <v/>
      </c>
      <c r="K1975" s="21">
        <f>IF(B1975="","",J1975*(Settings!$C$11+Settings!$C$12+Settings!$C$14)+IF(C1975="",Settings!$C$13,IF(COUNTIF($C$5:C1975,C1975)=1,Settings!$C$13,0))+E1975*Settings!$C$15+IF(H1975="Yes",J1975*Settings!$C$16,0))</f>
        <v/>
      </c>
      <c r="L1975" s="21">
        <f>IF(B1975="","",IF(Settings!$C$5="Yes",0,K1975*Settings!$C$17))</f>
        <v/>
      </c>
      <c r="M1975" s="21">
        <f>IF(B1975="","",E1975*IFERROR(VLOOKUP(D1975,Products!$B$5:$F$204,5,FALSE),0))</f>
        <v/>
      </c>
      <c r="N1975" s="21">
        <f>IF(B1975="","",J1975-K1975-L1975-M1975-I1975)</f>
        <v/>
      </c>
    </row>
    <row r="1976">
      <c r="B1976" s="11" t="n"/>
      <c r="C1976" s="8" t="n"/>
      <c r="D1976" s="8" t="n"/>
      <c r="E1976" s="8" t="n"/>
      <c r="F1976" s="20" t="n"/>
      <c r="G1976" s="20" t="n"/>
      <c r="H1976" s="8" t="n"/>
      <c r="I1976" s="20" t="n"/>
      <c r="J1976" s="21">
        <f>IF(B1976="","",F1976+G1976)</f>
        <v/>
      </c>
      <c r="K1976" s="21">
        <f>IF(B1976="","",J1976*(Settings!$C$11+Settings!$C$12+Settings!$C$14)+IF(C1976="",Settings!$C$13,IF(COUNTIF($C$5:C1976,C1976)=1,Settings!$C$13,0))+E1976*Settings!$C$15+IF(H1976="Yes",J1976*Settings!$C$16,0))</f>
        <v/>
      </c>
      <c r="L1976" s="21">
        <f>IF(B1976="","",IF(Settings!$C$5="Yes",0,K1976*Settings!$C$17))</f>
        <v/>
      </c>
      <c r="M1976" s="21">
        <f>IF(B1976="","",E1976*IFERROR(VLOOKUP(D1976,Products!$B$5:$F$204,5,FALSE),0))</f>
        <v/>
      </c>
      <c r="N1976" s="21">
        <f>IF(B1976="","",J1976-K1976-L1976-M1976-I1976)</f>
        <v/>
      </c>
    </row>
    <row r="1977">
      <c r="B1977" s="11" t="n"/>
      <c r="C1977" s="8" t="n"/>
      <c r="D1977" s="8" t="n"/>
      <c r="E1977" s="8" t="n"/>
      <c r="F1977" s="20" t="n"/>
      <c r="G1977" s="20" t="n"/>
      <c r="H1977" s="8" t="n"/>
      <c r="I1977" s="20" t="n"/>
      <c r="J1977" s="21">
        <f>IF(B1977="","",F1977+G1977)</f>
        <v/>
      </c>
      <c r="K1977" s="21">
        <f>IF(B1977="","",J1977*(Settings!$C$11+Settings!$C$12+Settings!$C$14)+IF(C1977="",Settings!$C$13,IF(COUNTIF($C$5:C1977,C1977)=1,Settings!$C$13,0))+E1977*Settings!$C$15+IF(H1977="Yes",J1977*Settings!$C$16,0))</f>
        <v/>
      </c>
      <c r="L1977" s="21">
        <f>IF(B1977="","",IF(Settings!$C$5="Yes",0,K1977*Settings!$C$17))</f>
        <v/>
      </c>
      <c r="M1977" s="21">
        <f>IF(B1977="","",E1977*IFERROR(VLOOKUP(D1977,Products!$B$5:$F$204,5,FALSE),0))</f>
        <v/>
      </c>
      <c r="N1977" s="21">
        <f>IF(B1977="","",J1977-K1977-L1977-M1977-I1977)</f>
        <v/>
      </c>
    </row>
    <row r="1978">
      <c r="B1978" s="11" t="n"/>
      <c r="C1978" s="8" t="n"/>
      <c r="D1978" s="8" t="n"/>
      <c r="E1978" s="8" t="n"/>
      <c r="F1978" s="20" t="n"/>
      <c r="G1978" s="20" t="n"/>
      <c r="H1978" s="8" t="n"/>
      <c r="I1978" s="20" t="n"/>
      <c r="J1978" s="21">
        <f>IF(B1978="","",F1978+G1978)</f>
        <v/>
      </c>
      <c r="K1978" s="21">
        <f>IF(B1978="","",J1978*(Settings!$C$11+Settings!$C$12+Settings!$C$14)+IF(C1978="",Settings!$C$13,IF(COUNTIF($C$5:C1978,C1978)=1,Settings!$C$13,0))+E1978*Settings!$C$15+IF(H1978="Yes",J1978*Settings!$C$16,0))</f>
        <v/>
      </c>
      <c r="L1978" s="21">
        <f>IF(B1978="","",IF(Settings!$C$5="Yes",0,K1978*Settings!$C$17))</f>
        <v/>
      </c>
      <c r="M1978" s="21">
        <f>IF(B1978="","",E1978*IFERROR(VLOOKUP(D1978,Products!$B$5:$F$204,5,FALSE),0))</f>
        <v/>
      </c>
      <c r="N1978" s="21">
        <f>IF(B1978="","",J1978-K1978-L1978-M1978-I1978)</f>
        <v/>
      </c>
    </row>
    <row r="1979">
      <c r="B1979" s="11" t="n"/>
      <c r="C1979" s="8" t="n"/>
      <c r="D1979" s="8" t="n"/>
      <c r="E1979" s="8" t="n"/>
      <c r="F1979" s="20" t="n"/>
      <c r="G1979" s="20" t="n"/>
      <c r="H1979" s="8" t="n"/>
      <c r="I1979" s="20" t="n"/>
      <c r="J1979" s="21">
        <f>IF(B1979="","",F1979+G1979)</f>
        <v/>
      </c>
      <c r="K1979" s="21">
        <f>IF(B1979="","",J1979*(Settings!$C$11+Settings!$C$12+Settings!$C$14)+IF(C1979="",Settings!$C$13,IF(COUNTIF($C$5:C1979,C1979)=1,Settings!$C$13,0))+E1979*Settings!$C$15+IF(H1979="Yes",J1979*Settings!$C$16,0))</f>
        <v/>
      </c>
      <c r="L1979" s="21">
        <f>IF(B1979="","",IF(Settings!$C$5="Yes",0,K1979*Settings!$C$17))</f>
        <v/>
      </c>
      <c r="M1979" s="21">
        <f>IF(B1979="","",E1979*IFERROR(VLOOKUP(D1979,Products!$B$5:$F$204,5,FALSE),0))</f>
        <v/>
      </c>
      <c r="N1979" s="21">
        <f>IF(B1979="","",J1979-K1979-L1979-M1979-I1979)</f>
        <v/>
      </c>
    </row>
    <row r="1980">
      <c r="B1980" s="11" t="n"/>
      <c r="C1980" s="8" t="n"/>
      <c r="D1980" s="8" t="n"/>
      <c r="E1980" s="8" t="n"/>
      <c r="F1980" s="20" t="n"/>
      <c r="G1980" s="20" t="n"/>
      <c r="H1980" s="8" t="n"/>
      <c r="I1980" s="20" t="n"/>
      <c r="J1980" s="21">
        <f>IF(B1980="","",F1980+G1980)</f>
        <v/>
      </c>
      <c r="K1980" s="21">
        <f>IF(B1980="","",J1980*(Settings!$C$11+Settings!$C$12+Settings!$C$14)+IF(C1980="",Settings!$C$13,IF(COUNTIF($C$5:C1980,C1980)=1,Settings!$C$13,0))+E1980*Settings!$C$15+IF(H1980="Yes",J1980*Settings!$C$16,0))</f>
        <v/>
      </c>
      <c r="L1980" s="21">
        <f>IF(B1980="","",IF(Settings!$C$5="Yes",0,K1980*Settings!$C$17))</f>
        <v/>
      </c>
      <c r="M1980" s="21">
        <f>IF(B1980="","",E1980*IFERROR(VLOOKUP(D1980,Products!$B$5:$F$204,5,FALSE),0))</f>
        <v/>
      </c>
      <c r="N1980" s="21">
        <f>IF(B1980="","",J1980-K1980-L1980-M1980-I1980)</f>
        <v/>
      </c>
    </row>
    <row r="1981">
      <c r="B1981" s="11" t="n"/>
      <c r="C1981" s="8" t="n"/>
      <c r="D1981" s="8" t="n"/>
      <c r="E1981" s="8" t="n"/>
      <c r="F1981" s="20" t="n"/>
      <c r="G1981" s="20" t="n"/>
      <c r="H1981" s="8" t="n"/>
      <c r="I1981" s="20" t="n"/>
      <c r="J1981" s="21">
        <f>IF(B1981="","",F1981+G1981)</f>
        <v/>
      </c>
      <c r="K1981" s="21">
        <f>IF(B1981="","",J1981*(Settings!$C$11+Settings!$C$12+Settings!$C$14)+IF(C1981="",Settings!$C$13,IF(COUNTIF($C$5:C1981,C1981)=1,Settings!$C$13,0))+E1981*Settings!$C$15+IF(H1981="Yes",J1981*Settings!$C$16,0))</f>
        <v/>
      </c>
      <c r="L1981" s="21">
        <f>IF(B1981="","",IF(Settings!$C$5="Yes",0,K1981*Settings!$C$17))</f>
        <v/>
      </c>
      <c r="M1981" s="21">
        <f>IF(B1981="","",E1981*IFERROR(VLOOKUP(D1981,Products!$B$5:$F$204,5,FALSE),0))</f>
        <v/>
      </c>
      <c r="N1981" s="21">
        <f>IF(B1981="","",J1981-K1981-L1981-M1981-I1981)</f>
        <v/>
      </c>
    </row>
    <row r="1982">
      <c r="B1982" s="11" t="n"/>
      <c r="C1982" s="8" t="n"/>
      <c r="D1982" s="8" t="n"/>
      <c r="E1982" s="8" t="n"/>
      <c r="F1982" s="20" t="n"/>
      <c r="G1982" s="20" t="n"/>
      <c r="H1982" s="8" t="n"/>
      <c r="I1982" s="20" t="n"/>
      <c r="J1982" s="21">
        <f>IF(B1982="","",F1982+G1982)</f>
        <v/>
      </c>
      <c r="K1982" s="21">
        <f>IF(B1982="","",J1982*(Settings!$C$11+Settings!$C$12+Settings!$C$14)+IF(C1982="",Settings!$C$13,IF(COUNTIF($C$5:C1982,C1982)=1,Settings!$C$13,0))+E1982*Settings!$C$15+IF(H1982="Yes",J1982*Settings!$C$16,0))</f>
        <v/>
      </c>
      <c r="L1982" s="21">
        <f>IF(B1982="","",IF(Settings!$C$5="Yes",0,K1982*Settings!$C$17))</f>
        <v/>
      </c>
      <c r="M1982" s="21">
        <f>IF(B1982="","",E1982*IFERROR(VLOOKUP(D1982,Products!$B$5:$F$204,5,FALSE),0))</f>
        <v/>
      </c>
      <c r="N1982" s="21">
        <f>IF(B1982="","",J1982-K1982-L1982-M1982-I1982)</f>
        <v/>
      </c>
    </row>
    <row r="1983">
      <c r="B1983" s="11" t="n"/>
      <c r="C1983" s="8" t="n"/>
      <c r="D1983" s="8" t="n"/>
      <c r="E1983" s="8" t="n"/>
      <c r="F1983" s="20" t="n"/>
      <c r="G1983" s="20" t="n"/>
      <c r="H1983" s="8" t="n"/>
      <c r="I1983" s="20" t="n"/>
      <c r="J1983" s="21">
        <f>IF(B1983="","",F1983+G1983)</f>
        <v/>
      </c>
      <c r="K1983" s="21">
        <f>IF(B1983="","",J1983*(Settings!$C$11+Settings!$C$12+Settings!$C$14)+IF(C1983="",Settings!$C$13,IF(COUNTIF($C$5:C1983,C1983)=1,Settings!$C$13,0))+E1983*Settings!$C$15+IF(H1983="Yes",J1983*Settings!$C$16,0))</f>
        <v/>
      </c>
      <c r="L1983" s="21">
        <f>IF(B1983="","",IF(Settings!$C$5="Yes",0,K1983*Settings!$C$17))</f>
        <v/>
      </c>
      <c r="M1983" s="21">
        <f>IF(B1983="","",E1983*IFERROR(VLOOKUP(D1983,Products!$B$5:$F$204,5,FALSE),0))</f>
        <v/>
      </c>
      <c r="N1983" s="21">
        <f>IF(B1983="","",J1983-K1983-L1983-M1983-I1983)</f>
        <v/>
      </c>
    </row>
    <row r="1984">
      <c r="B1984" s="11" t="n"/>
      <c r="C1984" s="8" t="n"/>
      <c r="D1984" s="8" t="n"/>
      <c r="E1984" s="8" t="n"/>
      <c r="F1984" s="20" t="n"/>
      <c r="G1984" s="20" t="n"/>
      <c r="H1984" s="8" t="n"/>
      <c r="I1984" s="20" t="n"/>
      <c r="J1984" s="21">
        <f>IF(B1984="","",F1984+G1984)</f>
        <v/>
      </c>
      <c r="K1984" s="21">
        <f>IF(B1984="","",J1984*(Settings!$C$11+Settings!$C$12+Settings!$C$14)+IF(C1984="",Settings!$C$13,IF(COUNTIF($C$5:C1984,C1984)=1,Settings!$C$13,0))+E1984*Settings!$C$15+IF(H1984="Yes",J1984*Settings!$C$16,0))</f>
        <v/>
      </c>
      <c r="L1984" s="21">
        <f>IF(B1984="","",IF(Settings!$C$5="Yes",0,K1984*Settings!$C$17))</f>
        <v/>
      </c>
      <c r="M1984" s="21">
        <f>IF(B1984="","",E1984*IFERROR(VLOOKUP(D1984,Products!$B$5:$F$204,5,FALSE),0))</f>
        <v/>
      </c>
      <c r="N1984" s="21">
        <f>IF(B1984="","",J1984-K1984-L1984-M1984-I1984)</f>
        <v/>
      </c>
    </row>
    <row r="1985">
      <c r="B1985" s="11" t="n"/>
      <c r="C1985" s="8" t="n"/>
      <c r="D1985" s="8" t="n"/>
      <c r="E1985" s="8" t="n"/>
      <c r="F1985" s="20" t="n"/>
      <c r="G1985" s="20" t="n"/>
      <c r="H1985" s="8" t="n"/>
      <c r="I1985" s="20" t="n"/>
      <c r="J1985" s="21">
        <f>IF(B1985="","",F1985+G1985)</f>
        <v/>
      </c>
      <c r="K1985" s="21">
        <f>IF(B1985="","",J1985*(Settings!$C$11+Settings!$C$12+Settings!$C$14)+IF(C1985="",Settings!$C$13,IF(COUNTIF($C$5:C1985,C1985)=1,Settings!$C$13,0))+E1985*Settings!$C$15+IF(H1985="Yes",J1985*Settings!$C$16,0))</f>
        <v/>
      </c>
      <c r="L1985" s="21">
        <f>IF(B1985="","",IF(Settings!$C$5="Yes",0,K1985*Settings!$C$17))</f>
        <v/>
      </c>
      <c r="M1985" s="21">
        <f>IF(B1985="","",E1985*IFERROR(VLOOKUP(D1985,Products!$B$5:$F$204,5,FALSE),0))</f>
        <v/>
      </c>
      <c r="N1985" s="21">
        <f>IF(B1985="","",J1985-K1985-L1985-M1985-I1985)</f>
        <v/>
      </c>
    </row>
    <row r="1986">
      <c r="B1986" s="11" t="n"/>
      <c r="C1986" s="8" t="n"/>
      <c r="D1986" s="8" t="n"/>
      <c r="E1986" s="8" t="n"/>
      <c r="F1986" s="20" t="n"/>
      <c r="G1986" s="20" t="n"/>
      <c r="H1986" s="8" t="n"/>
      <c r="I1986" s="20" t="n"/>
      <c r="J1986" s="21">
        <f>IF(B1986="","",F1986+G1986)</f>
        <v/>
      </c>
      <c r="K1986" s="21">
        <f>IF(B1986="","",J1986*(Settings!$C$11+Settings!$C$12+Settings!$C$14)+IF(C1986="",Settings!$C$13,IF(COUNTIF($C$5:C1986,C1986)=1,Settings!$C$13,0))+E1986*Settings!$C$15+IF(H1986="Yes",J1986*Settings!$C$16,0))</f>
        <v/>
      </c>
      <c r="L1986" s="21">
        <f>IF(B1986="","",IF(Settings!$C$5="Yes",0,K1986*Settings!$C$17))</f>
        <v/>
      </c>
      <c r="M1986" s="21">
        <f>IF(B1986="","",E1986*IFERROR(VLOOKUP(D1986,Products!$B$5:$F$204,5,FALSE),0))</f>
        <v/>
      </c>
      <c r="N1986" s="21">
        <f>IF(B1986="","",J1986-K1986-L1986-M1986-I1986)</f>
        <v/>
      </c>
    </row>
    <row r="1987">
      <c r="B1987" s="11" t="n"/>
      <c r="C1987" s="8" t="n"/>
      <c r="D1987" s="8" t="n"/>
      <c r="E1987" s="8" t="n"/>
      <c r="F1987" s="20" t="n"/>
      <c r="G1987" s="20" t="n"/>
      <c r="H1987" s="8" t="n"/>
      <c r="I1987" s="20" t="n"/>
      <c r="J1987" s="21">
        <f>IF(B1987="","",F1987+G1987)</f>
        <v/>
      </c>
      <c r="K1987" s="21">
        <f>IF(B1987="","",J1987*(Settings!$C$11+Settings!$C$12+Settings!$C$14)+IF(C1987="",Settings!$C$13,IF(COUNTIF($C$5:C1987,C1987)=1,Settings!$C$13,0))+E1987*Settings!$C$15+IF(H1987="Yes",J1987*Settings!$C$16,0))</f>
        <v/>
      </c>
      <c r="L1987" s="21">
        <f>IF(B1987="","",IF(Settings!$C$5="Yes",0,K1987*Settings!$C$17))</f>
        <v/>
      </c>
      <c r="M1987" s="21">
        <f>IF(B1987="","",E1987*IFERROR(VLOOKUP(D1987,Products!$B$5:$F$204,5,FALSE),0))</f>
        <v/>
      </c>
      <c r="N1987" s="21">
        <f>IF(B1987="","",J1987-K1987-L1987-M1987-I1987)</f>
        <v/>
      </c>
    </row>
    <row r="1988">
      <c r="B1988" s="11" t="n"/>
      <c r="C1988" s="8" t="n"/>
      <c r="D1988" s="8" t="n"/>
      <c r="E1988" s="8" t="n"/>
      <c r="F1988" s="20" t="n"/>
      <c r="G1988" s="20" t="n"/>
      <c r="H1988" s="8" t="n"/>
      <c r="I1988" s="20" t="n"/>
      <c r="J1988" s="21">
        <f>IF(B1988="","",F1988+G1988)</f>
        <v/>
      </c>
      <c r="K1988" s="21">
        <f>IF(B1988="","",J1988*(Settings!$C$11+Settings!$C$12+Settings!$C$14)+IF(C1988="",Settings!$C$13,IF(COUNTIF($C$5:C1988,C1988)=1,Settings!$C$13,0))+E1988*Settings!$C$15+IF(H1988="Yes",J1988*Settings!$C$16,0))</f>
        <v/>
      </c>
      <c r="L1988" s="21">
        <f>IF(B1988="","",IF(Settings!$C$5="Yes",0,K1988*Settings!$C$17))</f>
        <v/>
      </c>
      <c r="M1988" s="21">
        <f>IF(B1988="","",E1988*IFERROR(VLOOKUP(D1988,Products!$B$5:$F$204,5,FALSE),0))</f>
        <v/>
      </c>
      <c r="N1988" s="21">
        <f>IF(B1988="","",J1988-K1988-L1988-M1988-I1988)</f>
        <v/>
      </c>
    </row>
    <row r="1989">
      <c r="B1989" s="11" t="n"/>
      <c r="C1989" s="8" t="n"/>
      <c r="D1989" s="8" t="n"/>
      <c r="E1989" s="8" t="n"/>
      <c r="F1989" s="20" t="n"/>
      <c r="G1989" s="20" t="n"/>
      <c r="H1989" s="8" t="n"/>
      <c r="I1989" s="20" t="n"/>
      <c r="J1989" s="21">
        <f>IF(B1989="","",F1989+G1989)</f>
        <v/>
      </c>
      <c r="K1989" s="21">
        <f>IF(B1989="","",J1989*(Settings!$C$11+Settings!$C$12+Settings!$C$14)+IF(C1989="",Settings!$C$13,IF(COUNTIF($C$5:C1989,C1989)=1,Settings!$C$13,0))+E1989*Settings!$C$15+IF(H1989="Yes",J1989*Settings!$C$16,0))</f>
        <v/>
      </c>
      <c r="L1989" s="21">
        <f>IF(B1989="","",IF(Settings!$C$5="Yes",0,K1989*Settings!$C$17))</f>
        <v/>
      </c>
      <c r="M1989" s="21">
        <f>IF(B1989="","",E1989*IFERROR(VLOOKUP(D1989,Products!$B$5:$F$204,5,FALSE),0))</f>
        <v/>
      </c>
      <c r="N1989" s="21">
        <f>IF(B1989="","",J1989-K1989-L1989-M1989-I1989)</f>
        <v/>
      </c>
    </row>
    <row r="1990">
      <c r="B1990" s="11" t="n"/>
      <c r="C1990" s="8" t="n"/>
      <c r="D1990" s="8" t="n"/>
      <c r="E1990" s="8" t="n"/>
      <c r="F1990" s="20" t="n"/>
      <c r="G1990" s="20" t="n"/>
      <c r="H1990" s="8" t="n"/>
      <c r="I1990" s="20" t="n"/>
      <c r="J1990" s="21">
        <f>IF(B1990="","",F1990+G1990)</f>
        <v/>
      </c>
      <c r="K1990" s="21">
        <f>IF(B1990="","",J1990*(Settings!$C$11+Settings!$C$12+Settings!$C$14)+IF(C1990="",Settings!$C$13,IF(COUNTIF($C$5:C1990,C1990)=1,Settings!$C$13,0))+E1990*Settings!$C$15+IF(H1990="Yes",J1990*Settings!$C$16,0))</f>
        <v/>
      </c>
      <c r="L1990" s="21">
        <f>IF(B1990="","",IF(Settings!$C$5="Yes",0,K1990*Settings!$C$17))</f>
        <v/>
      </c>
      <c r="M1990" s="21">
        <f>IF(B1990="","",E1990*IFERROR(VLOOKUP(D1990,Products!$B$5:$F$204,5,FALSE),0))</f>
        <v/>
      </c>
      <c r="N1990" s="21">
        <f>IF(B1990="","",J1990-K1990-L1990-M1990-I1990)</f>
        <v/>
      </c>
    </row>
    <row r="1991">
      <c r="B1991" s="11" t="n"/>
      <c r="C1991" s="8" t="n"/>
      <c r="D1991" s="8" t="n"/>
      <c r="E1991" s="8" t="n"/>
      <c r="F1991" s="20" t="n"/>
      <c r="G1991" s="20" t="n"/>
      <c r="H1991" s="8" t="n"/>
      <c r="I1991" s="20" t="n"/>
      <c r="J1991" s="21">
        <f>IF(B1991="","",F1991+G1991)</f>
        <v/>
      </c>
      <c r="K1991" s="21">
        <f>IF(B1991="","",J1991*(Settings!$C$11+Settings!$C$12+Settings!$C$14)+IF(C1991="",Settings!$C$13,IF(COUNTIF($C$5:C1991,C1991)=1,Settings!$C$13,0))+E1991*Settings!$C$15+IF(H1991="Yes",J1991*Settings!$C$16,0))</f>
        <v/>
      </c>
      <c r="L1991" s="21">
        <f>IF(B1991="","",IF(Settings!$C$5="Yes",0,K1991*Settings!$C$17))</f>
        <v/>
      </c>
      <c r="M1991" s="21">
        <f>IF(B1991="","",E1991*IFERROR(VLOOKUP(D1991,Products!$B$5:$F$204,5,FALSE),0))</f>
        <v/>
      </c>
      <c r="N1991" s="21">
        <f>IF(B1991="","",J1991-K1991-L1991-M1991-I1991)</f>
        <v/>
      </c>
    </row>
    <row r="1992">
      <c r="B1992" s="11" t="n"/>
      <c r="C1992" s="8" t="n"/>
      <c r="D1992" s="8" t="n"/>
      <c r="E1992" s="8" t="n"/>
      <c r="F1992" s="20" t="n"/>
      <c r="G1992" s="20" t="n"/>
      <c r="H1992" s="8" t="n"/>
      <c r="I1992" s="20" t="n"/>
      <c r="J1992" s="21">
        <f>IF(B1992="","",F1992+G1992)</f>
        <v/>
      </c>
      <c r="K1992" s="21">
        <f>IF(B1992="","",J1992*(Settings!$C$11+Settings!$C$12+Settings!$C$14)+IF(C1992="",Settings!$C$13,IF(COUNTIF($C$5:C1992,C1992)=1,Settings!$C$13,0))+E1992*Settings!$C$15+IF(H1992="Yes",J1992*Settings!$C$16,0))</f>
        <v/>
      </c>
      <c r="L1992" s="21">
        <f>IF(B1992="","",IF(Settings!$C$5="Yes",0,K1992*Settings!$C$17))</f>
        <v/>
      </c>
      <c r="M1992" s="21">
        <f>IF(B1992="","",E1992*IFERROR(VLOOKUP(D1992,Products!$B$5:$F$204,5,FALSE),0))</f>
        <v/>
      </c>
      <c r="N1992" s="21">
        <f>IF(B1992="","",J1992-K1992-L1992-M1992-I1992)</f>
        <v/>
      </c>
    </row>
    <row r="1993">
      <c r="B1993" s="11" t="n"/>
      <c r="C1993" s="8" t="n"/>
      <c r="D1993" s="8" t="n"/>
      <c r="E1993" s="8" t="n"/>
      <c r="F1993" s="20" t="n"/>
      <c r="G1993" s="20" t="n"/>
      <c r="H1993" s="8" t="n"/>
      <c r="I1993" s="20" t="n"/>
      <c r="J1993" s="21">
        <f>IF(B1993="","",F1993+G1993)</f>
        <v/>
      </c>
      <c r="K1993" s="21">
        <f>IF(B1993="","",J1993*(Settings!$C$11+Settings!$C$12+Settings!$C$14)+IF(C1993="",Settings!$C$13,IF(COUNTIF($C$5:C1993,C1993)=1,Settings!$C$13,0))+E1993*Settings!$C$15+IF(H1993="Yes",J1993*Settings!$C$16,0))</f>
        <v/>
      </c>
      <c r="L1993" s="21">
        <f>IF(B1993="","",IF(Settings!$C$5="Yes",0,K1993*Settings!$C$17))</f>
        <v/>
      </c>
      <c r="M1993" s="21">
        <f>IF(B1993="","",E1993*IFERROR(VLOOKUP(D1993,Products!$B$5:$F$204,5,FALSE),0))</f>
        <v/>
      </c>
      <c r="N1993" s="21">
        <f>IF(B1993="","",J1993-K1993-L1993-M1993-I1993)</f>
        <v/>
      </c>
    </row>
    <row r="1994">
      <c r="B1994" s="11" t="n"/>
      <c r="C1994" s="8" t="n"/>
      <c r="D1994" s="8" t="n"/>
      <c r="E1994" s="8" t="n"/>
      <c r="F1994" s="20" t="n"/>
      <c r="G1994" s="20" t="n"/>
      <c r="H1994" s="8" t="n"/>
      <c r="I1994" s="20" t="n"/>
      <c r="J1994" s="21">
        <f>IF(B1994="","",F1994+G1994)</f>
        <v/>
      </c>
      <c r="K1994" s="21">
        <f>IF(B1994="","",J1994*(Settings!$C$11+Settings!$C$12+Settings!$C$14)+IF(C1994="",Settings!$C$13,IF(COUNTIF($C$5:C1994,C1994)=1,Settings!$C$13,0))+E1994*Settings!$C$15+IF(H1994="Yes",J1994*Settings!$C$16,0))</f>
        <v/>
      </c>
      <c r="L1994" s="21">
        <f>IF(B1994="","",IF(Settings!$C$5="Yes",0,K1994*Settings!$C$17))</f>
        <v/>
      </c>
      <c r="M1994" s="21">
        <f>IF(B1994="","",E1994*IFERROR(VLOOKUP(D1994,Products!$B$5:$F$204,5,FALSE),0))</f>
        <v/>
      </c>
      <c r="N1994" s="21">
        <f>IF(B1994="","",J1994-K1994-L1994-M1994-I1994)</f>
        <v/>
      </c>
    </row>
    <row r="1995">
      <c r="B1995" s="11" t="n"/>
      <c r="C1995" s="8" t="n"/>
      <c r="D1995" s="8" t="n"/>
      <c r="E1995" s="8" t="n"/>
      <c r="F1995" s="20" t="n"/>
      <c r="G1995" s="20" t="n"/>
      <c r="H1995" s="8" t="n"/>
      <c r="I1995" s="20" t="n"/>
      <c r="J1995" s="21">
        <f>IF(B1995="","",F1995+G1995)</f>
        <v/>
      </c>
      <c r="K1995" s="21">
        <f>IF(B1995="","",J1995*(Settings!$C$11+Settings!$C$12+Settings!$C$14)+IF(C1995="",Settings!$C$13,IF(COUNTIF($C$5:C1995,C1995)=1,Settings!$C$13,0))+E1995*Settings!$C$15+IF(H1995="Yes",J1995*Settings!$C$16,0))</f>
        <v/>
      </c>
      <c r="L1995" s="21">
        <f>IF(B1995="","",IF(Settings!$C$5="Yes",0,K1995*Settings!$C$17))</f>
        <v/>
      </c>
      <c r="M1995" s="21">
        <f>IF(B1995="","",E1995*IFERROR(VLOOKUP(D1995,Products!$B$5:$F$204,5,FALSE),0))</f>
        <v/>
      </c>
      <c r="N1995" s="21">
        <f>IF(B1995="","",J1995-K1995-L1995-M1995-I1995)</f>
        <v/>
      </c>
    </row>
    <row r="1996">
      <c r="B1996" s="11" t="n"/>
      <c r="C1996" s="8" t="n"/>
      <c r="D1996" s="8" t="n"/>
      <c r="E1996" s="8" t="n"/>
      <c r="F1996" s="20" t="n"/>
      <c r="G1996" s="20" t="n"/>
      <c r="H1996" s="8" t="n"/>
      <c r="I1996" s="20" t="n"/>
      <c r="J1996" s="21">
        <f>IF(B1996="","",F1996+G1996)</f>
        <v/>
      </c>
      <c r="K1996" s="21">
        <f>IF(B1996="","",J1996*(Settings!$C$11+Settings!$C$12+Settings!$C$14)+IF(C1996="",Settings!$C$13,IF(COUNTIF($C$5:C1996,C1996)=1,Settings!$C$13,0))+E1996*Settings!$C$15+IF(H1996="Yes",J1996*Settings!$C$16,0))</f>
        <v/>
      </c>
      <c r="L1996" s="21">
        <f>IF(B1996="","",IF(Settings!$C$5="Yes",0,K1996*Settings!$C$17))</f>
        <v/>
      </c>
      <c r="M1996" s="21">
        <f>IF(B1996="","",E1996*IFERROR(VLOOKUP(D1996,Products!$B$5:$F$204,5,FALSE),0))</f>
        <v/>
      </c>
      <c r="N1996" s="21">
        <f>IF(B1996="","",J1996-K1996-L1996-M1996-I1996)</f>
        <v/>
      </c>
    </row>
    <row r="1997">
      <c r="B1997" s="11" t="n"/>
      <c r="C1997" s="8" t="n"/>
      <c r="D1997" s="8" t="n"/>
      <c r="E1997" s="8" t="n"/>
      <c r="F1997" s="20" t="n"/>
      <c r="G1997" s="20" t="n"/>
      <c r="H1997" s="8" t="n"/>
      <c r="I1997" s="20" t="n"/>
      <c r="J1997" s="21">
        <f>IF(B1997="","",F1997+G1997)</f>
        <v/>
      </c>
      <c r="K1997" s="21">
        <f>IF(B1997="","",J1997*(Settings!$C$11+Settings!$C$12+Settings!$C$14)+IF(C1997="",Settings!$C$13,IF(COUNTIF($C$5:C1997,C1997)=1,Settings!$C$13,0))+E1997*Settings!$C$15+IF(H1997="Yes",J1997*Settings!$C$16,0))</f>
        <v/>
      </c>
      <c r="L1997" s="21">
        <f>IF(B1997="","",IF(Settings!$C$5="Yes",0,K1997*Settings!$C$17))</f>
        <v/>
      </c>
      <c r="M1997" s="21">
        <f>IF(B1997="","",E1997*IFERROR(VLOOKUP(D1997,Products!$B$5:$F$204,5,FALSE),0))</f>
        <v/>
      </c>
      <c r="N1997" s="21">
        <f>IF(B1997="","",J1997-K1997-L1997-M1997-I1997)</f>
        <v/>
      </c>
    </row>
    <row r="1998">
      <c r="B1998" s="11" t="n"/>
      <c r="C1998" s="8" t="n"/>
      <c r="D1998" s="8" t="n"/>
      <c r="E1998" s="8" t="n"/>
      <c r="F1998" s="20" t="n"/>
      <c r="G1998" s="20" t="n"/>
      <c r="H1998" s="8" t="n"/>
      <c r="I1998" s="20" t="n"/>
      <c r="J1998" s="21">
        <f>IF(B1998="","",F1998+G1998)</f>
        <v/>
      </c>
      <c r="K1998" s="21">
        <f>IF(B1998="","",J1998*(Settings!$C$11+Settings!$C$12+Settings!$C$14)+IF(C1998="",Settings!$C$13,IF(COUNTIF($C$5:C1998,C1998)=1,Settings!$C$13,0))+E1998*Settings!$C$15+IF(H1998="Yes",J1998*Settings!$C$16,0))</f>
        <v/>
      </c>
      <c r="L1998" s="21">
        <f>IF(B1998="","",IF(Settings!$C$5="Yes",0,K1998*Settings!$C$17))</f>
        <v/>
      </c>
      <c r="M1998" s="21">
        <f>IF(B1998="","",E1998*IFERROR(VLOOKUP(D1998,Products!$B$5:$F$204,5,FALSE),0))</f>
        <v/>
      </c>
      <c r="N1998" s="21">
        <f>IF(B1998="","",J1998-K1998-L1998-M1998-I1998)</f>
        <v/>
      </c>
    </row>
    <row r="1999">
      <c r="B1999" s="11" t="n"/>
      <c r="C1999" s="8" t="n"/>
      <c r="D1999" s="8" t="n"/>
      <c r="E1999" s="8" t="n"/>
      <c r="F1999" s="20" t="n"/>
      <c r="G1999" s="20" t="n"/>
      <c r="H1999" s="8" t="n"/>
      <c r="I1999" s="20" t="n"/>
      <c r="J1999" s="21">
        <f>IF(B1999="","",F1999+G1999)</f>
        <v/>
      </c>
      <c r="K1999" s="21">
        <f>IF(B1999="","",J1999*(Settings!$C$11+Settings!$C$12+Settings!$C$14)+IF(C1999="",Settings!$C$13,IF(COUNTIF($C$5:C1999,C1999)=1,Settings!$C$13,0))+E1999*Settings!$C$15+IF(H1999="Yes",J1999*Settings!$C$16,0))</f>
        <v/>
      </c>
      <c r="L1999" s="21">
        <f>IF(B1999="","",IF(Settings!$C$5="Yes",0,K1999*Settings!$C$17))</f>
        <v/>
      </c>
      <c r="M1999" s="21">
        <f>IF(B1999="","",E1999*IFERROR(VLOOKUP(D1999,Products!$B$5:$F$204,5,FALSE),0))</f>
        <v/>
      </c>
      <c r="N1999" s="21">
        <f>IF(B1999="","",J1999-K1999-L1999-M1999-I1999)</f>
        <v/>
      </c>
    </row>
    <row r="2000">
      <c r="B2000" s="11" t="n"/>
      <c r="C2000" s="8" t="n"/>
      <c r="D2000" s="8" t="n"/>
      <c r="E2000" s="8" t="n"/>
      <c r="F2000" s="20" t="n"/>
      <c r="G2000" s="20" t="n"/>
      <c r="H2000" s="8" t="n"/>
      <c r="I2000" s="20" t="n"/>
      <c r="J2000" s="21">
        <f>IF(B2000="","",F2000+G2000)</f>
        <v/>
      </c>
      <c r="K2000" s="21">
        <f>IF(B2000="","",J2000*(Settings!$C$11+Settings!$C$12+Settings!$C$14)+IF(C2000="",Settings!$C$13,IF(COUNTIF($C$5:C2000,C2000)=1,Settings!$C$13,0))+E2000*Settings!$C$15+IF(H2000="Yes",J2000*Settings!$C$16,0))</f>
        <v/>
      </c>
      <c r="L2000" s="21">
        <f>IF(B2000="","",IF(Settings!$C$5="Yes",0,K2000*Settings!$C$17))</f>
        <v/>
      </c>
      <c r="M2000" s="21">
        <f>IF(B2000="","",E2000*IFERROR(VLOOKUP(D2000,Products!$B$5:$F$204,5,FALSE),0))</f>
        <v/>
      </c>
      <c r="N2000" s="21">
        <f>IF(B2000="","",J2000-K2000-L2000-M2000-I2000)</f>
        <v/>
      </c>
    </row>
    <row r="2001">
      <c r="B2001" s="11" t="n"/>
      <c r="C2001" s="8" t="n"/>
      <c r="D2001" s="8" t="n"/>
      <c r="E2001" s="8" t="n"/>
      <c r="F2001" s="20" t="n"/>
      <c r="G2001" s="20" t="n"/>
      <c r="H2001" s="8" t="n"/>
      <c r="I2001" s="20" t="n"/>
      <c r="J2001" s="21">
        <f>IF(B2001="","",F2001+G2001)</f>
        <v/>
      </c>
      <c r="K2001" s="21">
        <f>IF(B2001="","",J2001*(Settings!$C$11+Settings!$C$12+Settings!$C$14)+IF(C2001="",Settings!$C$13,IF(COUNTIF($C$5:C2001,C2001)=1,Settings!$C$13,0))+E2001*Settings!$C$15+IF(H2001="Yes",J2001*Settings!$C$16,0))</f>
        <v/>
      </c>
      <c r="L2001" s="21">
        <f>IF(B2001="","",IF(Settings!$C$5="Yes",0,K2001*Settings!$C$17))</f>
        <v/>
      </c>
      <c r="M2001" s="21">
        <f>IF(B2001="","",E2001*IFERROR(VLOOKUP(D2001,Products!$B$5:$F$204,5,FALSE),0))</f>
        <v/>
      </c>
      <c r="N2001" s="21">
        <f>IF(B2001="","",J2001-K2001-L2001-M2001-I2001)</f>
        <v/>
      </c>
    </row>
    <row r="2002">
      <c r="B2002" s="11" t="n"/>
      <c r="C2002" s="8" t="n"/>
      <c r="D2002" s="8" t="n"/>
      <c r="E2002" s="8" t="n"/>
      <c r="F2002" s="20" t="n"/>
      <c r="G2002" s="20" t="n"/>
      <c r="H2002" s="8" t="n"/>
      <c r="I2002" s="20" t="n"/>
      <c r="J2002" s="21">
        <f>IF(B2002="","",F2002+G2002)</f>
        <v/>
      </c>
      <c r="K2002" s="21">
        <f>IF(B2002="","",J2002*(Settings!$C$11+Settings!$C$12+Settings!$C$14)+IF(C2002="",Settings!$C$13,IF(COUNTIF($C$5:C2002,C2002)=1,Settings!$C$13,0))+E2002*Settings!$C$15+IF(H2002="Yes",J2002*Settings!$C$16,0))</f>
        <v/>
      </c>
      <c r="L2002" s="21">
        <f>IF(B2002="","",IF(Settings!$C$5="Yes",0,K2002*Settings!$C$17))</f>
        <v/>
      </c>
      <c r="M2002" s="21">
        <f>IF(B2002="","",E2002*IFERROR(VLOOKUP(D2002,Products!$B$5:$F$204,5,FALSE),0))</f>
        <v/>
      </c>
      <c r="N2002" s="21">
        <f>IF(B2002="","",J2002-K2002-L2002-M2002-I2002)</f>
        <v/>
      </c>
    </row>
    <row r="2003">
      <c r="B2003" s="11" t="n"/>
      <c r="C2003" s="8" t="n"/>
      <c r="D2003" s="8" t="n"/>
      <c r="E2003" s="8" t="n"/>
      <c r="F2003" s="20" t="n"/>
      <c r="G2003" s="20" t="n"/>
      <c r="H2003" s="8" t="n"/>
      <c r="I2003" s="20" t="n"/>
      <c r="J2003" s="21">
        <f>IF(B2003="","",F2003+G2003)</f>
        <v/>
      </c>
      <c r="K2003" s="21">
        <f>IF(B2003="","",J2003*(Settings!$C$11+Settings!$C$12+Settings!$C$14)+IF(C2003="",Settings!$C$13,IF(COUNTIF($C$5:C2003,C2003)=1,Settings!$C$13,0))+E2003*Settings!$C$15+IF(H2003="Yes",J2003*Settings!$C$16,0))</f>
        <v/>
      </c>
      <c r="L2003" s="21">
        <f>IF(B2003="","",IF(Settings!$C$5="Yes",0,K2003*Settings!$C$17))</f>
        <v/>
      </c>
      <c r="M2003" s="21">
        <f>IF(B2003="","",E2003*IFERROR(VLOOKUP(D2003,Products!$B$5:$F$204,5,FALSE),0))</f>
        <v/>
      </c>
      <c r="N2003" s="21">
        <f>IF(B2003="","",J2003-K2003-L2003-M2003-I2003)</f>
        <v/>
      </c>
    </row>
    <row r="2004">
      <c r="B2004" s="11" t="n"/>
      <c r="C2004" s="8" t="n"/>
      <c r="D2004" s="8" t="n"/>
      <c r="E2004" s="8" t="n"/>
      <c r="F2004" s="20" t="n"/>
      <c r="G2004" s="20" t="n"/>
      <c r="H2004" s="8" t="n"/>
      <c r="I2004" s="20" t="n"/>
      <c r="J2004" s="21">
        <f>IF(B2004="","",F2004+G2004)</f>
        <v/>
      </c>
      <c r="K2004" s="21">
        <f>IF(B2004="","",J2004*(Settings!$C$11+Settings!$C$12+Settings!$C$14)+IF(C2004="",Settings!$C$13,IF(COUNTIF($C$5:C2004,C2004)=1,Settings!$C$13,0))+E2004*Settings!$C$15+IF(H2004="Yes",J2004*Settings!$C$16,0))</f>
        <v/>
      </c>
      <c r="L2004" s="21">
        <f>IF(B2004="","",IF(Settings!$C$5="Yes",0,K2004*Settings!$C$17))</f>
        <v/>
      </c>
      <c r="M2004" s="21">
        <f>IF(B2004="","",E2004*IFERROR(VLOOKUP(D2004,Products!$B$5:$F$204,5,FALSE),0))</f>
        <v/>
      </c>
      <c r="N2004" s="21">
        <f>IF(B2004="","",J2004-K2004-L2004-M2004-I2004)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B4:N2004"/>
  <dataValidations count="2">
    <dataValidation sqref="D5:D2004" showDropDown="0" showInputMessage="0" showErrorMessage="0" allowBlank="1" type="list">
      <formula1>=Products!$B$5:$B$204</formula1>
    </dataValidation>
    <dataValidation sqref="H5:H2004" showDropDown="0" showInputMessage="0" showErrorMessage="0" allowBlank="1" type="list">
      <formula1>=Settings!$J$4:$J$5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0" customWidth="1" min="3" max="3"/>
    <col width="30" customWidth="1" min="4" max="4"/>
    <col width="46" customWidth="1" min="5" max="5"/>
    <col width="13" customWidth="1" min="6" max="6"/>
    <col width="12" customWidth="1" min="7" max="7"/>
  </cols>
  <sheetData>
    <row r="1">
      <c r="B1" s="1" t="inlineStr">
        <is>
          <t>Expenses</t>
        </is>
      </c>
    </row>
    <row r="2">
      <c r="B2" s="2" t="inlineStr">
        <is>
          <t>Other business costs: Etsy Ads, supplies in bulk, software, insurance.</t>
        </is>
      </c>
    </row>
    <row r="4" ht="30" customHeight="1">
      <c r="B4" s="13" t="inlineStr">
        <is>
          <t>Date</t>
        </is>
      </c>
      <c r="C4" s="13" t="inlineStr">
        <is>
          <t>Supplier</t>
        </is>
      </c>
      <c r="D4" s="13" t="inlineStr">
        <is>
          <t>Description</t>
        </is>
      </c>
      <c r="E4" s="13" t="inlineStr">
        <is>
          <t>Category</t>
        </is>
      </c>
      <c r="F4" s="13" t="inlineStr">
        <is>
          <t>Amount £</t>
        </is>
      </c>
      <c r="G4" s="13" t="inlineStr">
        <is>
          <t>Ref</t>
        </is>
      </c>
    </row>
    <row r="5">
      <c r="B5" s="11" t="n"/>
      <c r="C5" s="8" t="n"/>
      <c r="D5" s="8" t="n"/>
      <c r="E5" s="8" t="n"/>
      <c r="F5" s="20" t="n"/>
      <c r="G5" s="8" t="n"/>
    </row>
    <row r="6">
      <c r="B6" s="11" t="n"/>
      <c r="C6" s="8" t="n"/>
      <c r="D6" s="8" t="n"/>
      <c r="E6" s="8" t="n"/>
      <c r="F6" s="20" t="n"/>
      <c r="G6" s="8" t="n"/>
    </row>
    <row r="7">
      <c r="B7" s="11" t="n"/>
      <c r="C7" s="8" t="n"/>
      <c r="D7" s="8" t="n"/>
      <c r="E7" s="8" t="n"/>
      <c r="F7" s="20" t="n"/>
      <c r="G7" s="8" t="n"/>
    </row>
    <row r="8">
      <c r="B8" s="11" t="n"/>
      <c r="C8" s="8" t="n"/>
      <c r="D8" s="8" t="n"/>
      <c r="E8" s="8" t="n"/>
      <c r="F8" s="20" t="n"/>
      <c r="G8" s="8" t="n"/>
    </row>
    <row r="9">
      <c r="B9" s="11" t="n"/>
      <c r="C9" s="8" t="n"/>
      <c r="D9" s="8" t="n"/>
      <c r="E9" s="8" t="n"/>
      <c r="F9" s="20" t="n"/>
      <c r="G9" s="8" t="n"/>
    </row>
    <row r="10">
      <c r="B10" s="11" t="n"/>
      <c r="C10" s="8" t="n"/>
      <c r="D10" s="8" t="n"/>
      <c r="E10" s="8" t="n"/>
      <c r="F10" s="20" t="n"/>
      <c r="G10" s="8" t="n"/>
    </row>
    <row r="11">
      <c r="B11" s="11" t="n"/>
      <c r="C11" s="8" t="n"/>
      <c r="D11" s="8" t="n"/>
      <c r="E11" s="8" t="n"/>
      <c r="F11" s="20" t="n"/>
      <c r="G11" s="8" t="n"/>
    </row>
    <row r="12">
      <c r="B12" s="11" t="n"/>
      <c r="C12" s="8" t="n"/>
      <c r="D12" s="8" t="n"/>
      <c r="E12" s="8" t="n"/>
      <c r="F12" s="20" t="n"/>
      <c r="G12" s="8" t="n"/>
    </row>
    <row r="13">
      <c r="B13" s="11" t="n"/>
      <c r="C13" s="8" t="n"/>
      <c r="D13" s="8" t="n"/>
      <c r="E13" s="8" t="n"/>
      <c r="F13" s="20" t="n"/>
      <c r="G13" s="8" t="n"/>
    </row>
    <row r="14">
      <c r="B14" s="11" t="n"/>
      <c r="C14" s="8" t="n"/>
      <c r="D14" s="8" t="n"/>
      <c r="E14" s="8" t="n"/>
      <c r="F14" s="20" t="n"/>
      <c r="G14" s="8" t="n"/>
    </row>
    <row r="15">
      <c r="B15" s="11" t="n"/>
      <c r="C15" s="8" t="n"/>
      <c r="D15" s="8" t="n"/>
      <c r="E15" s="8" t="n"/>
      <c r="F15" s="20" t="n"/>
      <c r="G15" s="8" t="n"/>
    </row>
    <row r="16">
      <c r="B16" s="11" t="n"/>
      <c r="C16" s="8" t="n"/>
      <c r="D16" s="8" t="n"/>
      <c r="E16" s="8" t="n"/>
      <c r="F16" s="20" t="n"/>
      <c r="G16" s="8" t="n"/>
    </row>
    <row r="17">
      <c r="B17" s="11" t="n"/>
      <c r="C17" s="8" t="n"/>
      <c r="D17" s="8" t="n"/>
      <c r="E17" s="8" t="n"/>
      <c r="F17" s="20" t="n"/>
      <c r="G17" s="8" t="n"/>
    </row>
    <row r="18">
      <c r="B18" s="11" t="n"/>
      <c r="C18" s="8" t="n"/>
      <c r="D18" s="8" t="n"/>
      <c r="E18" s="8" t="n"/>
      <c r="F18" s="20" t="n"/>
      <c r="G18" s="8" t="n"/>
    </row>
    <row r="19">
      <c r="B19" s="11" t="n"/>
      <c r="C19" s="8" t="n"/>
      <c r="D19" s="8" t="n"/>
      <c r="E19" s="8" t="n"/>
      <c r="F19" s="20" t="n"/>
      <c r="G19" s="8" t="n"/>
    </row>
    <row r="20">
      <c r="B20" s="11" t="n"/>
      <c r="C20" s="8" t="n"/>
      <c r="D20" s="8" t="n"/>
      <c r="E20" s="8" t="n"/>
      <c r="F20" s="20" t="n"/>
      <c r="G20" s="8" t="n"/>
    </row>
    <row r="21">
      <c r="B21" s="11" t="n"/>
      <c r="C21" s="8" t="n"/>
      <c r="D21" s="8" t="n"/>
      <c r="E21" s="8" t="n"/>
      <c r="F21" s="20" t="n"/>
      <c r="G21" s="8" t="n"/>
    </row>
    <row r="22">
      <c r="B22" s="11" t="n"/>
      <c r="C22" s="8" t="n"/>
      <c r="D22" s="8" t="n"/>
      <c r="E22" s="8" t="n"/>
      <c r="F22" s="20" t="n"/>
      <c r="G22" s="8" t="n"/>
    </row>
    <row r="23">
      <c r="B23" s="11" t="n"/>
      <c r="C23" s="8" t="n"/>
      <c r="D23" s="8" t="n"/>
      <c r="E23" s="8" t="n"/>
      <c r="F23" s="20" t="n"/>
      <c r="G23" s="8" t="n"/>
    </row>
    <row r="24">
      <c r="B24" s="11" t="n"/>
      <c r="C24" s="8" t="n"/>
      <c r="D24" s="8" t="n"/>
      <c r="E24" s="8" t="n"/>
      <c r="F24" s="20" t="n"/>
      <c r="G24" s="8" t="n"/>
    </row>
    <row r="25">
      <c r="B25" s="11" t="n"/>
      <c r="C25" s="8" t="n"/>
      <c r="D25" s="8" t="n"/>
      <c r="E25" s="8" t="n"/>
      <c r="F25" s="20" t="n"/>
      <c r="G25" s="8" t="n"/>
    </row>
    <row r="26">
      <c r="B26" s="11" t="n"/>
      <c r="C26" s="8" t="n"/>
      <c r="D26" s="8" t="n"/>
      <c r="E26" s="8" t="n"/>
      <c r="F26" s="20" t="n"/>
      <c r="G26" s="8" t="n"/>
    </row>
    <row r="27">
      <c r="B27" s="11" t="n"/>
      <c r="C27" s="8" t="n"/>
      <c r="D27" s="8" t="n"/>
      <c r="E27" s="8" t="n"/>
      <c r="F27" s="20" t="n"/>
      <c r="G27" s="8" t="n"/>
    </row>
    <row r="28">
      <c r="B28" s="11" t="n"/>
      <c r="C28" s="8" t="n"/>
      <c r="D28" s="8" t="n"/>
      <c r="E28" s="8" t="n"/>
      <c r="F28" s="20" t="n"/>
      <c r="G28" s="8" t="n"/>
    </row>
    <row r="29">
      <c r="B29" s="11" t="n"/>
      <c r="C29" s="8" t="n"/>
      <c r="D29" s="8" t="n"/>
      <c r="E29" s="8" t="n"/>
      <c r="F29" s="20" t="n"/>
      <c r="G29" s="8" t="n"/>
    </row>
    <row r="30">
      <c r="B30" s="11" t="n"/>
      <c r="C30" s="8" t="n"/>
      <c r="D30" s="8" t="n"/>
      <c r="E30" s="8" t="n"/>
      <c r="F30" s="20" t="n"/>
      <c r="G30" s="8" t="n"/>
    </row>
    <row r="31">
      <c r="B31" s="11" t="n"/>
      <c r="C31" s="8" t="n"/>
      <c r="D31" s="8" t="n"/>
      <c r="E31" s="8" t="n"/>
      <c r="F31" s="20" t="n"/>
      <c r="G31" s="8" t="n"/>
    </row>
    <row r="32">
      <c r="B32" s="11" t="n"/>
      <c r="C32" s="8" t="n"/>
      <c r="D32" s="8" t="n"/>
      <c r="E32" s="8" t="n"/>
      <c r="F32" s="20" t="n"/>
      <c r="G32" s="8" t="n"/>
    </row>
    <row r="33">
      <c r="B33" s="11" t="n"/>
      <c r="C33" s="8" t="n"/>
      <c r="D33" s="8" t="n"/>
      <c r="E33" s="8" t="n"/>
      <c r="F33" s="20" t="n"/>
      <c r="G33" s="8" t="n"/>
    </row>
    <row r="34">
      <c r="B34" s="11" t="n"/>
      <c r="C34" s="8" t="n"/>
      <c r="D34" s="8" t="n"/>
      <c r="E34" s="8" t="n"/>
      <c r="F34" s="20" t="n"/>
      <c r="G34" s="8" t="n"/>
    </row>
    <row r="35">
      <c r="B35" s="11" t="n"/>
      <c r="C35" s="8" t="n"/>
      <c r="D35" s="8" t="n"/>
      <c r="E35" s="8" t="n"/>
      <c r="F35" s="20" t="n"/>
      <c r="G35" s="8" t="n"/>
    </row>
    <row r="36">
      <c r="B36" s="11" t="n"/>
      <c r="C36" s="8" t="n"/>
      <c r="D36" s="8" t="n"/>
      <c r="E36" s="8" t="n"/>
      <c r="F36" s="20" t="n"/>
      <c r="G36" s="8" t="n"/>
    </row>
    <row r="37">
      <c r="B37" s="11" t="n"/>
      <c r="C37" s="8" t="n"/>
      <c r="D37" s="8" t="n"/>
      <c r="E37" s="8" t="n"/>
      <c r="F37" s="20" t="n"/>
      <c r="G37" s="8" t="n"/>
    </row>
    <row r="38">
      <c r="B38" s="11" t="n"/>
      <c r="C38" s="8" t="n"/>
      <c r="D38" s="8" t="n"/>
      <c r="E38" s="8" t="n"/>
      <c r="F38" s="20" t="n"/>
      <c r="G38" s="8" t="n"/>
    </row>
    <row r="39">
      <c r="B39" s="11" t="n"/>
      <c r="C39" s="8" t="n"/>
      <c r="D39" s="8" t="n"/>
      <c r="E39" s="8" t="n"/>
      <c r="F39" s="20" t="n"/>
      <c r="G39" s="8" t="n"/>
    </row>
    <row r="40">
      <c r="B40" s="11" t="n"/>
      <c r="C40" s="8" t="n"/>
      <c r="D40" s="8" t="n"/>
      <c r="E40" s="8" t="n"/>
      <c r="F40" s="20" t="n"/>
      <c r="G40" s="8" t="n"/>
    </row>
    <row r="41">
      <c r="B41" s="11" t="n"/>
      <c r="C41" s="8" t="n"/>
      <c r="D41" s="8" t="n"/>
      <c r="E41" s="8" t="n"/>
      <c r="F41" s="20" t="n"/>
      <c r="G41" s="8" t="n"/>
    </row>
    <row r="42">
      <c r="B42" s="11" t="n"/>
      <c r="C42" s="8" t="n"/>
      <c r="D42" s="8" t="n"/>
      <c r="E42" s="8" t="n"/>
      <c r="F42" s="20" t="n"/>
      <c r="G42" s="8" t="n"/>
    </row>
    <row r="43">
      <c r="B43" s="11" t="n"/>
      <c r="C43" s="8" t="n"/>
      <c r="D43" s="8" t="n"/>
      <c r="E43" s="8" t="n"/>
      <c r="F43" s="20" t="n"/>
      <c r="G43" s="8" t="n"/>
    </row>
    <row r="44">
      <c r="B44" s="11" t="n"/>
      <c r="C44" s="8" t="n"/>
      <c r="D44" s="8" t="n"/>
      <c r="E44" s="8" t="n"/>
      <c r="F44" s="20" t="n"/>
      <c r="G44" s="8" t="n"/>
    </row>
    <row r="45">
      <c r="B45" s="11" t="n"/>
      <c r="C45" s="8" t="n"/>
      <c r="D45" s="8" t="n"/>
      <c r="E45" s="8" t="n"/>
      <c r="F45" s="20" t="n"/>
      <c r="G45" s="8" t="n"/>
    </row>
    <row r="46">
      <c r="B46" s="11" t="n"/>
      <c r="C46" s="8" t="n"/>
      <c r="D46" s="8" t="n"/>
      <c r="E46" s="8" t="n"/>
      <c r="F46" s="20" t="n"/>
      <c r="G46" s="8" t="n"/>
    </row>
    <row r="47">
      <c r="B47" s="11" t="n"/>
      <c r="C47" s="8" t="n"/>
      <c r="D47" s="8" t="n"/>
      <c r="E47" s="8" t="n"/>
      <c r="F47" s="20" t="n"/>
      <c r="G47" s="8" t="n"/>
    </row>
    <row r="48">
      <c r="B48" s="11" t="n"/>
      <c r="C48" s="8" t="n"/>
      <c r="D48" s="8" t="n"/>
      <c r="E48" s="8" t="n"/>
      <c r="F48" s="20" t="n"/>
      <c r="G48" s="8" t="n"/>
    </row>
    <row r="49">
      <c r="B49" s="11" t="n"/>
      <c r="C49" s="8" t="n"/>
      <c r="D49" s="8" t="n"/>
      <c r="E49" s="8" t="n"/>
      <c r="F49" s="20" t="n"/>
      <c r="G49" s="8" t="n"/>
    </row>
    <row r="50">
      <c r="B50" s="11" t="n"/>
      <c r="C50" s="8" t="n"/>
      <c r="D50" s="8" t="n"/>
      <c r="E50" s="8" t="n"/>
      <c r="F50" s="20" t="n"/>
      <c r="G50" s="8" t="n"/>
    </row>
    <row r="51">
      <c r="B51" s="11" t="n"/>
      <c r="C51" s="8" t="n"/>
      <c r="D51" s="8" t="n"/>
      <c r="E51" s="8" t="n"/>
      <c r="F51" s="20" t="n"/>
      <c r="G51" s="8" t="n"/>
    </row>
    <row r="52">
      <c r="B52" s="11" t="n"/>
      <c r="C52" s="8" t="n"/>
      <c r="D52" s="8" t="n"/>
      <c r="E52" s="8" t="n"/>
      <c r="F52" s="20" t="n"/>
      <c r="G52" s="8" t="n"/>
    </row>
    <row r="53">
      <c r="B53" s="11" t="n"/>
      <c r="C53" s="8" t="n"/>
      <c r="D53" s="8" t="n"/>
      <c r="E53" s="8" t="n"/>
      <c r="F53" s="20" t="n"/>
      <c r="G53" s="8" t="n"/>
    </row>
    <row r="54">
      <c r="B54" s="11" t="n"/>
      <c r="C54" s="8" t="n"/>
      <c r="D54" s="8" t="n"/>
      <c r="E54" s="8" t="n"/>
      <c r="F54" s="20" t="n"/>
      <c r="G54" s="8" t="n"/>
    </row>
    <row r="55">
      <c r="B55" s="11" t="n"/>
      <c r="C55" s="8" t="n"/>
      <c r="D55" s="8" t="n"/>
      <c r="E55" s="8" t="n"/>
      <c r="F55" s="20" t="n"/>
      <c r="G55" s="8" t="n"/>
    </row>
    <row r="56">
      <c r="B56" s="11" t="n"/>
      <c r="C56" s="8" t="n"/>
      <c r="D56" s="8" t="n"/>
      <c r="E56" s="8" t="n"/>
      <c r="F56" s="20" t="n"/>
      <c r="G56" s="8" t="n"/>
    </row>
    <row r="57">
      <c r="B57" s="11" t="n"/>
      <c r="C57" s="8" t="n"/>
      <c r="D57" s="8" t="n"/>
      <c r="E57" s="8" t="n"/>
      <c r="F57" s="20" t="n"/>
      <c r="G57" s="8" t="n"/>
    </row>
    <row r="58">
      <c r="B58" s="11" t="n"/>
      <c r="C58" s="8" t="n"/>
      <c r="D58" s="8" t="n"/>
      <c r="E58" s="8" t="n"/>
      <c r="F58" s="20" t="n"/>
      <c r="G58" s="8" t="n"/>
    </row>
    <row r="59">
      <c r="B59" s="11" t="n"/>
      <c r="C59" s="8" t="n"/>
      <c r="D59" s="8" t="n"/>
      <c r="E59" s="8" t="n"/>
      <c r="F59" s="20" t="n"/>
      <c r="G59" s="8" t="n"/>
    </row>
    <row r="60">
      <c r="B60" s="11" t="n"/>
      <c r="C60" s="8" t="n"/>
      <c r="D60" s="8" t="n"/>
      <c r="E60" s="8" t="n"/>
      <c r="F60" s="20" t="n"/>
      <c r="G60" s="8" t="n"/>
    </row>
    <row r="61">
      <c r="B61" s="11" t="n"/>
      <c r="C61" s="8" t="n"/>
      <c r="D61" s="8" t="n"/>
      <c r="E61" s="8" t="n"/>
      <c r="F61" s="20" t="n"/>
      <c r="G61" s="8" t="n"/>
    </row>
    <row r="62">
      <c r="B62" s="11" t="n"/>
      <c r="C62" s="8" t="n"/>
      <c r="D62" s="8" t="n"/>
      <c r="E62" s="8" t="n"/>
      <c r="F62" s="20" t="n"/>
      <c r="G62" s="8" t="n"/>
    </row>
    <row r="63">
      <c r="B63" s="11" t="n"/>
      <c r="C63" s="8" t="n"/>
      <c r="D63" s="8" t="n"/>
      <c r="E63" s="8" t="n"/>
      <c r="F63" s="20" t="n"/>
      <c r="G63" s="8" t="n"/>
    </row>
    <row r="64">
      <c r="B64" s="11" t="n"/>
      <c r="C64" s="8" t="n"/>
      <c r="D64" s="8" t="n"/>
      <c r="E64" s="8" t="n"/>
      <c r="F64" s="20" t="n"/>
      <c r="G64" s="8" t="n"/>
    </row>
    <row r="65">
      <c r="B65" s="11" t="n"/>
      <c r="C65" s="8" t="n"/>
      <c r="D65" s="8" t="n"/>
      <c r="E65" s="8" t="n"/>
      <c r="F65" s="20" t="n"/>
      <c r="G65" s="8" t="n"/>
    </row>
    <row r="66">
      <c r="B66" s="11" t="n"/>
      <c r="C66" s="8" t="n"/>
      <c r="D66" s="8" t="n"/>
      <c r="E66" s="8" t="n"/>
      <c r="F66" s="20" t="n"/>
      <c r="G66" s="8" t="n"/>
    </row>
    <row r="67">
      <c r="B67" s="11" t="n"/>
      <c r="C67" s="8" t="n"/>
      <c r="D67" s="8" t="n"/>
      <c r="E67" s="8" t="n"/>
      <c r="F67" s="20" t="n"/>
      <c r="G67" s="8" t="n"/>
    </row>
    <row r="68">
      <c r="B68" s="11" t="n"/>
      <c r="C68" s="8" t="n"/>
      <c r="D68" s="8" t="n"/>
      <c r="E68" s="8" t="n"/>
      <c r="F68" s="20" t="n"/>
      <c r="G68" s="8" t="n"/>
    </row>
    <row r="69">
      <c r="B69" s="11" t="n"/>
      <c r="C69" s="8" t="n"/>
      <c r="D69" s="8" t="n"/>
      <c r="E69" s="8" t="n"/>
      <c r="F69" s="20" t="n"/>
      <c r="G69" s="8" t="n"/>
    </row>
    <row r="70">
      <c r="B70" s="11" t="n"/>
      <c r="C70" s="8" t="n"/>
      <c r="D70" s="8" t="n"/>
      <c r="E70" s="8" t="n"/>
      <c r="F70" s="20" t="n"/>
      <c r="G70" s="8" t="n"/>
    </row>
    <row r="71">
      <c r="B71" s="11" t="n"/>
      <c r="C71" s="8" t="n"/>
      <c r="D71" s="8" t="n"/>
      <c r="E71" s="8" t="n"/>
      <c r="F71" s="20" t="n"/>
      <c r="G71" s="8" t="n"/>
    </row>
    <row r="72">
      <c r="B72" s="11" t="n"/>
      <c r="C72" s="8" t="n"/>
      <c r="D72" s="8" t="n"/>
      <c r="E72" s="8" t="n"/>
      <c r="F72" s="20" t="n"/>
      <c r="G72" s="8" t="n"/>
    </row>
    <row r="73">
      <c r="B73" s="11" t="n"/>
      <c r="C73" s="8" t="n"/>
      <c r="D73" s="8" t="n"/>
      <c r="E73" s="8" t="n"/>
      <c r="F73" s="20" t="n"/>
      <c r="G73" s="8" t="n"/>
    </row>
    <row r="74">
      <c r="B74" s="11" t="n"/>
      <c r="C74" s="8" t="n"/>
      <c r="D74" s="8" t="n"/>
      <c r="E74" s="8" t="n"/>
      <c r="F74" s="20" t="n"/>
      <c r="G74" s="8" t="n"/>
    </row>
    <row r="75">
      <c r="B75" s="11" t="n"/>
      <c r="C75" s="8" t="n"/>
      <c r="D75" s="8" t="n"/>
      <c r="E75" s="8" t="n"/>
      <c r="F75" s="20" t="n"/>
      <c r="G75" s="8" t="n"/>
    </row>
    <row r="76">
      <c r="B76" s="11" t="n"/>
      <c r="C76" s="8" t="n"/>
      <c r="D76" s="8" t="n"/>
      <c r="E76" s="8" t="n"/>
      <c r="F76" s="20" t="n"/>
      <c r="G76" s="8" t="n"/>
    </row>
    <row r="77">
      <c r="B77" s="11" t="n"/>
      <c r="C77" s="8" t="n"/>
      <c r="D77" s="8" t="n"/>
      <c r="E77" s="8" t="n"/>
      <c r="F77" s="20" t="n"/>
      <c r="G77" s="8" t="n"/>
    </row>
    <row r="78">
      <c r="B78" s="11" t="n"/>
      <c r="C78" s="8" t="n"/>
      <c r="D78" s="8" t="n"/>
      <c r="E78" s="8" t="n"/>
      <c r="F78" s="20" t="n"/>
      <c r="G78" s="8" t="n"/>
    </row>
    <row r="79">
      <c r="B79" s="11" t="n"/>
      <c r="C79" s="8" t="n"/>
      <c r="D79" s="8" t="n"/>
      <c r="E79" s="8" t="n"/>
      <c r="F79" s="20" t="n"/>
      <c r="G79" s="8" t="n"/>
    </row>
    <row r="80">
      <c r="B80" s="11" t="n"/>
      <c r="C80" s="8" t="n"/>
      <c r="D80" s="8" t="n"/>
      <c r="E80" s="8" t="n"/>
      <c r="F80" s="20" t="n"/>
      <c r="G80" s="8" t="n"/>
    </row>
    <row r="81">
      <c r="B81" s="11" t="n"/>
      <c r="C81" s="8" t="n"/>
      <c r="D81" s="8" t="n"/>
      <c r="E81" s="8" t="n"/>
      <c r="F81" s="20" t="n"/>
      <c r="G81" s="8" t="n"/>
    </row>
    <row r="82">
      <c r="B82" s="11" t="n"/>
      <c r="C82" s="8" t="n"/>
      <c r="D82" s="8" t="n"/>
      <c r="E82" s="8" t="n"/>
      <c r="F82" s="20" t="n"/>
      <c r="G82" s="8" t="n"/>
    </row>
    <row r="83">
      <c r="B83" s="11" t="n"/>
      <c r="C83" s="8" t="n"/>
      <c r="D83" s="8" t="n"/>
      <c r="E83" s="8" t="n"/>
      <c r="F83" s="20" t="n"/>
      <c r="G83" s="8" t="n"/>
    </row>
    <row r="84">
      <c r="B84" s="11" t="n"/>
      <c r="C84" s="8" t="n"/>
      <c r="D84" s="8" t="n"/>
      <c r="E84" s="8" t="n"/>
      <c r="F84" s="20" t="n"/>
      <c r="G84" s="8" t="n"/>
    </row>
    <row r="85">
      <c r="B85" s="11" t="n"/>
      <c r="C85" s="8" t="n"/>
      <c r="D85" s="8" t="n"/>
      <c r="E85" s="8" t="n"/>
      <c r="F85" s="20" t="n"/>
      <c r="G85" s="8" t="n"/>
    </row>
    <row r="86">
      <c r="B86" s="11" t="n"/>
      <c r="C86" s="8" t="n"/>
      <c r="D86" s="8" t="n"/>
      <c r="E86" s="8" t="n"/>
      <c r="F86" s="20" t="n"/>
      <c r="G86" s="8" t="n"/>
    </row>
    <row r="87">
      <c r="B87" s="11" t="n"/>
      <c r="C87" s="8" t="n"/>
      <c r="D87" s="8" t="n"/>
      <c r="E87" s="8" t="n"/>
      <c r="F87" s="20" t="n"/>
      <c r="G87" s="8" t="n"/>
    </row>
    <row r="88">
      <c r="B88" s="11" t="n"/>
      <c r="C88" s="8" t="n"/>
      <c r="D88" s="8" t="n"/>
      <c r="E88" s="8" t="n"/>
      <c r="F88" s="20" t="n"/>
      <c r="G88" s="8" t="n"/>
    </row>
    <row r="89">
      <c r="B89" s="11" t="n"/>
      <c r="C89" s="8" t="n"/>
      <c r="D89" s="8" t="n"/>
      <c r="E89" s="8" t="n"/>
      <c r="F89" s="20" t="n"/>
      <c r="G89" s="8" t="n"/>
    </row>
    <row r="90">
      <c r="B90" s="11" t="n"/>
      <c r="C90" s="8" t="n"/>
      <c r="D90" s="8" t="n"/>
      <c r="E90" s="8" t="n"/>
      <c r="F90" s="20" t="n"/>
      <c r="G90" s="8" t="n"/>
    </row>
    <row r="91">
      <c r="B91" s="11" t="n"/>
      <c r="C91" s="8" t="n"/>
      <c r="D91" s="8" t="n"/>
      <c r="E91" s="8" t="n"/>
      <c r="F91" s="20" t="n"/>
      <c r="G91" s="8" t="n"/>
    </row>
    <row r="92">
      <c r="B92" s="11" t="n"/>
      <c r="C92" s="8" t="n"/>
      <c r="D92" s="8" t="n"/>
      <c r="E92" s="8" t="n"/>
      <c r="F92" s="20" t="n"/>
      <c r="G92" s="8" t="n"/>
    </row>
    <row r="93">
      <c r="B93" s="11" t="n"/>
      <c r="C93" s="8" t="n"/>
      <c r="D93" s="8" t="n"/>
      <c r="E93" s="8" t="n"/>
      <c r="F93" s="20" t="n"/>
      <c r="G93" s="8" t="n"/>
    </row>
    <row r="94">
      <c r="B94" s="11" t="n"/>
      <c r="C94" s="8" t="n"/>
      <c r="D94" s="8" t="n"/>
      <c r="E94" s="8" t="n"/>
      <c r="F94" s="20" t="n"/>
      <c r="G94" s="8" t="n"/>
    </row>
    <row r="95">
      <c r="B95" s="11" t="n"/>
      <c r="C95" s="8" t="n"/>
      <c r="D95" s="8" t="n"/>
      <c r="E95" s="8" t="n"/>
      <c r="F95" s="20" t="n"/>
      <c r="G95" s="8" t="n"/>
    </row>
    <row r="96">
      <c r="B96" s="11" t="n"/>
      <c r="C96" s="8" t="n"/>
      <c r="D96" s="8" t="n"/>
      <c r="E96" s="8" t="n"/>
      <c r="F96" s="20" t="n"/>
      <c r="G96" s="8" t="n"/>
    </row>
    <row r="97">
      <c r="B97" s="11" t="n"/>
      <c r="C97" s="8" t="n"/>
      <c r="D97" s="8" t="n"/>
      <c r="E97" s="8" t="n"/>
      <c r="F97" s="20" t="n"/>
      <c r="G97" s="8" t="n"/>
    </row>
    <row r="98">
      <c r="B98" s="11" t="n"/>
      <c r="C98" s="8" t="n"/>
      <c r="D98" s="8" t="n"/>
      <c r="E98" s="8" t="n"/>
      <c r="F98" s="20" t="n"/>
      <c r="G98" s="8" t="n"/>
    </row>
    <row r="99">
      <c r="B99" s="11" t="n"/>
      <c r="C99" s="8" t="n"/>
      <c r="D99" s="8" t="n"/>
      <c r="E99" s="8" t="n"/>
      <c r="F99" s="20" t="n"/>
      <c r="G99" s="8" t="n"/>
    </row>
    <row r="100">
      <c r="B100" s="11" t="n"/>
      <c r="C100" s="8" t="n"/>
      <c r="D100" s="8" t="n"/>
      <c r="E100" s="8" t="n"/>
      <c r="F100" s="20" t="n"/>
      <c r="G100" s="8" t="n"/>
    </row>
    <row r="101">
      <c r="B101" s="11" t="n"/>
      <c r="C101" s="8" t="n"/>
      <c r="D101" s="8" t="n"/>
      <c r="E101" s="8" t="n"/>
      <c r="F101" s="20" t="n"/>
      <c r="G101" s="8" t="n"/>
    </row>
    <row r="102">
      <c r="B102" s="11" t="n"/>
      <c r="C102" s="8" t="n"/>
      <c r="D102" s="8" t="n"/>
      <c r="E102" s="8" t="n"/>
      <c r="F102" s="20" t="n"/>
      <c r="G102" s="8" t="n"/>
    </row>
    <row r="103">
      <c r="B103" s="11" t="n"/>
      <c r="C103" s="8" t="n"/>
      <c r="D103" s="8" t="n"/>
      <c r="E103" s="8" t="n"/>
      <c r="F103" s="20" t="n"/>
      <c r="G103" s="8" t="n"/>
    </row>
    <row r="104">
      <c r="B104" s="11" t="n"/>
      <c r="C104" s="8" t="n"/>
      <c r="D104" s="8" t="n"/>
      <c r="E104" s="8" t="n"/>
      <c r="F104" s="20" t="n"/>
      <c r="G104" s="8" t="n"/>
    </row>
    <row r="105">
      <c r="B105" s="11" t="n"/>
      <c r="C105" s="8" t="n"/>
      <c r="D105" s="8" t="n"/>
      <c r="E105" s="8" t="n"/>
      <c r="F105" s="20" t="n"/>
      <c r="G105" s="8" t="n"/>
    </row>
    <row r="106">
      <c r="B106" s="11" t="n"/>
      <c r="C106" s="8" t="n"/>
      <c r="D106" s="8" t="n"/>
      <c r="E106" s="8" t="n"/>
      <c r="F106" s="20" t="n"/>
      <c r="G106" s="8" t="n"/>
    </row>
    <row r="107">
      <c r="B107" s="11" t="n"/>
      <c r="C107" s="8" t="n"/>
      <c r="D107" s="8" t="n"/>
      <c r="E107" s="8" t="n"/>
      <c r="F107" s="20" t="n"/>
      <c r="G107" s="8" t="n"/>
    </row>
    <row r="108">
      <c r="B108" s="11" t="n"/>
      <c r="C108" s="8" t="n"/>
      <c r="D108" s="8" t="n"/>
      <c r="E108" s="8" t="n"/>
      <c r="F108" s="20" t="n"/>
      <c r="G108" s="8" t="n"/>
    </row>
    <row r="109">
      <c r="B109" s="11" t="n"/>
      <c r="C109" s="8" t="n"/>
      <c r="D109" s="8" t="n"/>
      <c r="E109" s="8" t="n"/>
      <c r="F109" s="20" t="n"/>
      <c r="G109" s="8" t="n"/>
    </row>
    <row r="110">
      <c r="B110" s="11" t="n"/>
      <c r="C110" s="8" t="n"/>
      <c r="D110" s="8" t="n"/>
      <c r="E110" s="8" t="n"/>
      <c r="F110" s="20" t="n"/>
      <c r="G110" s="8" t="n"/>
    </row>
    <row r="111">
      <c r="B111" s="11" t="n"/>
      <c r="C111" s="8" t="n"/>
      <c r="D111" s="8" t="n"/>
      <c r="E111" s="8" t="n"/>
      <c r="F111" s="20" t="n"/>
      <c r="G111" s="8" t="n"/>
    </row>
    <row r="112">
      <c r="B112" s="11" t="n"/>
      <c r="C112" s="8" t="n"/>
      <c r="D112" s="8" t="n"/>
      <c r="E112" s="8" t="n"/>
      <c r="F112" s="20" t="n"/>
      <c r="G112" s="8" t="n"/>
    </row>
    <row r="113">
      <c r="B113" s="11" t="n"/>
      <c r="C113" s="8" t="n"/>
      <c r="D113" s="8" t="n"/>
      <c r="E113" s="8" t="n"/>
      <c r="F113" s="20" t="n"/>
      <c r="G113" s="8" t="n"/>
    </row>
    <row r="114">
      <c r="B114" s="11" t="n"/>
      <c r="C114" s="8" t="n"/>
      <c r="D114" s="8" t="n"/>
      <c r="E114" s="8" t="n"/>
      <c r="F114" s="20" t="n"/>
      <c r="G114" s="8" t="n"/>
    </row>
    <row r="115">
      <c r="B115" s="11" t="n"/>
      <c r="C115" s="8" t="n"/>
      <c r="D115" s="8" t="n"/>
      <c r="E115" s="8" t="n"/>
      <c r="F115" s="20" t="n"/>
      <c r="G115" s="8" t="n"/>
    </row>
    <row r="116">
      <c r="B116" s="11" t="n"/>
      <c r="C116" s="8" t="n"/>
      <c r="D116" s="8" t="n"/>
      <c r="E116" s="8" t="n"/>
      <c r="F116" s="20" t="n"/>
      <c r="G116" s="8" t="n"/>
    </row>
    <row r="117">
      <c r="B117" s="11" t="n"/>
      <c r="C117" s="8" t="n"/>
      <c r="D117" s="8" t="n"/>
      <c r="E117" s="8" t="n"/>
      <c r="F117" s="20" t="n"/>
      <c r="G117" s="8" t="n"/>
    </row>
    <row r="118">
      <c r="B118" s="11" t="n"/>
      <c r="C118" s="8" t="n"/>
      <c r="D118" s="8" t="n"/>
      <c r="E118" s="8" t="n"/>
      <c r="F118" s="20" t="n"/>
      <c r="G118" s="8" t="n"/>
    </row>
    <row r="119">
      <c r="B119" s="11" t="n"/>
      <c r="C119" s="8" t="n"/>
      <c r="D119" s="8" t="n"/>
      <c r="E119" s="8" t="n"/>
      <c r="F119" s="20" t="n"/>
      <c r="G119" s="8" t="n"/>
    </row>
    <row r="120">
      <c r="B120" s="11" t="n"/>
      <c r="C120" s="8" t="n"/>
      <c r="D120" s="8" t="n"/>
      <c r="E120" s="8" t="n"/>
      <c r="F120" s="20" t="n"/>
      <c r="G120" s="8" t="n"/>
    </row>
    <row r="121">
      <c r="B121" s="11" t="n"/>
      <c r="C121" s="8" t="n"/>
      <c r="D121" s="8" t="n"/>
      <c r="E121" s="8" t="n"/>
      <c r="F121" s="20" t="n"/>
      <c r="G121" s="8" t="n"/>
    </row>
    <row r="122">
      <c r="B122" s="11" t="n"/>
      <c r="C122" s="8" t="n"/>
      <c r="D122" s="8" t="n"/>
      <c r="E122" s="8" t="n"/>
      <c r="F122" s="20" t="n"/>
      <c r="G122" s="8" t="n"/>
    </row>
    <row r="123">
      <c r="B123" s="11" t="n"/>
      <c r="C123" s="8" t="n"/>
      <c r="D123" s="8" t="n"/>
      <c r="E123" s="8" t="n"/>
      <c r="F123" s="20" t="n"/>
      <c r="G123" s="8" t="n"/>
    </row>
    <row r="124">
      <c r="B124" s="11" t="n"/>
      <c r="C124" s="8" t="n"/>
      <c r="D124" s="8" t="n"/>
      <c r="E124" s="8" t="n"/>
      <c r="F124" s="20" t="n"/>
      <c r="G124" s="8" t="n"/>
    </row>
    <row r="125">
      <c r="B125" s="11" t="n"/>
      <c r="C125" s="8" t="n"/>
      <c r="D125" s="8" t="n"/>
      <c r="E125" s="8" t="n"/>
      <c r="F125" s="20" t="n"/>
      <c r="G125" s="8" t="n"/>
    </row>
    <row r="126">
      <c r="B126" s="11" t="n"/>
      <c r="C126" s="8" t="n"/>
      <c r="D126" s="8" t="n"/>
      <c r="E126" s="8" t="n"/>
      <c r="F126" s="20" t="n"/>
      <c r="G126" s="8" t="n"/>
    </row>
    <row r="127">
      <c r="B127" s="11" t="n"/>
      <c r="C127" s="8" t="n"/>
      <c r="D127" s="8" t="n"/>
      <c r="E127" s="8" t="n"/>
      <c r="F127" s="20" t="n"/>
      <c r="G127" s="8" t="n"/>
    </row>
    <row r="128">
      <c r="B128" s="11" t="n"/>
      <c r="C128" s="8" t="n"/>
      <c r="D128" s="8" t="n"/>
      <c r="E128" s="8" t="n"/>
      <c r="F128" s="20" t="n"/>
      <c r="G128" s="8" t="n"/>
    </row>
    <row r="129">
      <c r="B129" s="11" t="n"/>
      <c r="C129" s="8" t="n"/>
      <c r="D129" s="8" t="n"/>
      <c r="E129" s="8" t="n"/>
      <c r="F129" s="20" t="n"/>
      <c r="G129" s="8" t="n"/>
    </row>
    <row r="130">
      <c r="B130" s="11" t="n"/>
      <c r="C130" s="8" t="n"/>
      <c r="D130" s="8" t="n"/>
      <c r="E130" s="8" t="n"/>
      <c r="F130" s="20" t="n"/>
      <c r="G130" s="8" t="n"/>
    </row>
    <row r="131">
      <c r="B131" s="11" t="n"/>
      <c r="C131" s="8" t="n"/>
      <c r="D131" s="8" t="n"/>
      <c r="E131" s="8" t="n"/>
      <c r="F131" s="20" t="n"/>
      <c r="G131" s="8" t="n"/>
    </row>
    <row r="132">
      <c r="B132" s="11" t="n"/>
      <c r="C132" s="8" t="n"/>
      <c r="D132" s="8" t="n"/>
      <c r="E132" s="8" t="n"/>
      <c r="F132" s="20" t="n"/>
      <c r="G132" s="8" t="n"/>
    </row>
    <row r="133">
      <c r="B133" s="11" t="n"/>
      <c r="C133" s="8" t="n"/>
      <c r="D133" s="8" t="n"/>
      <c r="E133" s="8" t="n"/>
      <c r="F133" s="20" t="n"/>
      <c r="G133" s="8" t="n"/>
    </row>
    <row r="134">
      <c r="B134" s="11" t="n"/>
      <c r="C134" s="8" t="n"/>
      <c r="D134" s="8" t="n"/>
      <c r="E134" s="8" t="n"/>
      <c r="F134" s="20" t="n"/>
      <c r="G134" s="8" t="n"/>
    </row>
    <row r="135">
      <c r="B135" s="11" t="n"/>
      <c r="C135" s="8" t="n"/>
      <c r="D135" s="8" t="n"/>
      <c r="E135" s="8" t="n"/>
      <c r="F135" s="20" t="n"/>
      <c r="G135" s="8" t="n"/>
    </row>
    <row r="136">
      <c r="B136" s="11" t="n"/>
      <c r="C136" s="8" t="n"/>
      <c r="D136" s="8" t="n"/>
      <c r="E136" s="8" t="n"/>
      <c r="F136" s="20" t="n"/>
      <c r="G136" s="8" t="n"/>
    </row>
    <row r="137">
      <c r="B137" s="11" t="n"/>
      <c r="C137" s="8" t="n"/>
      <c r="D137" s="8" t="n"/>
      <c r="E137" s="8" t="n"/>
      <c r="F137" s="20" t="n"/>
      <c r="G137" s="8" t="n"/>
    </row>
    <row r="138">
      <c r="B138" s="11" t="n"/>
      <c r="C138" s="8" t="n"/>
      <c r="D138" s="8" t="n"/>
      <c r="E138" s="8" t="n"/>
      <c r="F138" s="20" t="n"/>
      <c r="G138" s="8" t="n"/>
    </row>
    <row r="139">
      <c r="B139" s="11" t="n"/>
      <c r="C139" s="8" t="n"/>
      <c r="D139" s="8" t="n"/>
      <c r="E139" s="8" t="n"/>
      <c r="F139" s="20" t="n"/>
      <c r="G139" s="8" t="n"/>
    </row>
    <row r="140">
      <c r="B140" s="11" t="n"/>
      <c r="C140" s="8" t="n"/>
      <c r="D140" s="8" t="n"/>
      <c r="E140" s="8" t="n"/>
      <c r="F140" s="20" t="n"/>
      <c r="G140" s="8" t="n"/>
    </row>
    <row r="141">
      <c r="B141" s="11" t="n"/>
      <c r="C141" s="8" t="n"/>
      <c r="D141" s="8" t="n"/>
      <c r="E141" s="8" t="n"/>
      <c r="F141" s="20" t="n"/>
      <c r="G141" s="8" t="n"/>
    </row>
    <row r="142">
      <c r="B142" s="11" t="n"/>
      <c r="C142" s="8" t="n"/>
      <c r="D142" s="8" t="n"/>
      <c r="E142" s="8" t="n"/>
      <c r="F142" s="20" t="n"/>
      <c r="G142" s="8" t="n"/>
    </row>
    <row r="143">
      <c r="B143" s="11" t="n"/>
      <c r="C143" s="8" t="n"/>
      <c r="D143" s="8" t="n"/>
      <c r="E143" s="8" t="n"/>
      <c r="F143" s="20" t="n"/>
      <c r="G143" s="8" t="n"/>
    </row>
    <row r="144">
      <c r="B144" s="11" t="n"/>
      <c r="C144" s="8" t="n"/>
      <c r="D144" s="8" t="n"/>
      <c r="E144" s="8" t="n"/>
      <c r="F144" s="20" t="n"/>
      <c r="G144" s="8" t="n"/>
    </row>
    <row r="145">
      <c r="B145" s="11" t="n"/>
      <c r="C145" s="8" t="n"/>
      <c r="D145" s="8" t="n"/>
      <c r="E145" s="8" t="n"/>
      <c r="F145" s="20" t="n"/>
      <c r="G145" s="8" t="n"/>
    </row>
    <row r="146">
      <c r="B146" s="11" t="n"/>
      <c r="C146" s="8" t="n"/>
      <c r="D146" s="8" t="n"/>
      <c r="E146" s="8" t="n"/>
      <c r="F146" s="20" t="n"/>
      <c r="G146" s="8" t="n"/>
    </row>
    <row r="147">
      <c r="B147" s="11" t="n"/>
      <c r="C147" s="8" t="n"/>
      <c r="D147" s="8" t="n"/>
      <c r="E147" s="8" t="n"/>
      <c r="F147" s="20" t="n"/>
      <c r="G147" s="8" t="n"/>
    </row>
    <row r="148">
      <c r="B148" s="11" t="n"/>
      <c r="C148" s="8" t="n"/>
      <c r="D148" s="8" t="n"/>
      <c r="E148" s="8" t="n"/>
      <c r="F148" s="20" t="n"/>
      <c r="G148" s="8" t="n"/>
    </row>
    <row r="149">
      <c r="B149" s="11" t="n"/>
      <c r="C149" s="8" t="n"/>
      <c r="D149" s="8" t="n"/>
      <c r="E149" s="8" t="n"/>
      <c r="F149" s="20" t="n"/>
      <c r="G149" s="8" t="n"/>
    </row>
    <row r="150">
      <c r="B150" s="11" t="n"/>
      <c r="C150" s="8" t="n"/>
      <c r="D150" s="8" t="n"/>
      <c r="E150" s="8" t="n"/>
      <c r="F150" s="20" t="n"/>
      <c r="G150" s="8" t="n"/>
    </row>
    <row r="151">
      <c r="B151" s="11" t="n"/>
      <c r="C151" s="8" t="n"/>
      <c r="D151" s="8" t="n"/>
      <c r="E151" s="8" t="n"/>
      <c r="F151" s="20" t="n"/>
      <c r="G151" s="8" t="n"/>
    </row>
    <row r="152">
      <c r="B152" s="11" t="n"/>
      <c r="C152" s="8" t="n"/>
      <c r="D152" s="8" t="n"/>
      <c r="E152" s="8" t="n"/>
      <c r="F152" s="20" t="n"/>
      <c r="G152" s="8" t="n"/>
    </row>
    <row r="153">
      <c r="B153" s="11" t="n"/>
      <c r="C153" s="8" t="n"/>
      <c r="D153" s="8" t="n"/>
      <c r="E153" s="8" t="n"/>
      <c r="F153" s="20" t="n"/>
      <c r="G153" s="8" t="n"/>
    </row>
    <row r="154">
      <c r="B154" s="11" t="n"/>
      <c r="C154" s="8" t="n"/>
      <c r="D154" s="8" t="n"/>
      <c r="E154" s="8" t="n"/>
      <c r="F154" s="20" t="n"/>
      <c r="G154" s="8" t="n"/>
    </row>
    <row r="155">
      <c r="B155" s="11" t="n"/>
      <c r="C155" s="8" t="n"/>
      <c r="D155" s="8" t="n"/>
      <c r="E155" s="8" t="n"/>
      <c r="F155" s="20" t="n"/>
      <c r="G155" s="8" t="n"/>
    </row>
    <row r="156">
      <c r="B156" s="11" t="n"/>
      <c r="C156" s="8" t="n"/>
      <c r="D156" s="8" t="n"/>
      <c r="E156" s="8" t="n"/>
      <c r="F156" s="20" t="n"/>
      <c r="G156" s="8" t="n"/>
    </row>
    <row r="157">
      <c r="B157" s="11" t="n"/>
      <c r="C157" s="8" t="n"/>
      <c r="D157" s="8" t="n"/>
      <c r="E157" s="8" t="n"/>
      <c r="F157" s="20" t="n"/>
      <c r="G157" s="8" t="n"/>
    </row>
    <row r="158">
      <c r="B158" s="11" t="n"/>
      <c r="C158" s="8" t="n"/>
      <c r="D158" s="8" t="n"/>
      <c r="E158" s="8" t="n"/>
      <c r="F158" s="20" t="n"/>
      <c r="G158" s="8" t="n"/>
    </row>
    <row r="159">
      <c r="B159" s="11" t="n"/>
      <c r="C159" s="8" t="n"/>
      <c r="D159" s="8" t="n"/>
      <c r="E159" s="8" t="n"/>
      <c r="F159" s="20" t="n"/>
      <c r="G159" s="8" t="n"/>
    </row>
    <row r="160">
      <c r="B160" s="11" t="n"/>
      <c r="C160" s="8" t="n"/>
      <c r="D160" s="8" t="n"/>
      <c r="E160" s="8" t="n"/>
      <c r="F160" s="20" t="n"/>
      <c r="G160" s="8" t="n"/>
    </row>
    <row r="161">
      <c r="B161" s="11" t="n"/>
      <c r="C161" s="8" t="n"/>
      <c r="D161" s="8" t="n"/>
      <c r="E161" s="8" t="n"/>
      <c r="F161" s="20" t="n"/>
      <c r="G161" s="8" t="n"/>
    </row>
    <row r="162">
      <c r="B162" s="11" t="n"/>
      <c r="C162" s="8" t="n"/>
      <c r="D162" s="8" t="n"/>
      <c r="E162" s="8" t="n"/>
      <c r="F162" s="20" t="n"/>
      <c r="G162" s="8" t="n"/>
    </row>
    <row r="163">
      <c r="B163" s="11" t="n"/>
      <c r="C163" s="8" t="n"/>
      <c r="D163" s="8" t="n"/>
      <c r="E163" s="8" t="n"/>
      <c r="F163" s="20" t="n"/>
      <c r="G163" s="8" t="n"/>
    </row>
    <row r="164">
      <c r="B164" s="11" t="n"/>
      <c r="C164" s="8" t="n"/>
      <c r="D164" s="8" t="n"/>
      <c r="E164" s="8" t="n"/>
      <c r="F164" s="20" t="n"/>
      <c r="G164" s="8" t="n"/>
    </row>
    <row r="165">
      <c r="B165" s="11" t="n"/>
      <c r="C165" s="8" t="n"/>
      <c r="D165" s="8" t="n"/>
      <c r="E165" s="8" t="n"/>
      <c r="F165" s="20" t="n"/>
      <c r="G165" s="8" t="n"/>
    </row>
    <row r="166">
      <c r="B166" s="11" t="n"/>
      <c r="C166" s="8" t="n"/>
      <c r="D166" s="8" t="n"/>
      <c r="E166" s="8" t="n"/>
      <c r="F166" s="20" t="n"/>
      <c r="G166" s="8" t="n"/>
    </row>
    <row r="167">
      <c r="B167" s="11" t="n"/>
      <c r="C167" s="8" t="n"/>
      <c r="D167" s="8" t="n"/>
      <c r="E167" s="8" t="n"/>
      <c r="F167" s="20" t="n"/>
      <c r="G167" s="8" t="n"/>
    </row>
    <row r="168">
      <c r="B168" s="11" t="n"/>
      <c r="C168" s="8" t="n"/>
      <c r="D168" s="8" t="n"/>
      <c r="E168" s="8" t="n"/>
      <c r="F168" s="20" t="n"/>
      <c r="G168" s="8" t="n"/>
    </row>
    <row r="169">
      <c r="B169" s="11" t="n"/>
      <c r="C169" s="8" t="n"/>
      <c r="D169" s="8" t="n"/>
      <c r="E169" s="8" t="n"/>
      <c r="F169" s="20" t="n"/>
      <c r="G169" s="8" t="n"/>
    </row>
    <row r="170">
      <c r="B170" s="11" t="n"/>
      <c r="C170" s="8" t="n"/>
      <c r="D170" s="8" t="n"/>
      <c r="E170" s="8" t="n"/>
      <c r="F170" s="20" t="n"/>
      <c r="G170" s="8" t="n"/>
    </row>
    <row r="171">
      <c r="B171" s="11" t="n"/>
      <c r="C171" s="8" t="n"/>
      <c r="D171" s="8" t="n"/>
      <c r="E171" s="8" t="n"/>
      <c r="F171" s="20" t="n"/>
      <c r="G171" s="8" t="n"/>
    </row>
    <row r="172">
      <c r="B172" s="11" t="n"/>
      <c r="C172" s="8" t="n"/>
      <c r="D172" s="8" t="n"/>
      <c r="E172" s="8" t="n"/>
      <c r="F172" s="20" t="n"/>
      <c r="G172" s="8" t="n"/>
    </row>
    <row r="173">
      <c r="B173" s="11" t="n"/>
      <c r="C173" s="8" t="n"/>
      <c r="D173" s="8" t="n"/>
      <c r="E173" s="8" t="n"/>
      <c r="F173" s="20" t="n"/>
      <c r="G173" s="8" t="n"/>
    </row>
    <row r="174">
      <c r="B174" s="11" t="n"/>
      <c r="C174" s="8" t="n"/>
      <c r="D174" s="8" t="n"/>
      <c r="E174" s="8" t="n"/>
      <c r="F174" s="20" t="n"/>
      <c r="G174" s="8" t="n"/>
    </row>
    <row r="175">
      <c r="B175" s="11" t="n"/>
      <c r="C175" s="8" t="n"/>
      <c r="D175" s="8" t="n"/>
      <c r="E175" s="8" t="n"/>
      <c r="F175" s="20" t="n"/>
      <c r="G175" s="8" t="n"/>
    </row>
    <row r="176">
      <c r="B176" s="11" t="n"/>
      <c r="C176" s="8" t="n"/>
      <c r="D176" s="8" t="n"/>
      <c r="E176" s="8" t="n"/>
      <c r="F176" s="20" t="n"/>
      <c r="G176" s="8" t="n"/>
    </row>
    <row r="177">
      <c r="B177" s="11" t="n"/>
      <c r="C177" s="8" t="n"/>
      <c r="D177" s="8" t="n"/>
      <c r="E177" s="8" t="n"/>
      <c r="F177" s="20" t="n"/>
      <c r="G177" s="8" t="n"/>
    </row>
    <row r="178">
      <c r="B178" s="11" t="n"/>
      <c r="C178" s="8" t="n"/>
      <c r="D178" s="8" t="n"/>
      <c r="E178" s="8" t="n"/>
      <c r="F178" s="20" t="n"/>
      <c r="G178" s="8" t="n"/>
    </row>
    <row r="179">
      <c r="B179" s="11" t="n"/>
      <c r="C179" s="8" t="n"/>
      <c r="D179" s="8" t="n"/>
      <c r="E179" s="8" t="n"/>
      <c r="F179" s="20" t="n"/>
      <c r="G179" s="8" t="n"/>
    </row>
    <row r="180">
      <c r="B180" s="11" t="n"/>
      <c r="C180" s="8" t="n"/>
      <c r="D180" s="8" t="n"/>
      <c r="E180" s="8" t="n"/>
      <c r="F180" s="20" t="n"/>
      <c r="G180" s="8" t="n"/>
    </row>
    <row r="181">
      <c r="B181" s="11" t="n"/>
      <c r="C181" s="8" t="n"/>
      <c r="D181" s="8" t="n"/>
      <c r="E181" s="8" t="n"/>
      <c r="F181" s="20" t="n"/>
      <c r="G181" s="8" t="n"/>
    </row>
    <row r="182">
      <c r="B182" s="11" t="n"/>
      <c r="C182" s="8" t="n"/>
      <c r="D182" s="8" t="n"/>
      <c r="E182" s="8" t="n"/>
      <c r="F182" s="20" t="n"/>
      <c r="G182" s="8" t="n"/>
    </row>
    <row r="183">
      <c r="B183" s="11" t="n"/>
      <c r="C183" s="8" t="n"/>
      <c r="D183" s="8" t="n"/>
      <c r="E183" s="8" t="n"/>
      <c r="F183" s="20" t="n"/>
      <c r="G183" s="8" t="n"/>
    </row>
    <row r="184">
      <c r="B184" s="11" t="n"/>
      <c r="C184" s="8" t="n"/>
      <c r="D184" s="8" t="n"/>
      <c r="E184" s="8" t="n"/>
      <c r="F184" s="20" t="n"/>
      <c r="G184" s="8" t="n"/>
    </row>
    <row r="185">
      <c r="B185" s="11" t="n"/>
      <c r="C185" s="8" t="n"/>
      <c r="D185" s="8" t="n"/>
      <c r="E185" s="8" t="n"/>
      <c r="F185" s="20" t="n"/>
      <c r="G185" s="8" t="n"/>
    </row>
    <row r="186">
      <c r="B186" s="11" t="n"/>
      <c r="C186" s="8" t="n"/>
      <c r="D186" s="8" t="n"/>
      <c r="E186" s="8" t="n"/>
      <c r="F186" s="20" t="n"/>
      <c r="G186" s="8" t="n"/>
    </row>
    <row r="187">
      <c r="B187" s="11" t="n"/>
      <c r="C187" s="8" t="n"/>
      <c r="D187" s="8" t="n"/>
      <c r="E187" s="8" t="n"/>
      <c r="F187" s="20" t="n"/>
      <c r="G187" s="8" t="n"/>
    </row>
    <row r="188">
      <c r="B188" s="11" t="n"/>
      <c r="C188" s="8" t="n"/>
      <c r="D188" s="8" t="n"/>
      <c r="E188" s="8" t="n"/>
      <c r="F188" s="20" t="n"/>
      <c r="G188" s="8" t="n"/>
    </row>
    <row r="189">
      <c r="B189" s="11" t="n"/>
      <c r="C189" s="8" t="n"/>
      <c r="D189" s="8" t="n"/>
      <c r="E189" s="8" t="n"/>
      <c r="F189" s="20" t="n"/>
      <c r="G189" s="8" t="n"/>
    </row>
    <row r="190">
      <c r="B190" s="11" t="n"/>
      <c r="C190" s="8" t="n"/>
      <c r="D190" s="8" t="n"/>
      <c r="E190" s="8" t="n"/>
      <c r="F190" s="20" t="n"/>
      <c r="G190" s="8" t="n"/>
    </row>
    <row r="191">
      <c r="B191" s="11" t="n"/>
      <c r="C191" s="8" t="n"/>
      <c r="D191" s="8" t="n"/>
      <c r="E191" s="8" t="n"/>
      <c r="F191" s="20" t="n"/>
      <c r="G191" s="8" t="n"/>
    </row>
    <row r="192">
      <c r="B192" s="11" t="n"/>
      <c r="C192" s="8" t="n"/>
      <c r="D192" s="8" t="n"/>
      <c r="E192" s="8" t="n"/>
      <c r="F192" s="20" t="n"/>
      <c r="G192" s="8" t="n"/>
    </row>
    <row r="193">
      <c r="B193" s="11" t="n"/>
      <c r="C193" s="8" t="n"/>
      <c r="D193" s="8" t="n"/>
      <c r="E193" s="8" t="n"/>
      <c r="F193" s="20" t="n"/>
      <c r="G193" s="8" t="n"/>
    </row>
    <row r="194">
      <c r="B194" s="11" t="n"/>
      <c r="C194" s="8" t="n"/>
      <c r="D194" s="8" t="n"/>
      <c r="E194" s="8" t="n"/>
      <c r="F194" s="20" t="n"/>
      <c r="G194" s="8" t="n"/>
    </row>
    <row r="195">
      <c r="B195" s="11" t="n"/>
      <c r="C195" s="8" t="n"/>
      <c r="D195" s="8" t="n"/>
      <c r="E195" s="8" t="n"/>
      <c r="F195" s="20" t="n"/>
      <c r="G195" s="8" t="n"/>
    </row>
    <row r="196">
      <c r="B196" s="11" t="n"/>
      <c r="C196" s="8" t="n"/>
      <c r="D196" s="8" t="n"/>
      <c r="E196" s="8" t="n"/>
      <c r="F196" s="20" t="n"/>
      <c r="G196" s="8" t="n"/>
    </row>
    <row r="197">
      <c r="B197" s="11" t="n"/>
      <c r="C197" s="8" t="n"/>
      <c r="D197" s="8" t="n"/>
      <c r="E197" s="8" t="n"/>
      <c r="F197" s="20" t="n"/>
      <c r="G197" s="8" t="n"/>
    </row>
    <row r="198">
      <c r="B198" s="11" t="n"/>
      <c r="C198" s="8" t="n"/>
      <c r="D198" s="8" t="n"/>
      <c r="E198" s="8" t="n"/>
      <c r="F198" s="20" t="n"/>
      <c r="G198" s="8" t="n"/>
    </row>
    <row r="199">
      <c r="B199" s="11" t="n"/>
      <c r="C199" s="8" t="n"/>
      <c r="D199" s="8" t="n"/>
      <c r="E199" s="8" t="n"/>
      <c r="F199" s="20" t="n"/>
      <c r="G199" s="8" t="n"/>
    </row>
    <row r="200">
      <c r="B200" s="11" t="n"/>
      <c r="C200" s="8" t="n"/>
      <c r="D200" s="8" t="n"/>
      <c r="E200" s="8" t="n"/>
      <c r="F200" s="20" t="n"/>
      <c r="G200" s="8" t="n"/>
    </row>
    <row r="201">
      <c r="B201" s="11" t="n"/>
      <c r="C201" s="8" t="n"/>
      <c r="D201" s="8" t="n"/>
      <c r="E201" s="8" t="n"/>
      <c r="F201" s="20" t="n"/>
      <c r="G201" s="8" t="n"/>
    </row>
    <row r="202">
      <c r="B202" s="11" t="n"/>
      <c r="C202" s="8" t="n"/>
      <c r="D202" s="8" t="n"/>
      <c r="E202" s="8" t="n"/>
      <c r="F202" s="20" t="n"/>
      <c r="G202" s="8" t="n"/>
    </row>
    <row r="203">
      <c r="B203" s="11" t="n"/>
      <c r="C203" s="8" t="n"/>
      <c r="D203" s="8" t="n"/>
      <c r="E203" s="8" t="n"/>
      <c r="F203" s="20" t="n"/>
      <c r="G203" s="8" t="n"/>
    </row>
    <row r="204">
      <c r="B204" s="11" t="n"/>
      <c r="C204" s="8" t="n"/>
      <c r="D204" s="8" t="n"/>
      <c r="E204" s="8" t="n"/>
      <c r="F204" s="20" t="n"/>
      <c r="G204" s="8" t="n"/>
    </row>
    <row r="205">
      <c r="B205" s="11" t="n"/>
      <c r="C205" s="8" t="n"/>
      <c r="D205" s="8" t="n"/>
      <c r="E205" s="8" t="n"/>
      <c r="F205" s="20" t="n"/>
      <c r="G205" s="8" t="n"/>
    </row>
    <row r="206">
      <c r="B206" s="11" t="n"/>
      <c r="C206" s="8" t="n"/>
      <c r="D206" s="8" t="n"/>
      <c r="E206" s="8" t="n"/>
      <c r="F206" s="20" t="n"/>
      <c r="G206" s="8" t="n"/>
    </row>
    <row r="207">
      <c r="B207" s="11" t="n"/>
      <c r="C207" s="8" t="n"/>
      <c r="D207" s="8" t="n"/>
      <c r="E207" s="8" t="n"/>
      <c r="F207" s="20" t="n"/>
      <c r="G207" s="8" t="n"/>
    </row>
    <row r="208">
      <c r="B208" s="11" t="n"/>
      <c r="C208" s="8" t="n"/>
      <c r="D208" s="8" t="n"/>
      <c r="E208" s="8" t="n"/>
      <c r="F208" s="20" t="n"/>
      <c r="G208" s="8" t="n"/>
    </row>
    <row r="209">
      <c r="B209" s="11" t="n"/>
      <c r="C209" s="8" t="n"/>
      <c r="D209" s="8" t="n"/>
      <c r="E209" s="8" t="n"/>
      <c r="F209" s="20" t="n"/>
      <c r="G209" s="8" t="n"/>
    </row>
    <row r="210">
      <c r="B210" s="11" t="n"/>
      <c r="C210" s="8" t="n"/>
      <c r="D210" s="8" t="n"/>
      <c r="E210" s="8" t="n"/>
      <c r="F210" s="20" t="n"/>
      <c r="G210" s="8" t="n"/>
    </row>
    <row r="211">
      <c r="B211" s="11" t="n"/>
      <c r="C211" s="8" t="n"/>
      <c r="D211" s="8" t="n"/>
      <c r="E211" s="8" t="n"/>
      <c r="F211" s="20" t="n"/>
      <c r="G211" s="8" t="n"/>
    </row>
    <row r="212">
      <c r="B212" s="11" t="n"/>
      <c r="C212" s="8" t="n"/>
      <c r="D212" s="8" t="n"/>
      <c r="E212" s="8" t="n"/>
      <c r="F212" s="20" t="n"/>
      <c r="G212" s="8" t="n"/>
    </row>
    <row r="213">
      <c r="B213" s="11" t="n"/>
      <c r="C213" s="8" t="n"/>
      <c r="D213" s="8" t="n"/>
      <c r="E213" s="8" t="n"/>
      <c r="F213" s="20" t="n"/>
      <c r="G213" s="8" t="n"/>
    </row>
    <row r="214">
      <c r="B214" s="11" t="n"/>
      <c r="C214" s="8" t="n"/>
      <c r="D214" s="8" t="n"/>
      <c r="E214" s="8" t="n"/>
      <c r="F214" s="20" t="n"/>
      <c r="G214" s="8" t="n"/>
    </row>
    <row r="215">
      <c r="B215" s="11" t="n"/>
      <c r="C215" s="8" t="n"/>
      <c r="D215" s="8" t="n"/>
      <c r="E215" s="8" t="n"/>
      <c r="F215" s="20" t="n"/>
      <c r="G215" s="8" t="n"/>
    </row>
    <row r="216">
      <c r="B216" s="11" t="n"/>
      <c r="C216" s="8" t="n"/>
      <c r="D216" s="8" t="n"/>
      <c r="E216" s="8" t="n"/>
      <c r="F216" s="20" t="n"/>
      <c r="G216" s="8" t="n"/>
    </row>
    <row r="217">
      <c r="B217" s="11" t="n"/>
      <c r="C217" s="8" t="n"/>
      <c r="D217" s="8" t="n"/>
      <c r="E217" s="8" t="n"/>
      <c r="F217" s="20" t="n"/>
      <c r="G217" s="8" t="n"/>
    </row>
    <row r="218">
      <c r="B218" s="11" t="n"/>
      <c r="C218" s="8" t="n"/>
      <c r="D218" s="8" t="n"/>
      <c r="E218" s="8" t="n"/>
      <c r="F218" s="20" t="n"/>
      <c r="G218" s="8" t="n"/>
    </row>
    <row r="219">
      <c r="B219" s="11" t="n"/>
      <c r="C219" s="8" t="n"/>
      <c r="D219" s="8" t="n"/>
      <c r="E219" s="8" t="n"/>
      <c r="F219" s="20" t="n"/>
      <c r="G219" s="8" t="n"/>
    </row>
    <row r="220">
      <c r="B220" s="11" t="n"/>
      <c r="C220" s="8" t="n"/>
      <c r="D220" s="8" t="n"/>
      <c r="E220" s="8" t="n"/>
      <c r="F220" s="20" t="n"/>
      <c r="G220" s="8" t="n"/>
    </row>
    <row r="221">
      <c r="B221" s="11" t="n"/>
      <c r="C221" s="8" t="n"/>
      <c r="D221" s="8" t="n"/>
      <c r="E221" s="8" t="n"/>
      <c r="F221" s="20" t="n"/>
      <c r="G221" s="8" t="n"/>
    </row>
    <row r="222">
      <c r="B222" s="11" t="n"/>
      <c r="C222" s="8" t="n"/>
      <c r="D222" s="8" t="n"/>
      <c r="E222" s="8" t="n"/>
      <c r="F222" s="20" t="n"/>
      <c r="G222" s="8" t="n"/>
    </row>
    <row r="223">
      <c r="B223" s="11" t="n"/>
      <c r="C223" s="8" t="n"/>
      <c r="D223" s="8" t="n"/>
      <c r="E223" s="8" t="n"/>
      <c r="F223" s="20" t="n"/>
      <c r="G223" s="8" t="n"/>
    </row>
    <row r="224">
      <c r="B224" s="11" t="n"/>
      <c r="C224" s="8" t="n"/>
      <c r="D224" s="8" t="n"/>
      <c r="E224" s="8" t="n"/>
      <c r="F224" s="20" t="n"/>
      <c r="G224" s="8" t="n"/>
    </row>
    <row r="225">
      <c r="B225" s="11" t="n"/>
      <c r="C225" s="8" t="n"/>
      <c r="D225" s="8" t="n"/>
      <c r="E225" s="8" t="n"/>
      <c r="F225" s="20" t="n"/>
      <c r="G225" s="8" t="n"/>
    </row>
    <row r="226">
      <c r="B226" s="11" t="n"/>
      <c r="C226" s="8" t="n"/>
      <c r="D226" s="8" t="n"/>
      <c r="E226" s="8" t="n"/>
      <c r="F226" s="20" t="n"/>
      <c r="G226" s="8" t="n"/>
    </row>
    <row r="227">
      <c r="B227" s="11" t="n"/>
      <c r="C227" s="8" t="n"/>
      <c r="D227" s="8" t="n"/>
      <c r="E227" s="8" t="n"/>
      <c r="F227" s="20" t="n"/>
      <c r="G227" s="8" t="n"/>
    </row>
    <row r="228">
      <c r="B228" s="11" t="n"/>
      <c r="C228" s="8" t="n"/>
      <c r="D228" s="8" t="n"/>
      <c r="E228" s="8" t="n"/>
      <c r="F228" s="20" t="n"/>
      <c r="G228" s="8" t="n"/>
    </row>
    <row r="229">
      <c r="B229" s="11" t="n"/>
      <c r="C229" s="8" t="n"/>
      <c r="D229" s="8" t="n"/>
      <c r="E229" s="8" t="n"/>
      <c r="F229" s="20" t="n"/>
      <c r="G229" s="8" t="n"/>
    </row>
    <row r="230">
      <c r="B230" s="11" t="n"/>
      <c r="C230" s="8" t="n"/>
      <c r="D230" s="8" t="n"/>
      <c r="E230" s="8" t="n"/>
      <c r="F230" s="20" t="n"/>
      <c r="G230" s="8" t="n"/>
    </row>
    <row r="231">
      <c r="B231" s="11" t="n"/>
      <c r="C231" s="8" t="n"/>
      <c r="D231" s="8" t="n"/>
      <c r="E231" s="8" t="n"/>
      <c r="F231" s="20" t="n"/>
      <c r="G231" s="8" t="n"/>
    </row>
    <row r="232">
      <c r="B232" s="11" t="n"/>
      <c r="C232" s="8" t="n"/>
      <c r="D232" s="8" t="n"/>
      <c r="E232" s="8" t="n"/>
      <c r="F232" s="20" t="n"/>
      <c r="G232" s="8" t="n"/>
    </row>
    <row r="233">
      <c r="B233" s="11" t="n"/>
      <c r="C233" s="8" t="n"/>
      <c r="D233" s="8" t="n"/>
      <c r="E233" s="8" t="n"/>
      <c r="F233" s="20" t="n"/>
      <c r="G233" s="8" t="n"/>
    </row>
    <row r="234">
      <c r="B234" s="11" t="n"/>
      <c r="C234" s="8" t="n"/>
      <c r="D234" s="8" t="n"/>
      <c r="E234" s="8" t="n"/>
      <c r="F234" s="20" t="n"/>
      <c r="G234" s="8" t="n"/>
    </row>
    <row r="235">
      <c r="B235" s="11" t="n"/>
      <c r="C235" s="8" t="n"/>
      <c r="D235" s="8" t="n"/>
      <c r="E235" s="8" t="n"/>
      <c r="F235" s="20" t="n"/>
      <c r="G235" s="8" t="n"/>
    </row>
    <row r="236">
      <c r="B236" s="11" t="n"/>
      <c r="C236" s="8" t="n"/>
      <c r="D236" s="8" t="n"/>
      <c r="E236" s="8" t="n"/>
      <c r="F236" s="20" t="n"/>
      <c r="G236" s="8" t="n"/>
    </row>
    <row r="237">
      <c r="B237" s="11" t="n"/>
      <c r="C237" s="8" t="n"/>
      <c r="D237" s="8" t="n"/>
      <c r="E237" s="8" t="n"/>
      <c r="F237" s="20" t="n"/>
      <c r="G237" s="8" t="n"/>
    </row>
    <row r="238">
      <c r="B238" s="11" t="n"/>
      <c r="C238" s="8" t="n"/>
      <c r="D238" s="8" t="n"/>
      <c r="E238" s="8" t="n"/>
      <c r="F238" s="20" t="n"/>
      <c r="G238" s="8" t="n"/>
    </row>
    <row r="239">
      <c r="B239" s="11" t="n"/>
      <c r="C239" s="8" t="n"/>
      <c r="D239" s="8" t="n"/>
      <c r="E239" s="8" t="n"/>
      <c r="F239" s="20" t="n"/>
      <c r="G239" s="8" t="n"/>
    </row>
    <row r="240">
      <c r="B240" s="11" t="n"/>
      <c r="C240" s="8" t="n"/>
      <c r="D240" s="8" t="n"/>
      <c r="E240" s="8" t="n"/>
      <c r="F240" s="20" t="n"/>
      <c r="G240" s="8" t="n"/>
    </row>
    <row r="241">
      <c r="B241" s="11" t="n"/>
      <c r="C241" s="8" t="n"/>
      <c r="D241" s="8" t="n"/>
      <c r="E241" s="8" t="n"/>
      <c r="F241" s="20" t="n"/>
      <c r="G241" s="8" t="n"/>
    </row>
    <row r="242">
      <c r="B242" s="11" t="n"/>
      <c r="C242" s="8" t="n"/>
      <c r="D242" s="8" t="n"/>
      <c r="E242" s="8" t="n"/>
      <c r="F242" s="20" t="n"/>
      <c r="G242" s="8" t="n"/>
    </row>
    <row r="243">
      <c r="B243" s="11" t="n"/>
      <c r="C243" s="8" t="n"/>
      <c r="D243" s="8" t="n"/>
      <c r="E243" s="8" t="n"/>
      <c r="F243" s="20" t="n"/>
      <c r="G243" s="8" t="n"/>
    </row>
    <row r="244">
      <c r="B244" s="11" t="n"/>
      <c r="C244" s="8" t="n"/>
      <c r="D244" s="8" t="n"/>
      <c r="E244" s="8" t="n"/>
      <c r="F244" s="20" t="n"/>
      <c r="G244" s="8" t="n"/>
    </row>
    <row r="245">
      <c r="B245" s="11" t="n"/>
      <c r="C245" s="8" t="n"/>
      <c r="D245" s="8" t="n"/>
      <c r="E245" s="8" t="n"/>
      <c r="F245" s="20" t="n"/>
      <c r="G245" s="8" t="n"/>
    </row>
    <row r="246">
      <c r="B246" s="11" t="n"/>
      <c r="C246" s="8" t="n"/>
      <c r="D246" s="8" t="n"/>
      <c r="E246" s="8" t="n"/>
      <c r="F246" s="20" t="n"/>
      <c r="G246" s="8" t="n"/>
    </row>
    <row r="247">
      <c r="B247" s="11" t="n"/>
      <c r="C247" s="8" t="n"/>
      <c r="D247" s="8" t="n"/>
      <c r="E247" s="8" t="n"/>
      <c r="F247" s="20" t="n"/>
      <c r="G247" s="8" t="n"/>
    </row>
    <row r="248">
      <c r="B248" s="11" t="n"/>
      <c r="C248" s="8" t="n"/>
      <c r="D248" s="8" t="n"/>
      <c r="E248" s="8" t="n"/>
      <c r="F248" s="20" t="n"/>
      <c r="G248" s="8" t="n"/>
    </row>
    <row r="249">
      <c r="B249" s="11" t="n"/>
      <c r="C249" s="8" t="n"/>
      <c r="D249" s="8" t="n"/>
      <c r="E249" s="8" t="n"/>
      <c r="F249" s="20" t="n"/>
      <c r="G249" s="8" t="n"/>
    </row>
    <row r="250">
      <c r="B250" s="11" t="n"/>
      <c r="C250" s="8" t="n"/>
      <c r="D250" s="8" t="n"/>
      <c r="E250" s="8" t="n"/>
      <c r="F250" s="20" t="n"/>
      <c r="G250" s="8" t="n"/>
    </row>
    <row r="251">
      <c r="B251" s="11" t="n"/>
      <c r="C251" s="8" t="n"/>
      <c r="D251" s="8" t="n"/>
      <c r="E251" s="8" t="n"/>
      <c r="F251" s="20" t="n"/>
      <c r="G251" s="8" t="n"/>
    </row>
    <row r="252">
      <c r="B252" s="11" t="n"/>
      <c r="C252" s="8" t="n"/>
      <c r="D252" s="8" t="n"/>
      <c r="E252" s="8" t="n"/>
      <c r="F252" s="20" t="n"/>
      <c r="G252" s="8" t="n"/>
    </row>
    <row r="253">
      <c r="B253" s="11" t="n"/>
      <c r="C253" s="8" t="n"/>
      <c r="D253" s="8" t="n"/>
      <c r="E253" s="8" t="n"/>
      <c r="F253" s="20" t="n"/>
      <c r="G253" s="8" t="n"/>
    </row>
    <row r="254">
      <c r="B254" s="11" t="n"/>
      <c r="C254" s="8" t="n"/>
      <c r="D254" s="8" t="n"/>
      <c r="E254" s="8" t="n"/>
      <c r="F254" s="20" t="n"/>
      <c r="G254" s="8" t="n"/>
    </row>
    <row r="255">
      <c r="B255" s="11" t="n"/>
      <c r="C255" s="8" t="n"/>
      <c r="D255" s="8" t="n"/>
      <c r="E255" s="8" t="n"/>
      <c r="F255" s="20" t="n"/>
      <c r="G255" s="8" t="n"/>
    </row>
    <row r="256">
      <c r="B256" s="11" t="n"/>
      <c r="C256" s="8" t="n"/>
      <c r="D256" s="8" t="n"/>
      <c r="E256" s="8" t="n"/>
      <c r="F256" s="20" t="n"/>
      <c r="G256" s="8" t="n"/>
    </row>
    <row r="257">
      <c r="B257" s="11" t="n"/>
      <c r="C257" s="8" t="n"/>
      <c r="D257" s="8" t="n"/>
      <c r="E257" s="8" t="n"/>
      <c r="F257" s="20" t="n"/>
      <c r="G257" s="8" t="n"/>
    </row>
    <row r="258">
      <c r="B258" s="11" t="n"/>
      <c r="C258" s="8" t="n"/>
      <c r="D258" s="8" t="n"/>
      <c r="E258" s="8" t="n"/>
      <c r="F258" s="20" t="n"/>
      <c r="G258" s="8" t="n"/>
    </row>
    <row r="259">
      <c r="B259" s="11" t="n"/>
      <c r="C259" s="8" t="n"/>
      <c r="D259" s="8" t="n"/>
      <c r="E259" s="8" t="n"/>
      <c r="F259" s="20" t="n"/>
      <c r="G259" s="8" t="n"/>
    </row>
    <row r="260">
      <c r="B260" s="11" t="n"/>
      <c r="C260" s="8" t="n"/>
      <c r="D260" s="8" t="n"/>
      <c r="E260" s="8" t="n"/>
      <c r="F260" s="20" t="n"/>
      <c r="G260" s="8" t="n"/>
    </row>
    <row r="261">
      <c r="B261" s="11" t="n"/>
      <c r="C261" s="8" t="n"/>
      <c r="D261" s="8" t="n"/>
      <c r="E261" s="8" t="n"/>
      <c r="F261" s="20" t="n"/>
      <c r="G261" s="8" t="n"/>
    </row>
    <row r="262">
      <c r="B262" s="11" t="n"/>
      <c r="C262" s="8" t="n"/>
      <c r="D262" s="8" t="n"/>
      <c r="E262" s="8" t="n"/>
      <c r="F262" s="20" t="n"/>
      <c r="G262" s="8" t="n"/>
    </row>
    <row r="263">
      <c r="B263" s="11" t="n"/>
      <c r="C263" s="8" t="n"/>
      <c r="D263" s="8" t="n"/>
      <c r="E263" s="8" t="n"/>
      <c r="F263" s="20" t="n"/>
      <c r="G263" s="8" t="n"/>
    </row>
    <row r="264">
      <c r="B264" s="11" t="n"/>
      <c r="C264" s="8" t="n"/>
      <c r="D264" s="8" t="n"/>
      <c r="E264" s="8" t="n"/>
      <c r="F264" s="20" t="n"/>
      <c r="G264" s="8" t="n"/>
    </row>
    <row r="265">
      <c r="B265" s="11" t="n"/>
      <c r="C265" s="8" t="n"/>
      <c r="D265" s="8" t="n"/>
      <c r="E265" s="8" t="n"/>
      <c r="F265" s="20" t="n"/>
      <c r="G265" s="8" t="n"/>
    </row>
    <row r="266">
      <c r="B266" s="11" t="n"/>
      <c r="C266" s="8" t="n"/>
      <c r="D266" s="8" t="n"/>
      <c r="E266" s="8" t="n"/>
      <c r="F266" s="20" t="n"/>
      <c r="G266" s="8" t="n"/>
    </row>
    <row r="267">
      <c r="B267" s="11" t="n"/>
      <c r="C267" s="8" t="n"/>
      <c r="D267" s="8" t="n"/>
      <c r="E267" s="8" t="n"/>
      <c r="F267" s="20" t="n"/>
      <c r="G267" s="8" t="n"/>
    </row>
    <row r="268">
      <c r="B268" s="11" t="n"/>
      <c r="C268" s="8" t="n"/>
      <c r="D268" s="8" t="n"/>
      <c r="E268" s="8" t="n"/>
      <c r="F268" s="20" t="n"/>
      <c r="G268" s="8" t="n"/>
    </row>
    <row r="269">
      <c r="B269" s="11" t="n"/>
      <c r="C269" s="8" t="n"/>
      <c r="D269" s="8" t="n"/>
      <c r="E269" s="8" t="n"/>
      <c r="F269" s="20" t="n"/>
      <c r="G269" s="8" t="n"/>
    </row>
    <row r="270">
      <c r="B270" s="11" t="n"/>
      <c r="C270" s="8" t="n"/>
      <c r="D270" s="8" t="n"/>
      <c r="E270" s="8" t="n"/>
      <c r="F270" s="20" t="n"/>
      <c r="G270" s="8" t="n"/>
    </row>
    <row r="271">
      <c r="B271" s="11" t="n"/>
      <c r="C271" s="8" t="n"/>
      <c r="D271" s="8" t="n"/>
      <c r="E271" s="8" t="n"/>
      <c r="F271" s="20" t="n"/>
      <c r="G271" s="8" t="n"/>
    </row>
    <row r="272">
      <c r="B272" s="11" t="n"/>
      <c r="C272" s="8" t="n"/>
      <c r="D272" s="8" t="n"/>
      <c r="E272" s="8" t="n"/>
      <c r="F272" s="20" t="n"/>
      <c r="G272" s="8" t="n"/>
    </row>
    <row r="273">
      <c r="B273" s="11" t="n"/>
      <c r="C273" s="8" t="n"/>
      <c r="D273" s="8" t="n"/>
      <c r="E273" s="8" t="n"/>
      <c r="F273" s="20" t="n"/>
      <c r="G273" s="8" t="n"/>
    </row>
    <row r="274">
      <c r="B274" s="11" t="n"/>
      <c r="C274" s="8" t="n"/>
      <c r="D274" s="8" t="n"/>
      <c r="E274" s="8" t="n"/>
      <c r="F274" s="20" t="n"/>
      <c r="G274" s="8" t="n"/>
    </row>
    <row r="275">
      <c r="B275" s="11" t="n"/>
      <c r="C275" s="8" t="n"/>
      <c r="D275" s="8" t="n"/>
      <c r="E275" s="8" t="n"/>
      <c r="F275" s="20" t="n"/>
      <c r="G275" s="8" t="n"/>
    </row>
    <row r="276">
      <c r="B276" s="11" t="n"/>
      <c r="C276" s="8" t="n"/>
      <c r="D276" s="8" t="n"/>
      <c r="E276" s="8" t="n"/>
      <c r="F276" s="20" t="n"/>
      <c r="G276" s="8" t="n"/>
    </row>
    <row r="277">
      <c r="B277" s="11" t="n"/>
      <c r="C277" s="8" t="n"/>
      <c r="D277" s="8" t="n"/>
      <c r="E277" s="8" t="n"/>
      <c r="F277" s="20" t="n"/>
      <c r="G277" s="8" t="n"/>
    </row>
    <row r="278">
      <c r="B278" s="11" t="n"/>
      <c r="C278" s="8" t="n"/>
      <c r="D278" s="8" t="n"/>
      <c r="E278" s="8" t="n"/>
      <c r="F278" s="20" t="n"/>
      <c r="G278" s="8" t="n"/>
    </row>
    <row r="279">
      <c r="B279" s="11" t="n"/>
      <c r="C279" s="8" t="n"/>
      <c r="D279" s="8" t="n"/>
      <c r="E279" s="8" t="n"/>
      <c r="F279" s="20" t="n"/>
      <c r="G279" s="8" t="n"/>
    </row>
    <row r="280">
      <c r="B280" s="11" t="n"/>
      <c r="C280" s="8" t="n"/>
      <c r="D280" s="8" t="n"/>
      <c r="E280" s="8" t="n"/>
      <c r="F280" s="20" t="n"/>
      <c r="G280" s="8" t="n"/>
    </row>
    <row r="281">
      <c r="B281" s="11" t="n"/>
      <c r="C281" s="8" t="n"/>
      <c r="D281" s="8" t="n"/>
      <c r="E281" s="8" t="n"/>
      <c r="F281" s="20" t="n"/>
      <c r="G281" s="8" t="n"/>
    </row>
    <row r="282">
      <c r="B282" s="11" t="n"/>
      <c r="C282" s="8" t="n"/>
      <c r="D282" s="8" t="n"/>
      <c r="E282" s="8" t="n"/>
      <c r="F282" s="20" t="n"/>
      <c r="G282" s="8" t="n"/>
    </row>
    <row r="283">
      <c r="B283" s="11" t="n"/>
      <c r="C283" s="8" t="n"/>
      <c r="D283" s="8" t="n"/>
      <c r="E283" s="8" t="n"/>
      <c r="F283" s="20" t="n"/>
      <c r="G283" s="8" t="n"/>
    </row>
    <row r="284">
      <c r="B284" s="11" t="n"/>
      <c r="C284" s="8" t="n"/>
      <c r="D284" s="8" t="n"/>
      <c r="E284" s="8" t="n"/>
      <c r="F284" s="20" t="n"/>
      <c r="G284" s="8" t="n"/>
    </row>
    <row r="285">
      <c r="B285" s="11" t="n"/>
      <c r="C285" s="8" t="n"/>
      <c r="D285" s="8" t="n"/>
      <c r="E285" s="8" t="n"/>
      <c r="F285" s="20" t="n"/>
      <c r="G285" s="8" t="n"/>
    </row>
    <row r="286">
      <c r="B286" s="11" t="n"/>
      <c r="C286" s="8" t="n"/>
      <c r="D286" s="8" t="n"/>
      <c r="E286" s="8" t="n"/>
      <c r="F286" s="20" t="n"/>
      <c r="G286" s="8" t="n"/>
    </row>
    <row r="287">
      <c r="B287" s="11" t="n"/>
      <c r="C287" s="8" t="n"/>
      <c r="D287" s="8" t="n"/>
      <c r="E287" s="8" t="n"/>
      <c r="F287" s="20" t="n"/>
      <c r="G287" s="8" t="n"/>
    </row>
    <row r="288">
      <c r="B288" s="11" t="n"/>
      <c r="C288" s="8" t="n"/>
      <c r="D288" s="8" t="n"/>
      <c r="E288" s="8" t="n"/>
      <c r="F288" s="20" t="n"/>
      <c r="G288" s="8" t="n"/>
    </row>
    <row r="289">
      <c r="B289" s="11" t="n"/>
      <c r="C289" s="8" t="n"/>
      <c r="D289" s="8" t="n"/>
      <c r="E289" s="8" t="n"/>
      <c r="F289" s="20" t="n"/>
      <c r="G289" s="8" t="n"/>
    </row>
    <row r="290">
      <c r="B290" s="11" t="n"/>
      <c r="C290" s="8" t="n"/>
      <c r="D290" s="8" t="n"/>
      <c r="E290" s="8" t="n"/>
      <c r="F290" s="20" t="n"/>
      <c r="G290" s="8" t="n"/>
    </row>
    <row r="291">
      <c r="B291" s="11" t="n"/>
      <c r="C291" s="8" t="n"/>
      <c r="D291" s="8" t="n"/>
      <c r="E291" s="8" t="n"/>
      <c r="F291" s="20" t="n"/>
      <c r="G291" s="8" t="n"/>
    </row>
    <row r="292">
      <c r="B292" s="11" t="n"/>
      <c r="C292" s="8" t="n"/>
      <c r="D292" s="8" t="n"/>
      <c r="E292" s="8" t="n"/>
      <c r="F292" s="20" t="n"/>
      <c r="G292" s="8" t="n"/>
    </row>
    <row r="293">
      <c r="B293" s="11" t="n"/>
      <c r="C293" s="8" t="n"/>
      <c r="D293" s="8" t="n"/>
      <c r="E293" s="8" t="n"/>
      <c r="F293" s="20" t="n"/>
      <c r="G293" s="8" t="n"/>
    </row>
    <row r="294">
      <c r="B294" s="11" t="n"/>
      <c r="C294" s="8" t="n"/>
      <c r="D294" s="8" t="n"/>
      <c r="E294" s="8" t="n"/>
      <c r="F294" s="20" t="n"/>
      <c r="G294" s="8" t="n"/>
    </row>
    <row r="295">
      <c r="B295" s="11" t="n"/>
      <c r="C295" s="8" t="n"/>
      <c r="D295" s="8" t="n"/>
      <c r="E295" s="8" t="n"/>
      <c r="F295" s="20" t="n"/>
      <c r="G295" s="8" t="n"/>
    </row>
    <row r="296">
      <c r="B296" s="11" t="n"/>
      <c r="C296" s="8" t="n"/>
      <c r="D296" s="8" t="n"/>
      <c r="E296" s="8" t="n"/>
      <c r="F296" s="20" t="n"/>
      <c r="G296" s="8" t="n"/>
    </row>
    <row r="297">
      <c r="B297" s="11" t="n"/>
      <c r="C297" s="8" t="n"/>
      <c r="D297" s="8" t="n"/>
      <c r="E297" s="8" t="n"/>
      <c r="F297" s="20" t="n"/>
      <c r="G297" s="8" t="n"/>
    </row>
    <row r="298">
      <c r="B298" s="11" t="n"/>
      <c r="C298" s="8" t="n"/>
      <c r="D298" s="8" t="n"/>
      <c r="E298" s="8" t="n"/>
      <c r="F298" s="20" t="n"/>
      <c r="G298" s="8" t="n"/>
    </row>
    <row r="299">
      <c r="B299" s="11" t="n"/>
      <c r="C299" s="8" t="n"/>
      <c r="D299" s="8" t="n"/>
      <c r="E299" s="8" t="n"/>
      <c r="F299" s="20" t="n"/>
      <c r="G299" s="8" t="n"/>
    </row>
    <row r="300">
      <c r="B300" s="11" t="n"/>
      <c r="C300" s="8" t="n"/>
      <c r="D300" s="8" t="n"/>
      <c r="E300" s="8" t="n"/>
      <c r="F300" s="20" t="n"/>
      <c r="G300" s="8" t="n"/>
    </row>
    <row r="301">
      <c r="B301" s="11" t="n"/>
      <c r="C301" s="8" t="n"/>
      <c r="D301" s="8" t="n"/>
      <c r="E301" s="8" t="n"/>
      <c r="F301" s="20" t="n"/>
      <c r="G301" s="8" t="n"/>
    </row>
    <row r="302">
      <c r="B302" s="11" t="n"/>
      <c r="C302" s="8" t="n"/>
      <c r="D302" s="8" t="n"/>
      <c r="E302" s="8" t="n"/>
      <c r="F302" s="20" t="n"/>
      <c r="G302" s="8" t="n"/>
    </row>
    <row r="303">
      <c r="B303" s="11" t="n"/>
      <c r="C303" s="8" t="n"/>
      <c r="D303" s="8" t="n"/>
      <c r="E303" s="8" t="n"/>
      <c r="F303" s="20" t="n"/>
      <c r="G303" s="8" t="n"/>
    </row>
    <row r="304">
      <c r="B304" s="11" t="n"/>
      <c r="C304" s="8" t="n"/>
      <c r="D304" s="8" t="n"/>
      <c r="E304" s="8" t="n"/>
      <c r="F304" s="20" t="n"/>
      <c r="G304" s="8" t="n"/>
    </row>
    <row r="305">
      <c r="B305" s="11" t="n"/>
      <c r="C305" s="8" t="n"/>
      <c r="D305" s="8" t="n"/>
      <c r="E305" s="8" t="n"/>
      <c r="F305" s="20" t="n"/>
      <c r="G305" s="8" t="n"/>
    </row>
    <row r="306">
      <c r="B306" s="11" t="n"/>
      <c r="C306" s="8" t="n"/>
      <c r="D306" s="8" t="n"/>
      <c r="E306" s="8" t="n"/>
      <c r="F306" s="20" t="n"/>
      <c r="G306" s="8" t="n"/>
    </row>
    <row r="307">
      <c r="B307" s="11" t="n"/>
      <c r="C307" s="8" t="n"/>
      <c r="D307" s="8" t="n"/>
      <c r="E307" s="8" t="n"/>
      <c r="F307" s="20" t="n"/>
      <c r="G307" s="8" t="n"/>
    </row>
    <row r="308">
      <c r="B308" s="11" t="n"/>
      <c r="C308" s="8" t="n"/>
      <c r="D308" s="8" t="n"/>
      <c r="E308" s="8" t="n"/>
      <c r="F308" s="20" t="n"/>
      <c r="G308" s="8" t="n"/>
    </row>
    <row r="309">
      <c r="B309" s="11" t="n"/>
      <c r="C309" s="8" t="n"/>
      <c r="D309" s="8" t="n"/>
      <c r="E309" s="8" t="n"/>
      <c r="F309" s="20" t="n"/>
      <c r="G309" s="8" t="n"/>
    </row>
    <row r="310">
      <c r="B310" s="11" t="n"/>
      <c r="C310" s="8" t="n"/>
      <c r="D310" s="8" t="n"/>
      <c r="E310" s="8" t="n"/>
      <c r="F310" s="20" t="n"/>
      <c r="G310" s="8" t="n"/>
    </row>
    <row r="311">
      <c r="B311" s="11" t="n"/>
      <c r="C311" s="8" t="n"/>
      <c r="D311" s="8" t="n"/>
      <c r="E311" s="8" t="n"/>
      <c r="F311" s="20" t="n"/>
      <c r="G311" s="8" t="n"/>
    </row>
    <row r="312">
      <c r="B312" s="11" t="n"/>
      <c r="C312" s="8" t="n"/>
      <c r="D312" s="8" t="n"/>
      <c r="E312" s="8" t="n"/>
      <c r="F312" s="20" t="n"/>
      <c r="G312" s="8" t="n"/>
    </row>
    <row r="313">
      <c r="B313" s="11" t="n"/>
      <c r="C313" s="8" t="n"/>
      <c r="D313" s="8" t="n"/>
      <c r="E313" s="8" t="n"/>
      <c r="F313" s="20" t="n"/>
      <c r="G313" s="8" t="n"/>
    </row>
    <row r="314">
      <c r="B314" s="11" t="n"/>
      <c r="C314" s="8" t="n"/>
      <c r="D314" s="8" t="n"/>
      <c r="E314" s="8" t="n"/>
      <c r="F314" s="20" t="n"/>
      <c r="G314" s="8" t="n"/>
    </row>
    <row r="315">
      <c r="B315" s="11" t="n"/>
      <c r="C315" s="8" t="n"/>
      <c r="D315" s="8" t="n"/>
      <c r="E315" s="8" t="n"/>
      <c r="F315" s="20" t="n"/>
      <c r="G315" s="8" t="n"/>
    </row>
    <row r="316">
      <c r="B316" s="11" t="n"/>
      <c r="C316" s="8" t="n"/>
      <c r="D316" s="8" t="n"/>
      <c r="E316" s="8" t="n"/>
      <c r="F316" s="20" t="n"/>
      <c r="G316" s="8" t="n"/>
    </row>
    <row r="317">
      <c r="B317" s="11" t="n"/>
      <c r="C317" s="8" t="n"/>
      <c r="D317" s="8" t="n"/>
      <c r="E317" s="8" t="n"/>
      <c r="F317" s="20" t="n"/>
      <c r="G317" s="8" t="n"/>
    </row>
    <row r="318">
      <c r="B318" s="11" t="n"/>
      <c r="C318" s="8" t="n"/>
      <c r="D318" s="8" t="n"/>
      <c r="E318" s="8" t="n"/>
      <c r="F318" s="20" t="n"/>
      <c r="G318" s="8" t="n"/>
    </row>
    <row r="319">
      <c r="B319" s="11" t="n"/>
      <c r="C319" s="8" t="n"/>
      <c r="D319" s="8" t="n"/>
      <c r="E319" s="8" t="n"/>
      <c r="F319" s="20" t="n"/>
      <c r="G319" s="8" t="n"/>
    </row>
    <row r="320">
      <c r="B320" s="11" t="n"/>
      <c r="C320" s="8" t="n"/>
      <c r="D320" s="8" t="n"/>
      <c r="E320" s="8" t="n"/>
      <c r="F320" s="20" t="n"/>
      <c r="G320" s="8" t="n"/>
    </row>
    <row r="321">
      <c r="B321" s="11" t="n"/>
      <c r="C321" s="8" t="n"/>
      <c r="D321" s="8" t="n"/>
      <c r="E321" s="8" t="n"/>
      <c r="F321" s="20" t="n"/>
      <c r="G321" s="8" t="n"/>
    </row>
    <row r="322">
      <c r="B322" s="11" t="n"/>
      <c r="C322" s="8" t="n"/>
      <c r="D322" s="8" t="n"/>
      <c r="E322" s="8" t="n"/>
      <c r="F322" s="20" t="n"/>
      <c r="G322" s="8" t="n"/>
    </row>
    <row r="323">
      <c r="B323" s="11" t="n"/>
      <c r="C323" s="8" t="n"/>
      <c r="D323" s="8" t="n"/>
      <c r="E323" s="8" t="n"/>
      <c r="F323" s="20" t="n"/>
      <c r="G323" s="8" t="n"/>
    </row>
    <row r="324">
      <c r="B324" s="11" t="n"/>
      <c r="C324" s="8" t="n"/>
      <c r="D324" s="8" t="n"/>
      <c r="E324" s="8" t="n"/>
      <c r="F324" s="20" t="n"/>
      <c r="G324" s="8" t="n"/>
    </row>
    <row r="325">
      <c r="B325" s="11" t="n"/>
      <c r="C325" s="8" t="n"/>
      <c r="D325" s="8" t="n"/>
      <c r="E325" s="8" t="n"/>
      <c r="F325" s="20" t="n"/>
      <c r="G325" s="8" t="n"/>
    </row>
    <row r="326">
      <c r="B326" s="11" t="n"/>
      <c r="C326" s="8" t="n"/>
      <c r="D326" s="8" t="n"/>
      <c r="E326" s="8" t="n"/>
      <c r="F326" s="20" t="n"/>
      <c r="G326" s="8" t="n"/>
    </row>
    <row r="327">
      <c r="B327" s="11" t="n"/>
      <c r="C327" s="8" t="n"/>
      <c r="D327" s="8" t="n"/>
      <c r="E327" s="8" t="n"/>
      <c r="F327" s="20" t="n"/>
      <c r="G327" s="8" t="n"/>
    </row>
    <row r="328">
      <c r="B328" s="11" t="n"/>
      <c r="C328" s="8" t="n"/>
      <c r="D328" s="8" t="n"/>
      <c r="E328" s="8" t="n"/>
      <c r="F328" s="20" t="n"/>
      <c r="G328" s="8" t="n"/>
    </row>
    <row r="329">
      <c r="B329" s="11" t="n"/>
      <c r="C329" s="8" t="n"/>
      <c r="D329" s="8" t="n"/>
      <c r="E329" s="8" t="n"/>
      <c r="F329" s="20" t="n"/>
      <c r="G329" s="8" t="n"/>
    </row>
    <row r="330">
      <c r="B330" s="11" t="n"/>
      <c r="C330" s="8" t="n"/>
      <c r="D330" s="8" t="n"/>
      <c r="E330" s="8" t="n"/>
      <c r="F330" s="20" t="n"/>
      <c r="G330" s="8" t="n"/>
    </row>
    <row r="331">
      <c r="B331" s="11" t="n"/>
      <c r="C331" s="8" t="n"/>
      <c r="D331" s="8" t="n"/>
      <c r="E331" s="8" t="n"/>
      <c r="F331" s="20" t="n"/>
      <c r="G331" s="8" t="n"/>
    </row>
    <row r="332">
      <c r="B332" s="11" t="n"/>
      <c r="C332" s="8" t="n"/>
      <c r="D332" s="8" t="n"/>
      <c r="E332" s="8" t="n"/>
      <c r="F332" s="20" t="n"/>
      <c r="G332" s="8" t="n"/>
    </row>
    <row r="333">
      <c r="B333" s="11" t="n"/>
      <c r="C333" s="8" t="n"/>
      <c r="D333" s="8" t="n"/>
      <c r="E333" s="8" t="n"/>
      <c r="F333" s="20" t="n"/>
      <c r="G333" s="8" t="n"/>
    </row>
    <row r="334">
      <c r="B334" s="11" t="n"/>
      <c r="C334" s="8" t="n"/>
      <c r="D334" s="8" t="n"/>
      <c r="E334" s="8" t="n"/>
      <c r="F334" s="20" t="n"/>
      <c r="G334" s="8" t="n"/>
    </row>
    <row r="335">
      <c r="B335" s="11" t="n"/>
      <c r="C335" s="8" t="n"/>
      <c r="D335" s="8" t="n"/>
      <c r="E335" s="8" t="n"/>
      <c r="F335" s="20" t="n"/>
      <c r="G335" s="8" t="n"/>
    </row>
    <row r="336">
      <c r="B336" s="11" t="n"/>
      <c r="C336" s="8" t="n"/>
      <c r="D336" s="8" t="n"/>
      <c r="E336" s="8" t="n"/>
      <c r="F336" s="20" t="n"/>
      <c r="G336" s="8" t="n"/>
    </row>
    <row r="337">
      <c r="B337" s="11" t="n"/>
      <c r="C337" s="8" t="n"/>
      <c r="D337" s="8" t="n"/>
      <c r="E337" s="8" t="n"/>
      <c r="F337" s="20" t="n"/>
      <c r="G337" s="8" t="n"/>
    </row>
    <row r="338">
      <c r="B338" s="11" t="n"/>
      <c r="C338" s="8" t="n"/>
      <c r="D338" s="8" t="n"/>
      <c r="E338" s="8" t="n"/>
      <c r="F338" s="20" t="n"/>
      <c r="G338" s="8" t="n"/>
    </row>
    <row r="339">
      <c r="B339" s="11" t="n"/>
      <c r="C339" s="8" t="n"/>
      <c r="D339" s="8" t="n"/>
      <c r="E339" s="8" t="n"/>
      <c r="F339" s="20" t="n"/>
      <c r="G339" s="8" t="n"/>
    </row>
    <row r="340">
      <c r="B340" s="11" t="n"/>
      <c r="C340" s="8" t="n"/>
      <c r="D340" s="8" t="n"/>
      <c r="E340" s="8" t="n"/>
      <c r="F340" s="20" t="n"/>
      <c r="G340" s="8" t="n"/>
    </row>
    <row r="341">
      <c r="B341" s="11" t="n"/>
      <c r="C341" s="8" t="n"/>
      <c r="D341" s="8" t="n"/>
      <c r="E341" s="8" t="n"/>
      <c r="F341" s="20" t="n"/>
      <c r="G341" s="8" t="n"/>
    </row>
    <row r="342">
      <c r="B342" s="11" t="n"/>
      <c r="C342" s="8" t="n"/>
      <c r="D342" s="8" t="n"/>
      <c r="E342" s="8" t="n"/>
      <c r="F342" s="20" t="n"/>
      <c r="G342" s="8" t="n"/>
    </row>
    <row r="343">
      <c r="B343" s="11" t="n"/>
      <c r="C343" s="8" t="n"/>
      <c r="D343" s="8" t="n"/>
      <c r="E343" s="8" t="n"/>
      <c r="F343" s="20" t="n"/>
      <c r="G343" s="8" t="n"/>
    </row>
    <row r="344">
      <c r="B344" s="11" t="n"/>
      <c r="C344" s="8" t="n"/>
      <c r="D344" s="8" t="n"/>
      <c r="E344" s="8" t="n"/>
      <c r="F344" s="20" t="n"/>
      <c r="G344" s="8" t="n"/>
    </row>
    <row r="345">
      <c r="B345" s="11" t="n"/>
      <c r="C345" s="8" t="n"/>
      <c r="D345" s="8" t="n"/>
      <c r="E345" s="8" t="n"/>
      <c r="F345" s="20" t="n"/>
      <c r="G345" s="8" t="n"/>
    </row>
    <row r="346">
      <c r="B346" s="11" t="n"/>
      <c r="C346" s="8" t="n"/>
      <c r="D346" s="8" t="n"/>
      <c r="E346" s="8" t="n"/>
      <c r="F346" s="20" t="n"/>
      <c r="G346" s="8" t="n"/>
    </row>
    <row r="347">
      <c r="B347" s="11" t="n"/>
      <c r="C347" s="8" t="n"/>
      <c r="D347" s="8" t="n"/>
      <c r="E347" s="8" t="n"/>
      <c r="F347" s="20" t="n"/>
      <c r="G347" s="8" t="n"/>
    </row>
    <row r="348">
      <c r="B348" s="11" t="n"/>
      <c r="C348" s="8" t="n"/>
      <c r="D348" s="8" t="n"/>
      <c r="E348" s="8" t="n"/>
      <c r="F348" s="20" t="n"/>
      <c r="G348" s="8" t="n"/>
    </row>
    <row r="349">
      <c r="B349" s="11" t="n"/>
      <c r="C349" s="8" t="n"/>
      <c r="D349" s="8" t="n"/>
      <c r="E349" s="8" t="n"/>
      <c r="F349" s="20" t="n"/>
      <c r="G349" s="8" t="n"/>
    </row>
    <row r="350">
      <c r="B350" s="11" t="n"/>
      <c r="C350" s="8" t="n"/>
      <c r="D350" s="8" t="n"/>
      <c r="E350" s="8" t="n"/>
      <c r="F350" s="20" t="n"/>
      <c r="G350" s="8" t="n"/>
    </row>
    <row r="351">
      <c r="B351" s="11" t="n"/>
      <c r="C351" s="8" t="n"/>
      <c r="D351" s="8" t="n"/>
      <c r="E351" s="8" t="n"/>
      <c r="F351" s="20" t="n"/>
      <c r="G351" s="8" t="n"/>
    </row>
    <row r="352">
      <c r="B352" s="11" t="n"/>
      <c r="C352" s="8" t="n"/>
      <c r="D352" s="8" t="n"/>
      <c r="E352" s="8" t="n"/>
      <c r="F352" s="20" t="n"/>
      <c r="G352" s="8" t="n"/>
    </row>
    <row r="353">
      <c r="B353" s="11" t="n"/>
      <c r="C353" s="8" t="n"/>
      <c r="D353" s="8" t="n"/>
      <c r="E353" s="8" t="n"/>
      <c r="F353" s="20" t="n"/>
      <c r="G353" s="8" t="n"/>
    </row>
    <row r="354">
      <c r="B354" s="11" t="n"/>
      <c r="C354" s="8" t="n"/>
      <c r="D354" s="8" t="n"/>
      <c r="E354" s="8" t="n"/>
      <c r="F354" s="20" t="n"/>
      <c r="G354" s="8" t="n"/>
    </row>
    <row r="355">
      <c r="B355" s="11" t="n"/>
      <c r="C355" s="8" t="n"/>
      <c r="D355" s="8" t="n"/>
      <c r="E355" s="8" t="n"/>
      <c r="F355" s="20" t="n"/>
      <c r="G355" s="8" t="n"/>
    </row>
    <row r="356">
      <c r="B356" s="11" t="n"/>
      <c r="C356" s="8" t="n"/>
      <c r="D356" s="8" t="n"/>
      <c r="E356" s="8" t="n"/>
      <c r="F356" s="20" t="n"/>
      <c r="G356" s="8" t="n"/>
    </row>
    <row r="357">
      <c r="B357" s="11" t="n"/>
      <c r="C357" s="8" t="n"/>
      <c r="D357" s="8" t="n"/>
      <c r="E357" s="8" t="n"/>
      <c r="F357" s="20" t="n"/>
      <c r="G357" s="8" t="n"/>
    </row>
    <row r="358">
      <c r="B358" s="11" t="n"/>
      <c r="C358" s="8" t="n"/>
      <c r="D358" s="8" t="n"/>
      <c r="E358" s="8" t="n"/>
      <c r="F358" s="20" t="n"/>
      <c r="G358" s="8" t="n"/>
    </row>
    <row r="359">
      <c r="B359" s="11" t="n"/>
      <c r="C359" s="8" t="n"/>
      <c r="D359" s="8" t="n"/>
      <c r="E359" s="8" t="n"/>
      <c r="F359" s="20" t="n"/>
      <c r="G359" s="8" t="n"/>
    </row>
    <row r="360">
      <c r="B360" s="11" t="n"/>
      <c r="C360" s="8" t="n"/>
      <c r="D360" s="8" t="n"/>
      <c r="E360" s="8" t="n"/>
      <c r="F360" s="20" t="n"/>
      <c r="G360" s="8" t="n"/>
    </row>
    <row r="361">
      <c r="B361" s="11" t="n"/>
      <c r="C361" s="8" t="n"/>
      <c r="D361" s="8" t="n"/>
      <c r="E361" s="8" t="n"/>
      <c r="F361" s="20" t="n"/>
      <c r="G361" s="8" t="n"/>
    </row>
    <row r="362">
      <c r="B362" s="11" t="n"/>
      <c r="C362" s="8" t="n"/>
      <c r="D362" s="8" t="n"/>
      <c r="E362" s="8" t="n"/>
      <c r="F362" s="20" t="n"/>
      <c r="G362" s="8" t="n"/>
    </row>
    <row r="363">
      <c r="B363" s="11" t="n"/>
      <c r="C363" s="8" t="n"/>
      <c r="D363" s="8" t="n"/>
      <c r="E363" s="8" t="n"/>
      <c r="F363" s="20" t="n"/>
      <c r="G363" s="8" t="n"/>
    </row>
    <row r="364">
      <c r="B364" s="11" t="n"/>
      <c r="C364" s="8" t="n"/>
      <c r="D364" s="8" t="n"/>
      <c r="E364" s="8" t="n"/>
      <c r="F364" s="20" t="n"/>
      <c r="G364" s="8" t="n"/>
    </row>
    <row r="365">
      <c r="B365" s="11" t="n"/>
      <c r="C365" s="8" t="n"/>
      <c r="D365" s="8" t="n"/>
      <c r="E365" s="8" t="n"/>
      <c r="F365" s="20" t="n"/>
      <c r="G365" s="8" t="n"/>
    </row>
    <row r="366">
      <c r="B366" s="11" t="n"/>
      <c r="C366" s="8" t="n"/>
      <c r="D366" s="8" t="n"/>
      <c r="E366" s="8" t="n"/>
      <c r="F366" s="20" t="n"/>
      <c r="G366" s="8" t="n"/>
    </row>
    <row r="367">
      <c r="B367" s="11" t="n"/>
      <c r="C367" s="8" t="n"/>
      <c r="D367" s="8" t="n"/>
      <c r="E367" s="8" t="n"/>
      <c r="F367" s="20" t="n"/>
      <c r="G367" s="8" t="n"/>
    </row>
    <row r="368">
      <c r="B368" s="11" t="n"/>
      <c r="C368" s="8" t="n"/>
      <c r="D368" s="8" t="n"/>
      <c r="E368" s="8" t="n"/>
      <c r="F368" s="20" t="n"/>
      <c r="G368" s="8" t="n"/>
    </row>
    <row r="369">
      <c r="B369" s="11" t="n"/>
      <c r="C369" s="8" t="n"/>
      <c r="D369" s="8" t="n"/>
      <c r="E369" s="8" t="n"/>
      <c r="F369" s="20" t="n"/>
      <c r="G369" s="8" t="n"/>
    </row>
    <row r="370">
      <c r="B370" s="11" t="n"/>
      <c r="C370" s="8" t="n"/>
      <c r="D370" s="8" t="n"/>
      <c r="E370" s="8" t="n"/>
      <c r="F370" s="20" t="n"/>
      <c r="G370" s="8" t="n"/>
    </row>
    <row r="371">
      <c r="B371" s="11" t="n"/>
      <c r="C371" s="8" t="n"/>
      <c r="D371" s="8" t="n"/>
      <c r="E371" s="8" t="n"/>
      <c r="F371" s="20" t="n"/>
      <c r="G371" s="8" t="n"/>
    </row>
    <row r="372">
      <c r="B372" s="11" t="n"/>
      <c r="C372" s="8" t="n"/>
      <c r="D372" s="8" t="n"/>
      <c r="E372" s="8" t="n"/>
      <c r="F372" s="20" t="n"/>
      <c r="G372" s="8" t="n"/>
    </row>
    <row r="373">
      <c r="B373" s="11" t="n"/>
      <c r="C373" s="8" t="n"/>
      <c r="D373" s="8" t="n"/>
      <c r="E373" s="8" t="n"/>
      <c r="F373" s="20" t="n"/>
      <c r="G373" s="8" t="n"/>
    </row>
    <row r="374">
      <c r="B374" s="11" t="n"/>
      <c r="C374" s="8" t="n"/>
      <c r="D374" s="8" t="n"/>
      <c r="E374" s="8" t="n"/>
      <c r="F374" s="20" t="n"/>
      <c r="G374" s="8" t="n"/>
    </row>
    <row r="375">
      <c r="B375" s="11" t="n"/>
      <c r="C375" s="8" t="n"/>
      <c r="D375" s="8" t="n"/>
      <c r="E375" s="8" t="n"/>
      <c r="F375" s="20" t="n"/>
      <c r="G375" s="8" t="n"/>
    </row>
    <row r="376">
      <c r="B376" s="11" t="n"/>
      <c r="C376" s="8" t="n"/>
      <c r="D376" s="8" t="n"/>
      <c r="E376" s="8" t="n"/>
      <c r="F376" s="20" t="n"/>
      <c r="G376" s="8" t="n"/>
    </row>
    <row r="377">
      <c r="B377" s="11" t="n"/>
      <c r="C377" s="8" t="n"/>
      <c r="D377" s="8" t="n"/>
      <c r="E377" s="8" t="n"/>
      <c r="F377" s="20" t="n"/>
      <c r="G377" s="8" t="n"/>
    </row>
    <row r="378">
      <c r="B378" s="11" t="n"/>
      <c r="C378" s="8" t="n"/>
      <c r="D378" s="8" t="n"/>
      <c r="E378" s="8" t="n"/>
      <c r="F378" s="20" t="n"/>
      <c r="G378" s="8" t="n"/>
    </row>
    <row r="379">
      <c r="B379" s="11" t="n"/>
      <c r="C379" s="8" t="n"/>
      <c r="D379" s="8" t="n"/>
      <c r="E379" s="8" t="n"/>
      <c r="F379" s="20" t="n"/>
      <c r="G379" s="8" t="n"/>
    </row>
    <row r="380">
      <c r="B380" s="11" t="n"/>
      <c r="C380" s="8" t="n"/>
      <c r="D380" s="8" t="n"/>
      <c r="E380" s="8" t="n"/>
      <c r="F380" s="20" t="n"/>
      <c r="G380" s="8" t="n"/>
    </row>
    <row r="381">
      <c r="B381" s="11" t="n"/>
      <c r="C381" s="8" t="n"/>
      <c r="D381" s="8" t="n"/>
      <c r="E381" s="8" t="n"/>
      <c r="F381" s="20" t="n"/>
      <c r="G381" s="8" t="n"/>
    </row>
    <row r="382">
      <c r="B382" s="11" t="n"/>
      <c r="C382" s="8" t="n"/>
      <c r="D382" s="8" t="n"/>
      <c r="E382" s="8" t="n"/>
      <c r="F382" s="20" t="n"/>
      <c r="G382" s="8" t="n"/>
    </row>
    <row r="383">
      <c r="B383" s="11" t="n"/>
      <c r="C383" s="8" t="n"/>
      <c r="D383" s="8" t="n"/>
      <c r="E383" s="8" t="n"/>
      <c r="F383" s="20" t="n"/>
      <c r="G383" s="8" t="n"/>
    </row>
    <row r="384">
      <c r="B384" s="11" t="n"/>
      <c r="C384" s="8" t="n"/>
      <c r="D384" s="8" t="n"/>
      <c r="E384" s="8" t="n"/>
      <c r="F384" s="20" t="n"/>
      <c r="G384" s="8" t="n"/>
    </row>
    <row r="385">
      <c r="B385" s="11" t="n"/>
      <c r="C385" s="8" t="n"/>
      <c r="D385" s="8" t="n"/>
      <c r="E385" s="8" t="n"/>
      <c r="F385" s="20" t="n"/>
      <c r="G385" s="8" t="n"/>
    </row>
    <row r="386">
      <c r="B386" s="11" t="n"/>
      <c r="C386" s="8" t="n"/>
      <c r="D386" s="8" t="n"/>
      <c r="E386" s="8" t="n"/>
      <c r="F386" s="20" t="n"/>
      <c r="G386" s="8" t="n"/>
    </row>
    <row r="387">
      <c r="B387" s="11" t="n"/>
      <c r="C387" s="8" t="n"/>
      <c r="D387" s="8" t="n"/>
      <c r="E387" s="8" t="n"/>
      <c r="F387" s="20" t="n"/>
      <c r="G387" s="8" t="n"/>
    </row>
    <row r="388">
      <c r="B388" s="11" t="n"/>
      <c r="C388" s="8" t="n"/>
      <c r="D388" s="8" t="n"/>
      <c r="E388" s="8" t="n"/>
      <c r="F388" s="20" t="n"/>
      <c r="G388" s="8" t="n"/>
    </row>
    <row r="389">
      <c r="B389" s="11" t="n"/>
      <c r="C389" s="8" t="n"/>
      <c r="D389" s="8" t="n"/>
      <c r="E389" s="8" t="n"/>
      <c r="F389" s="20" t="n"/>
      <c r="G389" s="8" t="n"/>
    </row>
    <row r="390">
      <c r="B390" s="11" t="n"/>
      <c r="C390" s="8" t="n"/>
      <c r="D390" s="8" t="n"/>
      <c r="E390" s="8" t="n"/>
      <c r="F390" s="20" t="n"/>
      <c r="G390" s="8" t="n"/>
    </row>
    <row r="391">
      <c r="B391" s="11" t="n"/>
      <c r="C391" s="8" t="n"/>
      <c r="D391" s="8" t="n"/>
      <c r="E391" s="8" t="n"/>
      <c r="F391" s="20" t="n"/>
      <c r="G391" s="8" t="n"/>
    </row>
    <row r="392">
      <c r="B392" s="11" t="n"/>
      <c r="C392" s="8" t="n"/>
      <c r="D392" s="8" t="n"/>
      <c r="E392" s="8" t="n"/>
      <c r="F392" s="20" t="n"/>
      <c r="G392" s="8" t="n"/>
    </row>
    <row r="393">
      <c r="B393" s="11" t="n"/>
      <c r="C393" s="8" t="n"/>
      <c r="D393" s="8" t="n"/>
      <c r="E393" s="8" t="n"/>
      <c r="F393" s="20" t="n"/>
      <c r="G393" s="8" t="n"/>
    </row>
    <row r="394">
      <c r="B394" s="11" t="n"/>
      <c r="C394" s="8" t="n"/>
      <c r="D394" s="8" t="n"/>
      <c r="E394" s="8" t="n"/>
      <c r="F394" s="20" t="n"/>
      <c r="G394" s="8" t="n"/>
    </row>
    <row r="395">
      <c r="B395" s="11" t="n"/>
      <c r="C395" s="8" t="n"/>
      <c r="D395" s="8" t="n"/>
      <c r="E395" s="8" t="n"/>
      <c r="F395" s="20" t="n"/>
      <c r="G395" s="8" t="n"/>
    </row>
    <row r="396">
      <c r="B396" s="11" t="n"/>
      <c r="C396" s="8" t="n"/>
      <c r="D396" s="8" t="n"/>
      <c r="E396" s="8" t="n"/>
      <c r="F396" s="20" t="n"/>
      <c r="G396" s="8" t="n"/>
    </row>
    <row r="397">
      <c r="B397" s="11" t="n"/>
      <c r="C397" s="8" t="n"/>
      <c r="D397" s="8" t="n"/>
      <c r="E397" s="8" t="n"/>
      <c r="F397" s="20" t="n"/>
      <c r="G397" s="8" t="n"/>
    </row>
    <row r="398">
      <c r="B398" s="11" t="n"/>
      <c r="C398" s="8" t="n"/>
      <c r="D398" s="8" t="n"/>
      <c r="E398" s="8" t="n"/>
      <c r="F398" s="20" t="n"/>
      <c r="G398" s="8" t="n"/>
    </row>
    <row r="399">
      <c r="B399" s="11" t="n"/>
      <c r="C399" s="8" t="n"/>
      <c r="D399" s="8" t="n"/>
      <c r="E399" s="8" t="n"/>
      <c r="F399" s="20" t="n"/>
      <c r="G399" s="8" t="n"/>
    </row>
    <row r="400">
      <c r="B400" s="11" t="n"/>
      <c r="C400" s="8" t="n"/>
      <c r="D400" s="8" t="n"/>
      <c r="E400" s="8" t="n"/>
      <c r="F400" s="20" t="n"/>
      <c r="G400" s="8" t="n"/>
    </row>
    <row r="401">
      <c r="B401" s="11" t="n"/>
      <c r="C401" s="8" t="n"/>
      <c r="D401" s="8" t="n"/>
      <c r="E401" s="8" t="n"/>
      <c r="F401" s="20" t="n"/>
      <c r="G401" s="8" t="n"/>
    </row>
    <row r="402">
      <c r="B402" s="11" t="n"/>
      <c r="C402" s="8" t="n"/>
      <c r="D402" s="8" t="n"/>
      <c r="E402" s="8" t="n"/>
      <c r="F402" s="20" t="n"/>
      <c r="G402" s="8" t="n"/>
    </row>
    <row r="403">
      <c r="B403" s="11" t="n"/>
      <c r="C403" s="8" t="n"/>
      <c r="D403" s="8" t="n"/>
      <c r="E403" s="8" t="n"/>
      <c r="F403" s="20" t="n"/>
      <c r="G403" s="8" t="n"/>
    </row>
    <row r="404">
      <c r="B404" s="11" t="n"/>
      <c r="C404" s="8" t="n"/>
      <c r="D404" s="8" t="n"/>
      <c r="E404" s="8" t="n"/>
      <c r="F404" s="20" t="n"/>
      <c r="G404" s="8" t="n"/>
    </row>
    <row r="405">
      <c r="B405" s="11" t="n"/>
      <c r="C405" s="8" t="n"/>
      <c r="D405" s="8" t="n"/>
      <c r="E405" s="8" t="n"/>
      <c r="F405" s="20" t="n"/>
      <c r="G405" s="8" t="n"/>
    </row>
    <row r="406">
      <c r="B406" s="11" t="n"/>
      <c r="C406" s="8" t="n"/>
      <c r="D406" s="8" t="n"/>
      <c r="E406" s="8" t="n"/>
      <c r="F406" s="20" t="n"/>
      <c r="G406" s="8" t="n"/>
    </row>
    <row r="407">
      <c r="B407" s="11" t="n"/>
      <c r="C407" s="8" t="n"/>
      <c r="D407" s="8" t="n"/>
      <c r="E407" s="8" t="n"/>
      <c r="F407" s="20" t="n"/>
      <c r="G407" s="8" t="n"/>
    </row>
    <row r="408">
      <c r="B408" s="11" t="n"/>
      <c r="C408" s="8" t="n"/>
      <c r="D408" s="8" t="n"/>
      <c r="E408" s="8" t="n"/>
      <c r="F408" s="20" t="n"/>
      <c r="G408" s="8" t="n"/>
    </row>
    <row r="409">
      <c r="B409" s="11" t="n"/>
      <c r="C409" s="8" t="n"/>
      <c r="D409" s="8" t="n"/>
      <c r="E409" s="8" t="n"/>
      <c r="F409" s="20" t="n"/>
      <c r="G409" s="8" t="n"/>
    </row>
    <row r="410">
      <c r="B410" s="11" t="n"/>
      <c r="C410" s="8" t="n"/>
      <c r="D410" s="8" t="n"/>
      <c r="E410" s="8" t="n"/>
      <c r="F410" s="20" t="n"/>
      <c r="G410" s="8" t="n"/>
    </row>
    <row r="411">
      <c r="B411" s="11" t="n"/>
      <c r="C411" s="8" t="n"/>
      <c r="D411" s="8" t="n"/>
      <c r="E411" s="8" t="n"/>
      <c r="F411" s="20" t="n"/>
      <c r="G411" s="8" t="n"/>
    </row>
    <row r="412">
      <c r="B412" s="11" t="n"/>
      <c r="C412" s="8" t="n"/>
      <c r="D412" s="8" t="n"/>
      <c r="E412" s="8" t="n"/>
      <c r="F412" s="20" t="n"/>
      <c r="G412" s="8" t="n"/>
    </row>
    <row r="413">
      <c r="B413" s="11" t="n"/>
      <c r="C413" s="8" t="n"/>
      <c r="D413" s="8" t="n"/>
      <c r="E413" s="8" t="n"/>
      <c r="F413" s="20" t="n"/>
      <c r="G413" s="8" t="n"/>
    </row>
    <row r="414">
      <c r="B414" s="11" t="n"/>
      <c r="C414" s="8" t="n"/>
      <c r="D414" s="8" t="n"/>
      <c r="E414" s="8" t="n"/>
      <c r="F414" s="20" t="n"/>
      <c r="G414" s="8" t="n"/>
    </row>
    <row r="415">
      <c r="B415" s="11" t="n"/>
      <c r="C415" s="8" t="n"/>
      <c r="D415" s="8" t="n"/>
      <c r="E415" s="8" t="n"/>
      <c r="F415" s="20" t="n"/>
      <c r="G415" s="8" t="n"/>
    </row>
    <row r="416">
      <c r="B416" s="11" t="n"/>
      <c r="C416" s="8" t="n"/>
      <c r="D416" s="8" t="n"/>
      <c r="E416" s="8" t="n"/>
      <c r="F416" s="20" t="n"/>
      <c r="G416" s="8" t="n"/>
    </row>
    <row r="417">
      <c r="B417" s="11" t="n"/>
      <c r="C417" s="8" t="n"/>
      <c r="D417" s="8" t="n"/>
      <c r="E417" s="8" t="n"/>
      <c r="F417" s="20" t="n"/>
      <c r="G417" s="8" t="n"/>
    </row>
    <row r="418">
      <c r="B418" s="11" t="n"/>
      <c r="C418" s="8" t="n"/>
      <c r="D418" s="8" t="n"/>
      <c r="E418" s="8" t="n"/>
      <c r="F418" s="20" t="n"/>
      <c r="G418" s="8" t="n"/>
    </row>
    <row r="419">
      <c r="B419" s="11" t="n"/>
      <c r="C419" s="8" t="n"/>
      <c r="D419" s="8" t="n"/>
      <c r="E419" s="8" t="n"/>
      <c r="F419" s="20" t="n"/>
      <c r="G419" s="8" t="n"/>
    </row>
    <row r="420">
      <c r="B420" s="11" t="n"/>
      <c r="C420" s="8" t="n"/>
      <c r="D420" s="8" t="n"/>
      <c r="E420" s="8" t="n"/>
      <c r="F420" s="20" t="n"/>
      <c r="G420" s="8" t="n"/>
    </row>
    <row r="421">
      <c r="B421" s="11" t="n"/>
      <c r="C421" s="8" t="n"/>
      <c r="D421" s="8" t="n"/>
      <c r="E421" s="8" t="n"/>
      <c r="F421" s="20" t="n"/>
      <c r="G421" s="8" t="n"/>
    </row>
    <row r="422">
      <c r="B422" s="11" t="n"/>
      <c r="C422" s="8" t="n"/>
      <c r="D422" s="8" t="n"/>
      <c r="E422" s="8" t="n"/>
      <c r="F422" s="20" t="n"/>
      <c r="G422" s="8" t="n"/>
    </row>
    <row r="423">
      <c r="B423" s="11" t="n"/>
      <c r="C423" s="8" t="n"/>
      <c r="D423" s="8" t="n"/>
      <c r="E423" s="8" t="n"/>
      <c r="F423" s="20" t="n"/>
      <c r="G423" s="8" t="n"/>
    </row>
    <row r="424">
      <c r="B424" s="11" t="n"/>
      <c r="C424" s="8" t="n"/>
      <c r="D424" s="8" t="n"/>
      <c r="E424" s="8" t="n"/>
      <c r="F424" s="20" t="n"/>
      <c r="G424" s="8" t="n"/>
    </row>
    <row r="425">
      <c r="B425" s="11" t="n"/>
      <c r="C425" s="8" t="n"/>
      <c r="D425" s="8" t="n"/>
      <c r="E425" s="8" t="n"/>
      <c r="F425" s="20" t="n"/>
      <c r="G425" s="8" t="n"/>
    </row>
    <row r="426">
      <c r="B426" s="11" t="n"/>
      <c r="C426" s="8" t="n"/>
      <c r="D426" s="8" t="n"/>
      <c r="E426" s="8" t="n"/>
      <c r="F426" s="20" t="n"/>
      <c r="G426" s="8" t="n"/>
    </row>
    <row r="427">
      <c r="B427" s="11" t="n"/>
      <c r="C427" s="8" t="n"/>
      <c r="D427" s="8" t="n"/>
      <c r="E427" s="8" t="n"/>
      <c r="F427" s="20" t="n"/>
      <c r="G427" s="8" t="n"/>
    </row>
    <row r="428">
      <c r="B428" s="11" t="n"/>
      <c r="C428" s="8" t="n"/>
      <c r="D428" s="8" t="n"/>
      <c r="E428" s="8" t="n"/>
      <c r="F428" s="20" t="n"/>
      <c r="G428" s="8" t="n"/>
    </row>
    <row r="429">
      <c r="B429" s="11" t="n"/>
      <c r="C429" s="8" t="n"/>
      <c r="D429" s="8" t="n"/>
      <c r="E429" s="8" t="n"/>
      <c r="F429" s="20" t="n"/>
      <c r="G429" s="8" t="n"/>
    </row>
    <row r="430">
      <c r="B430" s="11" t="n"/>
      <c r="C430" s="8" t="n"/>
      <c r="D430" s="8" t="n"/>
      <c r="E430" s="8" t="n"/>
      <c r="F430" s="20" t="n"/>
      <c r="G430" s="8" t="n"/>
    </row>
    <row r="431">
      <c r="B431" s="11" t="n"/>
      <c r="C431" s="8" t="n"/>
      <c r="D431" s="8" t="n"/>
      <c r="E431" s="8" t="n"/>
      <c r="F431" s="20" t="n"/>
      <c r="G431" s="8" t="n"/>
    </row>
    <row r="432">
      <c r="B432" s="11" t="n"/>
      <c r="C432" s="8" t="n"/>
      <c r="D432" s="8" t="n"/>
      <c r="E432" s="8" t="n"/>
      <c r="F432" s="20" t="n"/>
      <c r="G432" s="8" t="n"/>
    </row>
    <row r="433">
      <c r="B433" s="11" t="n"/>
      <c r="C433" s="8" t="n"/>
      <c r="D433" s="8" t="n"/>
      <c r="E433" s="8" t="n"/>
      <c r="F433" s="20" t="n"/>
      <c r="G433" s="8" t="n"/>
    </row>
    <row r="434">
      <c r="B434" s="11" t="n"/>
      <c r="C434" s="8" t="n"/>
      <c r="D434" s="8" t="n"/>
      <c r="E434" s="8" t="n"/>
      <c r="F434" s="20" t="n"/>
      <c r="G434" s="8" t="n"/>
    </row>
    <row r="435">
      <c r="B435" s="11" t="n"/>
      <c r="C435" s="8" t="n"/>
      <c r="D435" s="8" t="n"/>
      <c r="E435" s="8" t="n"/>
      <c r="F435" s="20" t="n"/>
      <c r="G435" s="8" t="n"/>
    </row>
    <row r="436">
      <c r="B436" s="11" t="n"/>
      <c r="C436" s="8" t="n"/>
      <c r="D436" s="8" t="n"/>
      <c r="E436" s="8" t="n"/>
      <c r="F436" s="20" t="n"/>
      <c r="G436" s="8" t="n"/>
    </row>
    <row r="437">
      <c r="B437" s="11" t="n"/>
      <c r="C437" s="8" t="n"/>
      <c r="D437" s="8" t="n"/>
      <c r="E437" s="8" t="n"/>
      <c r="F437" s="20" t="n"/>
      <c r="G437" s="8" t="n"/>
    </row>
    <row r="438">
      <c r="B438" s="11" t="n"/>
      <c r="C438" s="8" t="n"/>
      <c r="D438" s="8" t="n"/>
      <c r="E438" s="8" t="n"/>
      <c r="F438" s="20" t="n"/>
      <c r="G438" s="8" t="n"/>
    </row>
    <row r="439">
      <c r="B439" s="11" t="n"/>
      <c r="C439" s="8" t="n"/>
      <c r="D439" s="8" t="n"/>
      <c r="E439" s="8" t="n"/>
      <c r="F439" s="20" t="n"/>
      <c r="G439" s="8" t="n"/>
    </row>
    <row r="440">
      <c r="B440" s="11" t="n"/>
      <c r="C440" s="8" t="n"/>
      <c r="D440" s="8" t="n"/>
      <c r="E440" s="8" t="n"/>
      <c r="F440" s="20" t="n"/>
      <c r="G440" s="8" t="n"/>
    </row>
    <row r="441">
      <c r="B441" s="11" t="n"/>
      <c r="C441" s="8" t="n"/>
      <c r="D441" s="8" t="n"/>
      <c r="E441" s="8" t="n"/>
      <c r="F441" s="20" t="n"/>
      <c r="G441" s="8" t="n"/>
    </row>
    <row r="442">
      <c r="B442" s="11" t="n"/>
      <c r="C442" s="8" t="n"/>
      <c r="D442" s="8" t="n"/>
      <c r="E442" s="8" t="n"/>
      <c r="F442" s="20" t="n"/>
      <c r="G442" s="8" t="n"/>
    </row>
    <row r="443">
      <c r="B443" s="11" t="n"/>
      <c r="C443" s="8" t="n"/>
      <c r="D443" s="8" t="n"/>
      <c r="E443" s="8" t="n"/>
      <c r="F443" s="20" t="n"/>
      <c r="G443" s="8" t="n"/>
    </row>
    <row r="444">
      <c r="B444" s="11" t="n"/>
      <c r="C444" s="8" t="n"/>
      <c r="D444" s="8" t="n"/>
      <c r="E444" s="8" t="n"/>
      <c r="F444" s="20" t="n"/>
      <c r="G444" s="8" t="n"/>
    </row>
    <row r="445">
      <c r="B445" s="11" t="n"/>
      <c r="C445" s="8" t="n"/>
      <c r="D445" s="8" t="n"/>
      <c r="E445" s="8" t="n"/>
      <c r="F445" s="20" t="n"/>
      <c r="G445" s="8" t="n"/>
    </row>
    <row r="446">
      <c r="B446" s="11" t="n"/>
      <c r="C446" s="8" t="n"/>
      <c r="D446" s="8" t="n"/>
      <c r="E446" s="8" t="n"/>
      <c r="F446" s="20" t="n"/>
      <c r="G446" s="8" t="n"/>
    </row>
    <row r="447">
      <c r="B447" s="11" t="n"/>
      <c r="C447" s="8" t="n"/>
      <c r="D447" s="8" t="n"/>
      <c r="E447" s="8" t="n"/>
      <c r="F447" s="20" t="n"/>
      <c r="G447" s="8" t="n"/>
    </row>
    <row r="448">
      <c r="B448" s="11" t="n"/>
      <c r="C448" s="8" t="n"/>
      <c r="D448" s="8" t="n"/>
      <c r="E448" s="8" t="n"/>
      <c r="F448" s="20" t="n"/>
      <c r="G448" s="8" t="n"/>
    </row>
    <row r="449">
      <c r="B449" s="11" t="n"/>
      <c r="C449" s="8" t="n"/>
      <c r="D449" s="8" t="n"/>
      <c r="E449" s="8" t="n"/>
      <c r="F449" s="20" t="n"/>
      <c r="G449" s="8" t="n"/>
    </row>
    <row r="450">
      <c r="B450" s="11" t="n"/>
      <c r="C450" s="8" t="n"/>
      <c r="D450" s="8" t="n"/>
      <c r="E450" s="8" t="n"/>
      <c r="F450" s="20" t="n"/>
      <c r="G450" s="8" t="n"/>
    </row>
    <row r="451">
      <c r="B451" s="11" t="n"/>
      <c r="C451" s="8" t="n"/>
      <c r="D451" s="8" t="n"/>
      <c r="E451" s="8" t="n"/>
      <c r="F451" s="20" t="n"/>
      <c r="G451" s="8" t="n"/>
    </row>
    <row r="452">
      <c r="B452" s="11" t="n"/>
      <c r="C452" s="8" t="n"/>
      <c r="D452" s="8" t="n"/>
      <c r="E452" s="8" t="n"/>
      <c r="F452" s="20" t="n"/>
      <c r="G452" s="8" t="n"/>
    </row>
    <row r="453">
      <c r="B453" s="11" t="n"/>
      <c r="C453" s="8" t="n"/>
      <c r="D453" s="8" t="n"/>
      <c r="E453" s="8" t="n"/>
      <c r="F453" s="20" t="n"/>
      <c r="G453" s="8" t="n"/>
    </row>
    <row r="454">
      <c r="B454" s="11" t="n"/>
      <c r="C454" s="8" t="n"/>
      <c r="D454" s="8" t="n"/>
      <c r="E454" s="8" t="n"/>
      <c r="F454" s="20" t="n"/>
      <c r="G454" s="8" t="n"/>
    </row>
    <row r="455">
      <c r="B455" s="11" t="n"/>
      <c r="C455" s="8" t="n"/>
      <c r="D455" s="8" t="n"/>
      <c r="E455" s="8" t="n"/>
      <c r="F455" s="20" t="n"/>
      <c r="G455" s="8" t="n"/>
    </row>
    <row r="456">
      <c r="B456" s="11" t="n"/>
      <c r="C456" s="8" t="n"/>
      <c r="D456" s="8" t="n"/>
      <c r="E456" s="8" t="n"/>
      <c r="F456" s="20" t="n"/>
      <c r="G456" s="8" t="n"/>
    </row>
    <row r="457">
      <c r="B457" s="11" t="n"/>
      <c r="C457" s="8" t="n"/>
      <c r="D457" s="8" t="n"/>
      <c r="E457" s="8" t="n"/>
      <c r="F457" s="20" t="n"/>
      <c r="G457" s="8" t="n"/>
    </row>
    <row r="458">
      <c r="B458" s="11" t="n"/>
      <c r="C458" s="8" t="n"/>
      <c r="D458" s="8" t="n"/>
      <c r="E458" s="8" t="n"/>
      <c r="F458" s="20" t="n"/>
      <c r="G458" s="8" t="n"/>
    </row>
    <row r="459">
      <c r="B459" s="11" t="n"/>
      <c r="C459" s="8" t="n"/>
      <c r="D459" s="8" t="n"/>
      <c r="E459" s="8" t="n"/>
      <c r="F459" s="20" t="n"/>
      <c r="G459" s="8" t="n"/>
    </row>
    <row r="460">
      <c r="B460" s="11" t="n"/>
      <c r="C460" s="8" t="n"/>
      <c r="D460" s="8" t="n"/>
      <c r="E460" s="8" t="n"/>
      <c r="F460" s="20" t="n"/>
      <c r="G460" s="8" t="n"/>
    </row>
    <row r="461">
      <c r="B461" s="11" t="n"/>
      <c r="C461" s="8" t="n"/>
      <c r="D461" s="8" t="n"/>
      <c r="E461" s="8" t="n"/>
      <c r="F461" s="20" t="n"/>
      <c r="G461" s="8" t="n"/>
    </row>
    <row r="462">
      <c r="B462" s="11" t="n"/>
      <c r="C462" s="8" t="n"/>
      <c r="D462" s="8" t="n"/>
      <c r="E462" s="8" t="n"/>
      <c r="F462" s="20" t="n"/>
      <c r="G462" s="8" t="n"/>
    </row>
    <row r="463">
      <c r="B463" s="11" t="n"/>
      <c r="C463" s="8" t="n"/>
      <c r="D463" s="8" t="n"/>
      <c r="E463" s="8" t="n"/>
      <c r="F463" s="20" t="n"/>
      <c r="G463" s="8" t="n"/>
    </row>
    <row r="464">
      <c r="B464" s="11" t="n"/>
      <c r="C464" s="8" t="n"/>
      <c r="D464" s="8" t="n"/>
      <c r="E464" s="8" t="n"/>
      <c r="F464" s="20" t="n"/>
      <c r="G464" s="8" t="n"/>
    </row>
    <row r="465">
      <c r="B465" s="11" t="n"/>
      <c r="C465" s="8" t="n"/>
      <c r="D465" s="8" t="n"/>
      <c r="E465" s="8" t="n"/>
      <c r="F465" s="20" t="n"/>
      <c r="G465" s="8" t="n"/>
    </row>
    <row r="466">
      <c r="B466" s="11" t="n"/>
      <c r="C466" s="8" t="n"/>
      <c r="D466" s="8" t="n"/>
      <c r="E466" s="8" t="n"/>
      <c r="F466" s="20" t="n"/>
      <c r="G466" s="8" t="n"/>
    </row>
    <row r="467">
      <c r="B467" s="11" t="n"/>
      <c r="C467" s="8" t="n"/>
      <c r="D467" s="8" t="n"/>
      <c r="E467" s="8" t="n"/>
      <c r="F467" s="20" t="n"/>
      <c r="G467" s="8" t="n"/>
    </row>
    <row r="468">
      <c r="B468" s="11" t="n"/>
      <c r="C468" s="8" t="n"/>
      <c r="D468" s="8" t="n"/>
      <c r="E468" s="8" t="n"/>
      <c r="F468" s="20" t="n"/>
      <c r="G468" s="8" t="n"/>
    </row>
    <row r="469">
      <c r="B469" s="11" t="n"/>
      <c r="C469" s="8" t="n"/>
      <c r="D469" s="8" t="n"/>
      <c r="E469" s="8" t="n"/>
      <c r="F469" s="20" t="n"/>
      <c r="G469" s="8" t="n"/>
    </row>
    <row r="470">
      <c r="B470" s="11" t="n"/>
      <c r="C470" s="8" t="n"/>
      <c r="D470" s="8" t="n"/>
      <c r="E470" s="8" t="n"/>
      <c r="F470" s="20" t="n"/>
      <c r="G470" s="8" t="n"/>
    </row>
    <row r="471">
      <c r="B471" s="11" t="n"/>
      <c r="C471" s="8" t="n"/>
      <c r="D471" s="8" t="n"/>
      <c r="E471" s="8" t="n"/>
      <c r="F471" s="20" t="n"/>
      <c r="G471" s="8" t="n"/>
    </row>
    <row r="472">
      <c r="B472" s="11" t="n"/>
      <c r="C472" s="8" t="n"/>
      <c r="D472" s="8" t="n"/>
      <c r="E472" s="8" t="n"/>
      <c r="F472" s="20" t="n"/>
      <c r="G472" s="8" t="n"/>
    </row>
    <row r="473">
      <c r="B473" s="11" t="n"/>
      <c r="C473" s="8" t="n"/>
      <c r="D473" s="8" t="n"/>
      <c r="E473" s="8" t="n"/>
      <c r="F473" s="20" t="n"/>
      <c r="G473" s="8" t="n"/>
    </row>
    <row r="474">
      <c r="B474" s="11" t="n"/>
      <c r="C474" s="8" t="n"/>
      <c r="D474" s="8" t="n"/>
      <c r="E474" s="8" t="n"/>
      <c r="F474" s="20" t="n"/>
      <c r="G474" s="8" t="n"/>
    </row>
    <row r="475">
      <c r="B475" s="11" t="n"/>
      <c r="C475" s="8" t="n"/>
      <c r="D475" s="8" t="n"/>
      <c r="E475" s="8" t="n"/>
      <c r="F475" s="20" t="n"/>
      <c r="G475" s="8" t="n"/>
    </row>
    <row r="476">
      <c r="B476" s="11" t="n"/>
      <c r="C476" s="8" t="n"/>
      <c r="D476" s="8" t="n"/>
      <c r="E476" s="8" t="n"/>
      <c r="F476" s="20" t="n"/>
      <c r="G476" s="8" t="n"/>
    </row>
    <row r="477">
      <c r="B477" s="11" t="n"/>
      <c r="C477" s="8" t="n"/>
      <c r="D477" s="8" t="n"/>
      <c r="E477" s="8" t="n"/>
      <c r="F477" s="20" t="n"/>
      <c r="G477" s="8" t="n"/>
    </row>
    <row r="478">
      <c r="B478" s="11" t="n"/>
      <c r="C478" s="8" t="n"/>
      <c r="D478" s="8" t="n"/>
      <c r="E478" s="8" t="n"/>
      <c r="F478" s="20" t="n"/>
      <c r="G478" s="8" t="n"/>
    </row>
    <row r="479">
      <c r="B479" s="11" t="n"/>
      <c r="C479" s="8" t="n"/>
      <c r="D479" s="8" t="n"/>
      <c r="E479" s="8" t="n"/>
      <c r="F479" s="20" t="n"/>
      <c r="G479" s="8" t="n"/>
    </row>
    <row r="480">
      <c r="B480" s="11" t="n"/>
      <c r="C480" s="8" t="n"/>
      <c r="D480" s="8" t="n"/>
      <c r="E480" s="8" t="n"/>
      <c r="F480" s="20" t="n"/>
      <c r="G480" s="8" t="n"/>
    </row>
    <row r="481">
      <c r="B481" s="11" t="n"/>
      <c r="C481" s="8" t="n"/>
      <c r="D481" s="8" t="n"/>
      <c r="E481" s="8" t="n"/>
      <c r="F481" s="20" t="n"/>
      <c r="G481" s="8" t="n"/>
    </row>
    <row r="482">
      <c r="B482" s="11" t="n"/>
      <c r="C482" s="8" t="n"/>
      <c r="D482" s="8" t="n"/>
      <c r="E482" s="8" t="n"/>
      <c r="F482" s="20" t="n"/>
      <c r="G482" s="8" t="n"/>
    </row>
    <row r="483">
      <c r="B483" s="11" t="n"/>
      <c r="C483" s="8" t="n"/>
      <c r="D483" s="8" t="n"/>
      <c r="E483" s="8" t="n"/>
      <c r="F483" s="20" t="n"/>
      <c r="G483" s="8" t="n"/>
    </row>
    <row r="484">
      <c r="B484" s="11" t="n"/>
      <c r="C484" s="8" t="n"/>
      <c r="D484" s="8" t="n"/>
      <c r="E484" s="8" t="n"/>
      <c r="F484" s="20" t="n"/>
      <c r="G484" s="8" t="n"/>
    </row>
    <row r="485">
      <c r="B485" s="11" t="n"/>
      <c r="C485" s="8" t="n"/>
      <c r="D485" s="8" t="n"/>
      <c r="E485" s="8" t="n"/>
      <c r="F485" s="20" t="n"/>
      <c r="G485" s="8" t="n"/>
    </row>
    <row r="486">
      <c r="B486" s="11" t="n"/>
      <c r="C486" s="8" t="n"/>
      <c r="D486" s="8" t="n"/>
      <c r="E486" s="8" t="n"/>
      <c r="F486" s="20" t="n"/>
      <c r="G486" s="8" t="n"/>
    </row>
    <row r="487">
      <c r="B487" s="11" t="n"/>
      <c r="C487" s="8" t="n"/>
      <c r="D487" s="8" t="n"/>
      <c r="E487" s="8" t="n"/>
      <c r="F487" s="20" t="n"/>
      <c r="G487" s="8" t="n"/>
    </row>
    <row r="488">
      <c r="B488" s="11" t="n"/>
      <c r="C488" s="8" t="n"/>
      <c r="D488" s="8" t="n"/>
      <c r="E488" s="8" t="n"/>
      <c r="F488" s="20" t="n"/>
      <c r="G488" s="8" t="n"/>
    </row>
    <row r="489">
      <c r="B489" s="11" t="n"/>
      <c r="C489" s="8" t="n"/>
      <c r="D489" s="8" t="n"/>
      <c r="E489" s="8" t="n"/>
      <c r="F489" s="20" t="n"/>
      <c r="G489" s="8" t="n"/>
    </row>
    <row r="490">
      <c r="B490" s="11" t="n"/>
      <c r="C490" s="8" t="n"/>
      <c r="D490" s="8" t="n"/>
      <c r="E490" s="8" t="n"/>
      <c r="F490" s="20" t="n"/>
      <c r="G490" s="8" t="n"/>
    </row>
    <row r="491">
      <c r="B491" s="11" t="n"/>
      <c r="C491" s="8" t="n"/>
      <c r="D491" s="8" t="n"/>
      <c r="E491" s="8" t="n"/>
      <c r="F491" s="20" t="n"/>
      <c r="G491" s="8" t="n"/>
    </row>
    <row r="492">
      <c r="B492" s="11" t="n"/>
      <c r="C492" s="8" t="n"/>
      <c r="D492" s="8" t="n"/>
      <c r="E492" s="8" t="n"/>
      <c r="F492" s="20" t="n"/>
      <c r="G492" s="8" t="n"/>
    </row>
    <row r="493">
      <c r="B493" s="11" t="n"/>
      <c r="C493" s="8" t="n"/>
      <c r="D493" s="8" t="n"/>
      <c r="E493" s="8" t="n"/>
      <c r="F493" s="20" t="n"/>
      <c r="G493" s="8" t="n"/>
    </row>
    <row r="494">
      <c r="B494" s="11" t="n"/>
      <c r="C494" s="8" t="n"/>
      <c r="D494" s="8" t="n"/>
      <c r="E494" s="8" t="n"/>
      <c r="F494" s="20" t="n"/>
      <c r="G494" s="8" t="n"/>
    </row>
    <row r="495">
      <c r="B495" s="11" t="n"/>
      <c r="C495" s="8" t="n"/>
      <c r="D495" s="8" t="n"/>
      <c r="E495" s="8" t="n"/>
      <c r="F495" s="20" t="n"/>
      <c r="G495" s="8" t="n"/>
    </row>
    <row r="496">
      <c r="B496" s="11" t="n"/>
      <c r="C496" s="8" t="n"/>
      <c r="D496" s="8" t="n"/>
      <c r="E496" s="8" t="n"/>
      <c r="F496" s="20" t="n"/>
      <c r="G496" s="8" t="n"/>
    </row>
    <row r="497">
      <c r="B497" s="11" t="n"/>
      <c r="C497" s="8" t="n"/>
      <c r="D497" s="8" t="n"/>
      <c r="E497" s="8" t="n"/>
      <c r="F497" s="20" t="n"/>
      <c r="G497" s="8" t="n"/>
    </row>
    <row r="498">
      <c r="B498" s="11" t="n"/>
      <c r="C498" s="8" t="n"/>
      <c r="D498" s="8" t="n"/>
      <c r="E498" s="8" t="n"/>
      <c r="F498" s="20" t="n"/>
      <c r="G498" s="8" t="n"/>
    </row>
    <row r="499">
      <c r="B499" s="11" t="n"/>
      <c r="C499" s="8" t="n"/>
      <c r="D499" s="8" t="n"/>
      <c r="E499" s="8" t="n"/>
      <c r="F499" s="20" t="n"/>
      <c r="G499" s="8" t="n"/>
    </row>
    <row r="500">
      <c r="B500" s="11" t="n"/>
      <c r="C500" s="8" t="n"/>
      <c r="D500" s="8" t="n"/>
      <c r="E500" s="8" t="n"/>
      <c r="F500" s="20" t="n"/>
      <c r="G500" s="8" t="n"/>
    </row>
    <row r="501">
      <c r="B501" s="11" t="n"/>
      <c r="C501" s="8" t="n"/>
      <c r="D501" s="8" t="n"/>
      <c r="E501" s="8" t="n"/>
      <c r="F501" s="20" t="n"/>
      <c r="G501" s="8" t="n"/>
    </row>
    <row r="502">
      <c r="B502" s="11" t="n"/>
      <c r="C502" s="8" t="n"/>
      <c r="D502" s="8" t="n"/>
      <c r="E502" s="8" t="n"/>
      <c r="F502" s="20" t="n"/>
      <c r="G502" s="8" t="n"/>
    </row>
    <row r="503">
      <c r="B503" s="11" t="n"/>
      <c r="C503" s="8" t="n"/>
      <c r="D503" s="8" t="n"/>
      <c r="E503" s="8" t="n"/>
      <c r="F503" s="20" t="n"/>
      <c r="G503" s="8" t="n"/>
    </row>
    <row r="504">
      <c r="B504" s="11" t="n"/>
      <c r="C504" s="8" t="n"/>
      <c r="D504" s="8" t="n"/>
      <c r="E504" s="8" t="n"/>
      <c r="F504" s="20" t="n"/>
      <c r="G504" s="8" t="n"/>
    </row>
    <row r="505">
      <c r="B505" s="11" t="n"/>
      <c r="C505" s="8" t="n"/>
      <c r="D505" s="8" t="n"/>
      <c r="E505" s="8" t="n"/>
      <c r="F505" s="20" t="n"/>
      <c r="G505" s="8" t="n"/>
    </row>
    <row r="506">
      <c r="B506" s="11" t="n"/>
      <c r="C506" s="8" t="n"/>
      <c r="D506" s="8" t="n"/>
      <c r="E506" s="8" t="n"/>
      <c r="F506" s="20" t="n"/>
      <c r="G506" s="8" t="n"/>
    </row>
    <row r="507">
      <c r="B507" s="11" t="n"/>
      <c r="C507" s="8" t="n"/>
      <c r="D507" s="8" t="n"/>
      <c r="E507" s="8" t="n"/>
      <c r="F507" s="20" t="n"/>
      <c r="G507" s="8" t="n"/>
    </row>
    <row r="508">
      <c r="B508" s="11" t="n"/>
      <c r="C508" s="8" t="n"/>
      <c r="D508" s="8" t="n"/>
      <c r="E508" s="8" t="n"/>
      <c r="F508" s="20" t="n"/>
      <c r="G508" s="8" t="n"/>
    </row>
    <row r="509">
      <c r="B509" s="11" t="n"/>
      <c r="C509" s="8" t="n"/>
      <c r="D509" s="8" t="n"/>
      <c r="E509" s="8" t="n"/>
      <c r="F509" s="20" t="n"/>
      <c r="G509" s="8" t="n"/>
    </row>
    <row r="510">
      <c r="B510" s="11" t="n"/>
      <c r="C510" s="8" t="n"/>
      <c r="D510" s="8" t="n"/>
      <c r="E510" s="8" t="n"/>
      <c r="F510" s="20" t="n"/>
      <c r="G510" s="8" t="n"/>
    </row>
    <row r="511">
      <c r="B511" s="11" t="n"/>
      <c r="C511" s="8" t="n"/>
      <c r="D511" s="8" t="n"/>
      <c r="E511" s="8" t="n"/>
      <c r="F511" s="20" t="n"/>
      <c r="G511" s="8" t="n"/>
    </row>
    <row r="512">
      <c r="B512" s="11" t="n"/>
      <c r="C512" s="8" t="n"/>
      <c r="D512" s="8" t="n"/>
      <c r="E512" s="8" t="n"/>
      <c r="F512" s="20" t="n"/>
      <c r="G512" s="8" t="n"/>
    </row>
    <row r="513">
      <c r="B513" s="11" t="n"/>
      <c r="C513" s="8" t="n"/>
      <c r="D513" s="8" t="n"/>
      <c r="E513" s="8" t="n"/>
      <c r="F513" s="20" t="n"/>
      <c r="G513" s="8" t="n"/>
    </row>
    <row r="514">
      <c r="B514" s="11" t="n"/>
      <c r="C514" s="8" t="n"/>
      <c r="D514" s="8" t="n"/>
      <c r="E514" s="8" t="n"/>
      <c r="F514" s="20" t="n"/>
      <c r="G514" s="8" t="n"/>
    </row>
    <row r="515">
      <c r="B515" s="11" t="n"/>
      <c r="C515" s="8" t="n"/>
      <c r="D515" s="8" t="n"/>
      <c r="E515" s="8" t="n"/>
      <c r="F515" s="20" t="n"/>
      <c r="G515" s="8" t="n"/>
    </row>
    <row r="516">
      <c r="B516" s="11" t="n"/>
      <c r="C516" s="8" t="n"/>
      <c r="D516" s="8" t="n"/>
      <c r="E516" s="8" t="n"/>
      <c r="F516" s="20" t="n"/>
      <c r="G516" s="8" t="n"/>
    </row>
    <row r="517">
      <c r="B517" s="11" t="n"/>
      <c r="C517" s="8" t="n"/>
      <c r="D517" s="8" t="n"/>
      <c r="E517" s="8" t="n"/>
      <c r="F517" s="20" t="n"/>
      <c r="G517" s="8" t="n"/>
    </row>
    <row r="518">
      <c r="B518" s="11" t="n"/>
      <c r="C518" s="8" t="n"/>
      <c r="D518" s="8" t="n"/>
      <c r="E518" s="8" t="n"/>
      <c r="F518" s="20" t="n"/>
      <c r="G518" s="8" t="n"/>
    </row>
    <row r="519">
      <c r="B519" s="11" t="n"/>
      <c r="C519" s="8" t="n"/>
      <c r="D519" s="8" t="n"/>
      <c r="E519" s="8" t="n"/>
      <c r="F519" s="20" t="n"/>
      <c r="G519" s="8" t="n"/>
    </row>
    <row r="520">
      <c r="B520" s="11" t="n"/>
      <c r="C520" s="8" t="n"/>
      <c r="D520" s="8" t="n"/>
      <c r="E520" s="8" t="n"/>
      <c r="F520" s="20" t="n"/>
      <c r="G520" s="8" t="n"/>
    </row>
    <row r="521">
      <c r="B521" s="11" t="n"/>
      <c r="C521" s="8" t="n"/>
      <c r="D521" s="8" t="n"/>
      <c r="E521" s="8" t="n"/>
      <c r="F521" s="20" t="n"/>
      <c r="G521" s="8" t="n"/>
    </row>
    <row r="522">
      <c r="B522" s="11" t="n"/>
      <c r="C522" s="8" t="n"/>
      <c r="D522" s="8" t="n"/>
      <c r="E522" s="8" t="n"/>
      <c r="F522" s="20" t="n"/>
      <c r="G522" s="8" t="n"/>
    </row>
    <row r="523">
      <c r="B523" s="11" t="n"/>
      <c r="C523" s="8" t="n"/>
      <c r="D523" s="8" t="n"/>
      <c r="E523" s="8" t="n"/>
      <c r="F523" s="20" t="n"/>
      <c r="G523" s="8" t="n"/>
    </row>
    <row r="524">
      <c r="B524" s="11" t="n"/>
      <c r="C524" s="8" t="n"/>
      <c r="D524" s="8" t="n"/>
      <c r="E524" s="8" t="n"/>
      <c r="F524" s="20" t="n"/>
      <c r="G524" s="8" t="n"/>
    </row>
    <row r="525">
      <c r="B525" s="11" t="n"/>
      <c r="C525" s="8" t="n"/>
      <c r="D525" s="8" t="n"/>
      <c r="E525" s="8" t="n"/>
      <c r="F525" s="20" t="n"/>
      <c r="G525" s="8" t="n"/>
    </row>
    <row r="526">
      <c r="B526" s="11" t="n"/>
      <c r="C526" s="8" t="n"/>
      <c r="D526" s="8" t="n"/>
      <c r="E526" s="8" t="n"/>
      <c r="F526" s="20" t="n"/>
      <c r="G526" s="8" t="n"/>
    </row>
    <row r="527">
      <c r="B527" s="11" t="n"/>
      <c r="C527" s="8" t="n"/>
      <c r="D527" s="8" t="n"/>
      <c r="E527" s="8" t="n"/>
      <c r="F527" s="20" t="n"/>
      <c r="G527" s="8" t="n"/>
    </row>
    <row r="528">
      <c r="B528" s="11" t="n"/>
      <c r="C528" s="8" t="n"/>
      <c r="D528" s="8" t="n"/>
      <c r="E528" s="8" t="n"/>
      <c r="F528" s="20" t="n"/>
      <c r="G528" s="8" t="n"/>
    </row>
    <row r="529">
      <c r="B529" s="11" t="n"/>
      <c r="C529" s="8" t="n"/>
      <c r="D529" s="8" t="n"/>
      <c r="E529" s="8" t="n"/>
      <c r="F529" s="20" t="n"/>
      <c r="G529" s="8" t="n"/>
    </row>
    <row r="530">
      <c r="B530" s="11" t="n"/>
      <c r="C530" s="8" t="n"/>
      <c r="D530" s="8" t="n"/>
      <c r="E530" s="8" t="n"/>
      <c r="F530" s="20" t="n"/>
      <c r="G530" s="8" t="n"/>
    </row>
    <row r="531">
      <c r="B531" s="11" t="n"/>
      <c r="C531" s="8" t="n"/>
      <c r="D531" s="8" t="n"/>
      <c r="E531" s="8" t="n"/>
      <c r="F531" s="20" t="n"/>
      <c r="G531" s="8" t="n"/>
    </row>
    <row r="532">
      <c r="B532" s="11" t="n"/>
      <c r="C532" s="8" t="n"/>
      <c r="D532" s="8" t="n"/>
      <c r="E532" s="8" t="n"/>
      <c r="F532" s="20" t="n"/>
      <c r="G532" s="8" t="n"/>
    </row>
    <row r="533">
      <c r="B533" s="11" t="n"/>
      <c r="C533" s="8" t="n"/>
      <c r="D533" s="8" t="n"/>
      <c r="E533" s="8" t="n"/>
      <c r="F533" s="20" t="n"/>
      <c r="G533" s="8" t="n"/>
    </row>
    <row r="534">
      <c r="B534" s="11" t="n"/>
      <c r="C534" s="8" t="n"/>
      <c r="D534" s="8" t="n"/>
      <c r="E534" s="8" t="n"/>
      <c r="F534" s="20" t="n"/>
      <c r="G534" s="8" t="n"/>
    </row>
    <row r="535">
      <c r="B535" s="11" t="n"/>
      <c r="C535" s="8" t="n"/>
      <c r="D535" s="8" t="n"/>
      <c r="E535" s="8" t="n"/>
      <c r="F535" s="20" t="n"/>
      <c r="G535" s="8" t="n"/>
    </row>
    <row r="536">
      <c r="B536" s="11" t="n"/>
      <c r="C536" s="8" t="n"/>
      <c r="D536" s="8" t="n"/>
      <c r="E536" s="8" t="n"/>
      <c r="F536" s="20" t="n"/>
      <c r="G536" s="8" t="n"/>
    </row>
    <row r="537">
      <c r="B537" s="11" t="n"/>
      <c r="C537" s="8" t="n"/>
      <c r="D537" s="8" t="n"/>
      <c r="E537" s="8" t="n"/>
      <c r="F537" s="20" t="n"/>
      <c r="G537" s="8" t="n"/>
    </row>
    <row r="538">
      <c r="B538" s="11" t="n"/>
      <c r="C538" s="8" t="n"/>
      <c r="D538" s="8" t="n"/>
      <c r="E538" s="8" t="n"/>
      <c r="F538" s="20" t="n"/>
      <c r="G538" s="8" t="n"/>
    </row>
    <row r="539">
      <c r="B539" s="11" t="n"/>
      <c r="C539" s="8" t="n"/>
      <c r="D539" s="8" t="n"/>
      <c r="E539" s="8" t="n"/>
      <c r="F539" s="20" t="n"/>
      <c r="G539" s="8" t="n"/>
    </row>
    <row r="540">
      <c r="B540" s="11" t="n"/>
      <c r="C540" s="8" t="n"/>
      <c r="D540" s="8" t="n"/>
      <c r="E540" s="8" t="n"/>
      <c r="F540" s="20" t="n"/>
      <c r="G540" s="8" t="n"/>
    </row>
    <row r="541">
      <c r="B541" s="11" t="n"/>
      <c r="C541" s="8" t="n"/>
      <c r="D541" s="8" t="n"/>
      <c r="E541" s="8" t="n"/>
      <c r="F541" s="20" t="n"/>
      <c r="G541" s="8" t="n"/>
    </row>
    <row r="542">
      <c r="B542" s="11" t="n"/>
      <c r="C542" s="8" t="n"/>
      <c r="D542" s="8" t="n"/>
      <c r="E542" s="8" t="n"/>
      <c r="F542" s="20" t="n"/>
      <c r="G542" s="8" t="n"/>
    </row>
    <row r="543">
      <c r="B543" s="11" t="n"/>
      <c r="C543" s="8" t="n"/>
      <c r="D543" s="8" t="n"/>
      <c r="E543" s="8" t="n"/>
      <c r="F543" s="20" t="n"/>
      <c r="G543" s="8" t="n"/>
    </row>
    <row r="544">
      <c r="B544" s="11" t="n"/>
      <c r="C544" s="8" t="n"/>
      <c r="D544" s="8" t="n"/>
      <c r="E544" s="8" t="n"/>
      <c r="F544" s="20" t="n"/>
      <c r="G544" s="8" t="n"/>
    </row>
    <row r="545">
      <c r="B545" s="11" t="n"/>
      <c r="C545" s="8" t="n"/>
      <c r="D545" s="8" t="n"/>
      <c r="E545" s="8" t="n"/>
      <c r="F545" s="20" t="n"/>
      <c r="G545" s="8" t="n"/>
    </row>
    <row r="546">
      <c r="B546" s="11" t="n"/>
      <c r="C546" s="8" t="n"/>
      <c r="D546" s="8" t="n"/>
      <c r="E546" s="8" t="n"/>
      <c r="F546" s="20" t="n"/>
      <c r="G546" s="8" t="n"/>
    </row>
    <row r="547">
      <c r="B547" s="11" t="n"/>
      <c r="C547" s="8" t="n"/>
      <c r="D547" s="8" t="n"/>
      <c r="E547" s="8" t="n"/>
      <c r="F547" s="20" t="n"/>
      <c r="G547" s="8" t="n"/>
    </row>
    <row r="548">
      <c r="B548" s="11" t="n"/>
      <c r="C548" s="8" t="n"/>
      <c r="D548" s="8" t="n"/>
      <c r="E548" s="8" t="n"/>
      <c r="F548" s="20" t="n"/>
      <c r="G548" s="8" t="n"/>
    </row>
    <row r="549">
      <c r="B549" s="11" t="n"/>
      <c r="C549" s="8" t="n"/>
      <c r="D549" s="8" t="n"/>
      <c r="E549" s="8" t="n"/>
      <c r="F549" s="20" t="n"/>
      <c r="G549" s="8" t="n"/>
    </row>
    <row r="550">
      <c r="B550" s="11" t="n"/>
      <c r="C550" s="8" t="n"/>
      <c r="D550" s="8" t="n"/>
      <c r="E550" s="8" t="n"/>
      <c r="F550" s="20" t="n"/>
      <c r="G550" s="8" t="n"/>
    </row>
    <row r="551">
      <c r="B551" s="11" t="n"/>
      <c r="C551" s="8" t="n"/>
      <c r="D551" s="8" t="n"/>
      <c r="E551" s="8" t="n"/>
      <c r="F551" s="20" t="n"/>
      <c r="G551" s="8" t="n"/>
    </row>
    <row r="552">
      <c r="B552" s="11" t="n"/>
      <c r="C552" s="8" t="n"/>
      <c r="D552" s="8" t="n"/>
      <c r="E552" s="8" t="n"/>
      <c r="F552" s="20" t="n"/>
      <c r="G552" s="8" t="n"/>
    </row>
    <row r="553">
      <c r="B553" s="11" t="n"/>
      <c r="C553" s="8" t="n"/>
      <c r="D553" s="8" t="n"/>
      <c r="E553" s="8" t="n"/>
      <c r="F553" s="20" t="n"/>
      <c r="G553" s="8" t="n"/>
    </row>
    <row r="554">
      <c r="B554" s="11" t="n"/>
      <c r="C554" s="8" t="n"/>
      <c r="D554" s="8" t="n"/>
      <c r="E554" s="8" t="n"/>
      <c r="F554" s="20" t="n"/>
      <c r="G554" s="8" t="n"/>
    </row>
    <row r="555">
      <c r="B555" s="11" t="n"/>
      <c r="C555" s="8" t="n"/>
      <c r="D555" s="8" t="n"/>
      <c r="E555" s="8" t="n"/>
      <c r="F555" s="20" t="n"/>
      <c r="G555" s="8" t="n"/>
    </row>
    <row r="556">
      <c r="B556" s="11" t="n"/>
      <c r="C556" s="8" t="n"/>
      <c r="D556" s="8" t="n"/>
      <c r="E556" s="8" t="n"/>
      <c r="F556" s="20" t="n"/>
      <c r="G556" s="8" t="n"/>
    </row>
    <row r="557">
      <c r="B557" s="11" t="n"/>
      <c r="C557" s="8" t="n"/>
      <c r="D557" s="8" t="n"/>
      <c r="E557" s="8" t="n"/>
      <c r="F557" s="20" t="n"/>
      <c r="G557" s="8" t="n"/>
    </row>
    <row r="558">
      <c r="B558" s="11" t="n"/>
      <c r="C558" s="8" t="n"/>
      <c r="D558" s="8" t="n"/>
      <c r="E558" s="8" t="n"/>
      <c r="F558" s="20" t="n"/>
      <c r="G558" s="8" t="n"/>
    </row>
    <row r="559">
      <c r="B559" s="11" t="n"/>
      <c r="C559" s="8" t="n"/>
      <c r="D559" s="8" t="n"/>
      <c r="E559" s="8" t="n"/>
      <c r="F559" s="20" t="n"/>
      <c r="G559" s="8" t="n"/>
    </row>
    <row r="560">
      <c r="B560" s="11" t="n"/>
      <c r="C560" s="8" t="n"/>
      <c r="D560" s="8" t="n"/>
      <c r="E560" s="8" t="n"/>
      <c r="F560" s="20" t="n"/>
      <c r="G560" s="8" t="n"/>
    </row>
    <row r="561">
      <c r="B561" s="11" t="n"/>
      <c r="C561" s="8" t="n"/>
      <c r="D561" s="8" t="n"/>
      <c r="E561" s="8" t="n"/>
      <c r="F561" s="20" t="n"/>
      <c r="G561" s="8" t="n"/>
    </row>
    <row r="562">
      <c r="B562" s="11" t="n"/>
      <c r="C562" s="8" t="n"/>
      <c r="D562" s="8" t="n"/>
      <c r="E562" s="8" t="n"/>
      <c r="F562" s="20" t="n"/>
      <c r="G562" s="8" t="n"/>
    </row>
    <row r="563">
      <c r="B563" s="11" t="n"/>
      <c r="C563" s="8" t="n"/>
      <c r="D563" s="8" t="n"/>
      <c r="E563" s="8" t="n"/>
      <c r="F563" s="20" t="n"/>
      <c r="G563" s="8" t="n"/>
    </row>
    <row r="564">
      <c r="B564" s="11" t="n"/>
      <c r="C564" s="8" t="n"/>
      <c r="D564" s="8" t="n"/>
      <c r="E564" s="8" t="n"/>
      <c r="F564" s="20" t="n"/>
      <c r="G564" s="8" t="n"/>
    </row>
    <row r="565">
      <c r="B565" s="11" t="n"/>
      <c r="C565" s="8" t="n"/>
      <c r="D565" s="8" t="n"/>
      <c r="E565" s="8" t="n"/>
      <c r="F565" s="20" t="n"/>
      <c r="G565" s="8" t="n"/>
    </row>
    <row r="566">
      <c r="B566" s="11" t="n"/>
      <c r="C566" s="8" t="n"/>
      <c r="D566" s="8" t="n"/>
      <c r="E566" s="8" t="n"/>
      <c r="F566" s="20" t="n"/>
      <c r="G566" s="8" t="n"/>
    </row>
    <row r="567">
      <c r="B567" s="11" t="n"/>
      <c r="C567" s="8" t="n"/>
      <c r="D567" s="8" t="n"/>
      <c r="E567" s="8" t="n"/>
      <c r="F567" s="20" t="n"/>
      <c r="G567" s="8" t="n"/>
    </row>
    <row r="568">
      <c r="B568" s="11" t="n"/>
      <c r="C568" s="8" t="n"/>
      <c r="D568" s="8" t="n"/>
      <c r="E568" s="8" t="n"/>
      <c r="F568" s="20" t="n"/>
      <c r="G568" s="8" t="n"/>
    </row>
    <row r="569">
      <c r="B569" s="11" t="n"/>
      <c r="C569" s="8" t="n"/>
      <c r="D569" s="8" t="n"/>
      <c r="E569" s="8" t="n"/>
      <c r="F569" s="20" t="n"/>
      <c r="G569" s="8" t="n"/>
    </row>
    <row r="570">
      <c r="B570" s="11" t="n"/>
      <c r="C570" s="8" t="n"/>
      <c r="D570" s="8" t="n"/>
      <c r="E570" s="8" t="n"/>
      <c r="F570" s="20" t="n"/>
      <c r="G570" s="8" t="n"/>
    </row>
    <row r="571">
      <c r="B571" s="11" t="n"/>
      <c r="C571" s="8" t="n"/>
      <c r="D571" s="8" t="n"/>
      <c r="E571" s="8" t="n"/>
      <c r="F571" s="20" t="n"/>
      <c r="G571" s="8" t="n"/>
    </row>
    <row r="572">
      <c r="B572" s="11" t="n"/>
      <c r="C572" s="8" t="n"/>
      <c r="D572" s="8" t="n"/>
      <c r="E572" s="8" t="n"/>
      <c r="F572" s="20" t="n"/>
      <c r="G572" s="8" t="n"/>
    </row>
    <row r="573">
      <c r="B573" s="11" t="n"/>
      <c r="C573" s="8" t="n"/>
      <c r="D573" s="8" t="n"/>
      <c r="E573" s="8" t="n"/>
      <c r="F573" s="20" t="n"/>
      <c r="G573" s="8" t="n"/>
    </row>
    <row r="574">
      <c r="B574" s="11" t="n"/>
      <c r="C574" s="8" t="n"/>
      <c r="D574" s="8" t="n"/>
      <c r="E574" s="8" t="n"/>
      <c r="F574" s="20" t="n"/>
      <c r="G574" s="8" t="n"/>
    </row>
    <row r="575">
      <c r="B575" s="11" t="n"/>
      <c r="C575" s="8" t="n"/>
      <c r="D575" s="8" t="n"/>
      <c r="E575" s="8" t="n"/>
      <c r="F575" s="20" t="n"/>
      <c r="G575" s="8" t="n"/>
    </row>
    <row r="576">
      <c r="B576" s="11" t="n"/>
      <c r="C576" s="8" t="n"/>
      <c r="D576" s="8" t="n"/>
      <c r="E576" s="8" t="n"/>
      <c r="F576" s="20" t="n"/>
      <c r="G576" s="8" t="n"/>
    </row>
    <row r="577">
      <c r="B577" s="11" t="n"/>
      <c r="C577" s="8" t="n"/>
      <c r="D577" s="8" t="n"/>
      <c r="E577" s="8" t="n"/>
      <c r="F577" s="20" t="n"/>
      <c r="G577" s="8" t="n"/>
    </row>
    <row r="578">
      <c r="B578" s="11" t="n"/>
      <c r="C578" s="8" t="n"/>
      <c r="D578" s="8" t="n"/>
      <c r="E578" s="8" t="n"/>
      <c r="F578" s="20" t="n"/>
      <c r="G578" s="8" t="n"/>
    </row>
    <row r="579">
      <c r="B579" s="11" t="n"/>
      <c r="C579" s="8" t="n"/>
      <c r="D579" s="8" t="n"/>
      <c r="E579" s="8" t="n"/>
      <c r="F579" s="20" t="n"/>
      <c r="G579" s="8" t="n"/>
    </row>
    <row r="580">
      <c r="B580" s="11" t="n"/>
      <c r="C580" s="8" t="n"/>
      <c r="D580" s="8" t="n"/>
      <c r="E580" s="8" t="n"/>
      <c r="F580" s="20" t="n"/>
      <c r="G580" s="8" t="n"/>
    </row>
    <row r="581">
      <c r="B581" s="11" t="n"/>
      <c r="C581" s="8" t="n"/>
      <c r="D581" s="8" t="n"/>
      <c r="E581" s="8" t="n"/>
      <c r="F581" s="20" t="n"/>
      <c r="G581" s="8" t="n"/>
    </row>
    <row r="582">
      <c r="B582" s="11" t="n"/>
      <c r="C582" s="8" t="n"/>
      <c r="D582" s="8" t="n"/>
      <c r="E582" s="8" t="n"/>
      <c r="F582" s="20" t="n"/>
      <c r="G582" s="8" t="n"/>
    </row>
    <row r="583">
      <c r="B583" s="11" t="n"/>
      <c r="C583" s="8" t="n"/>
      <c r="D583" s="8" t="n"/>
      <c r="E583" s="8" t="n"/>
      <c r="F583" s="20" t="n"/>
      <c r="G583" s="8" t="n"/>
    </row>
    <row r="584">
      <c r="B584" s="11" t="n"/>
      <c r="C584" s="8" t="n"/>
      <c r="D584" s="8" t="n"/>
      <c r="E584" s="8" t="n"/>
      <c r="F584" s="20" t="n"/>
      <c r="G584" s="8" t="n"/>
    </row>
    <row r="585">
      <c r="B585" s="11" t="n"/>
      <c r="C585" s="8" t="n"/>
      <c r="D585" s="8" t="n"/>
      <c r="E585" s="8" t="n"/>
      <c r="F585" s="20" t="n"/>
      <c r="G585" s="8" t="n"/>
    </row>
    <row r="586">
      <c r="B586" s="11" t="n"/>
      <c r="C586" s="8" t="n"/>
      <c r="D586" s="8" t="n"/>
      <c r="E586" s="8" t="n"/>
      <c r="F586" s="20" t="n"/>
      <c r="G586" s="8" t="n"/>
    </row>
    <row r="587">
      <c r="B587" s="11" t="n"/>
      <c r="C587" s="8" t="n"/>
      <c r="D587" s="8" t="n"/>
      <c r="E587" s="8" t="n"/>
      <c r="F587" s="20" t="n"/>
      <c r="G587" s="8" t="n"/>
    </row>
    <row r="588">
      <c r="B588" s="11" t="n"/>
      <c r="C588" s="8" t="n"/>
      <c r="D588" s="8" t="n"/>
      <c r="E588" s="8" t="n"/>
      <c r="F588" s="20" t="n"/>
      <c r="G588" s="8" t="n"/>
    </row>
    <row r="589">
      <c r="B589" s="11" t="n"/>
      <c r="C589" s="8" t="n"/>
      <c r="D589" s="8" t="n"/>
      <c r="E589" s="8" t="n"/>
      <c r="F589" s="20" t="n"/>
      <c r="G589" s="8" t="n"/>
    </row>
    <row r="590">
      <c r="B590" s="11" t="n"/>
      <c r="C590" s="8" t="n"/>
      <c r="D590" s="8" t="n"/>
      <c r="E590" s="8" t="n"/>
      <c r="F590" s="20" t="n"/>
      <c r="G590" s="8" t="n"/>
    </row>
    <row r="591">
      <c r="B591" s="11" t="n"/>
      <c r="C591" s="8" t="n"/>
      <c r="D591" s="8" t="n"/>
      <c r="E591" s="8" t="n"/>
      <c r="F591" s="20" t="n"/>
      <c r="G591" s="8" t="n"/>
    </row>
    <row r="592">
      <c r="B592" s="11" t="n"/>
      <c r="C592" s="8" t="n"/>
      <c r="D592" s="8" t="n"/>
      <c r="E592" s="8" t="n"/>
      <c r="F592" s="20" t="n"/>
      <c r="G592" s="8" t="n"/>
    </row>
    <row r="593">
      <c r="B593" s="11" t="n"/>
      <c r="C593" s="8" t="n"/>
      <c r="D593" s="8" t="n"/>
      <c r="E593" s="8" t="n"/>
      <c r="F593" s="20" t="n"/>
      <c r="G593" s="8" t="n"/>
    </row>
    <row r="594">
      <c r="B594" s="11" t="n"/>
      <c r="C594" s="8" t="n"/>
      <c r="D594" s="8" t="n"/>
      <c r="E594" s="8" t="n"/>
      <c r="F594" s="20" t="n"/>
      <c r="G594" s="8" t="n"/>
    </row>
    <row r="595">
      <c r="B595" s="11" t="n"/>
      <c r="C595" s="8" t="n"/>
      <c r="D595" s="8" t="n"/>
      <c r="E595" s="8" t="n"/>
      <c r="F595" s="20" t="n"/>
      <c r="G595" s="8" t="n"/>
    </row>
    <row r="596">
      <c r="B596" s="11" t="n"/>
      <c r="C596" s="8" t="n"/>
      <c r="D596" s="8" t="n"/>
      <c r="E596" s="8" t="n"/>
      <c r="F596" s="20" t="n"/>
      <c r="G596" s="8" t="n"/>
    </row>
    <row r="597">
      <c r="B597" s="11" t="n"/>
      <c r="C597" s="8" t="n"/>
      <c r="D597" s="8" t="n"/>
      <c r="E597" s="8" t="n"/>
      <c r="F597" s="20" t="n"/>
      <c r="G597" s="8" t="n"/>
    </row>
    <row r="598">
      <c r="B598" s="11" t="n"/>
      <c r="C598" s="8" t="n"/>
      <c r="D598" s="8" t="n"/>
      <c r="E598" s="8" t="n"/>
      <c r="F598" s="20" t="n"/>
      <c r="G598" s="8" t="n"/>
    </row>
    <row r="599">
      <c r="B599" s="11" t="n"/>
      <c r="C599" s="8" t="n"/>
      <c r="D599" s="8" t="n"/>
      <c r="E599" s="8" t="n"/>
      <c r="F599" s="20" t="n"/>
      <c r="G599" s="8" t="n"/>
    </row>
    <row r="600">
      <c r="B600" s="11" t="n"/>
      <c r="C600" s="8" t="n"/>
      <c r="D600" s="8" t="n"/>
      <c r="E600" s="8" t="n"/>
      <c r="F600" s="20" t="n"/>
      <c r="G600" s="8" t="n"/>
    </row>
    <row r="601">
      <c r="B601" s="11" t="n"/>
      <c r="C601" s="8" t="n"/>
      <c r="D601" s="8" t="n"/>
      <c r="E601" s="8" t="n"/>
      <c r="F601" s="20" t="n"/>
      <c r="G601" s="8" t="n"/>
    </row>
    <row r="602">
      <c r="B602" s="11" t="n"/>
      <c r="C602" s="8" t="n"/>
      <c r="D602" s="8" t="n"/>
      <c r="E602" s="8" t="n"/>
      <c r="F602" s="20" t="n"/>
      <c r="G602" s="8" t="n"/>
    </row>
    <row r="603">
      <c r="B603" s="11" t="n"/>
      <c r="C603" s="8" t="n"/>
      <c r="D603" s="8" t="n"/>
      <c r="E603" s="8" t="n"/>
      <c r="F603" s="20" t="n"/>
      <c r="G603" s="8" t="n"/>
    </row>
    <row r="604">
      <c r="B604" s="11" t="n"/>
      <c r="C604" s="8" t="n"/>
      <c r="D604" s="8" t="n"/>
      <c r="E604" s="8" t="n"/>
      <c r="F604" s="20" t="n"/>
      <c r="G604" s="8" t="n"/>
    </row>
    <row r="605">
      <c r="B605" s="11" t="n"/>
      <c r="C605" s="8" t="n"/>
      <c r="D605" s="8" t="n"/>
      <c r="E605" s="8" t="n"/>
      <c r="F605" s="20" t="n"/>
      <c r="G605" s="8" t="n"/>
    </row>
    <row r="606">
      <c r="B606" s="11" t="n"/>
      <c r="C606" s="8" t="n"/>
      <c r="D606" s="8" t="n"/>
      <c r="E606" s="8" t="n"/>
      <c r="F606" s="20" t="n"/>
      <c r="G606" s="8" t="n"/>
    </row>
    <row r="607">
      <c r="B607" s="11" t="n"/>
      <c r="C607" s="8" t="n"/>
      <c r="D607" s="8" t="n"/>
      <c r="E607" s="8" t="n"/>
      <c r="F607" s="20" t="n"/>
      <c r="G607" s="8" t="n"/>
    </row>
    <row r="608">
      <c r="B608" s="11" t="n"/>
      <c r="C608" s="8" t="n"/>
      <c r="D608" s="8" t="n"/>
      <c r="E608" s="8" t="n"/>
      <c r="F608" s="20" t="n"/>
      <c r="G608" s="8" t="n"/>
    </row>
    <row r="609">
      <c r="B609" s="11" t="n"/>
      <c r="C609" s="8" t="n"/>
      <c r="D609" s="8" t="n"/>
      <c r="E609" s="8" t="n"/>
      <c r="F609" s="20" t="n"/>
      <c r="G609" s="8" t="n"/>
    </row>
    <row r="610">
      <c r="B610" s="11" t="n"/>
      <c r="C610" s="8" t="n"/>
      <c r="D610" s="8" t="n"/>
      <c r="E610" s="8" t="n"/>
      <c r="F610" s="20" t="n"/>
      <c r="G610" s="8" t="n"/>
    </row>
    <row r="611">
      <c r="B611" s="11" t="n"/>
      <c r="C611" s="8" t="n"/>
      <c r="D611" s="8" t="n"/>
      <c r="E611" s="8" t="n"/>
      <c r="F611" s="20" t="n"/>
      <c r="G611" s="8" t="n"/>
    </row>
    <row r="612">
      <c r="B612" s="11" t="n"/>
      <c r="C612" s="8" t="n"/>
      <c r="D612" s="8" t="n"/>
      <c r="E612" s="8" t="n"/>
      <c r="F612" s="20" t="n"/>
      <c r="G612" s="8" t="n"/>
    </row>
    <row r="613">
      <c r="B613" s="11" t="n"/>
      <c r="C613" s="8" t="n"/>
      <c r="D613" s="8" t="n"/>
      <c r="E613" s="8" t="n"/>
      <c r="F613" s="20" t="n"/>
      <c r="G613" s="8" t="n"/>
    </row>
    <row r="614">
      <c r="B614" s="11" t="n"/>
      <c r="C614" s="8" t="n"/>
      <c r="D614" s="8" t="n"/>
      <c r="E614" s="8" t="n"/>
      <c r="F614" s="20" t="n"/>
      <c r="G614" s="8" t="n"/>
    </row>
    <row r="615">
      <c r="B615" s="11" t="n"/>
      <c r="C615" s="8" t="n"/>
      <c r="D615" s="8" t="n"/>
      <c r="E615" s="8" t="n"/>
      <c r="F615" s="20" t="n"/>
      <c r="G615" s="8" t="n"/>
    </row>
    <row r="616">
      <c r="B616" s="11" t="n"/>
      <c r="C616" s="8" t="n"/>
      <c r="D616" s="8" t="n"/>
      <c r="E616" s="8" t="n"/>
      <c r="F616" s="20" t="n"/>
      <c r="G616" s="8" t="n"/>
    </row>
    <row r="617">
      <c r="B617" s="11" t="n"/>
      <c r="C617" s="8" t="n"/>
      <c r="D617" s="8" t="n"/>
      <c r="E617" s="8" t="n"/>
      <c r="F617" s="20" t="n"/>
      <c r="G617" s="8" t="n"/>
    </row>
    <row r="618">
      <c r="B618" s="11" t="n"/>
      <c r="C618" s="8" t="n"/>
      <c r="D618" s="8" t="n"/>
      <c r="E618" s="8" t="n"/>
      <c r="F618" s="20" t="n"/>
      <c r="G618" s="8" t="n"/>
    </row>
    <row r="619">
      <c r="B619" s="11" t="n"/>
      <c r="C619" s="8" t="n"/>
      <c r="D619" s="8" t="n"/>
      <c r="E619" s="8" t="n"/>
      <c r="F619" s="20" t="n"/>
      <c r="G619" s="8" t="n"/>
    </row>
    <row r="620">
      <c r="B620" s="11" t="n"/>
      <c r="C620" s="8" t="n"/>
      <c r="D620" s="8" t="n"/>
      <c r="E620" s="8" t="n"/>
      <c r="F620" s="20" t="n"/>
      <c r="G620" s="8" t="n"/>
    </row>
    <row r="621">
      <c r="B621" s="11" t="n"/>
      <c r="C621" s="8" t="n"/>
      <c r="D621" s="8" t="n"/>
      <c r="E621" s="8" t="n"/>
      <c r="F621" s="20" t="n"/>
      <c r="G621" s="8" t="n"/>
    </row>
    <row r="622">
      <c r="B622" s="11" t="n"/>
      <c r="C622" s="8" t="n"/>
      <c r="D622" s="8" t="n"/>
      <c r="E622" s="8" t="n"/>
      <c r="F622" s="20" t="n"/>
      <c r="G622" s="8" t="n"/>
    </row>
    <row r="623">
      <c r="B623" s="11" t="n"/>
      <c r="C623" s="8" t="n"/>
      <c r="D623" s="8" t="n"/>
      <c r="E623" s="8" t="n"/>
      <c r="F623" s="20" t="n"/>
      <c r="G623" s="8" t="n"/>
    </row>
    <row r="624">
      <c r="B624" s="11" t="n"/>
      <c r="C624" s="8" t="n"/>
      <c r="D624" s="8" t="n"/>
      <c r="E624" s="8" t="n"/>
      <c r="F624" s="20" t="n"/>
      <c r="G624" s="8" t="n"/>
    </row>
    <row r="625">
      <c r="B625" s="11" t="n"/>
      <c r="C625" s="8" t="n"/>
      <c r="D625" s="8" t="n"/>
      <c r="E625" s="8" t="n"/>
      <c r="F625" s="20" t="n"/>
      <c r="G625" s="8" t="n"/>
    </row>
    <row r="626">
      <c r="B626" s="11" t="n"/>
      <c r="C626" s="8" t="n"/>
      <c r="D626" s="8" t="n"/>
      <c r="E626" s="8" t="n"/>
      <c r="F626" s="20" t="n"/>
      <c r="G626" s="8" t="n"/>
    </row>
    <row r="627">
      <c r="B627" s="11" t="n"/>
      <c r="C627" s="8" t="n"/>
      <c r="D627" s="8" t="n"/>
      <c r="E627" s="8" t="n"/>
      <c r="F627" s="20" t="n"/>
      <c r="G627" s="8" t="n"/>
    </row>
    <row r="628">
      <c r="B628" s="11" t="n"/>
      <c r="C628" s="8" t="n"/>
      <c r="D628" s="8" t="n"/>
      <c r="E628" s="8" t="n"/>
      <c r="F628" s="20" t="n"/>
      <c r="G628" s="8" t="n"/>
    </row>
    <row r="629">
      <c r="B629" s="11" t="n"/>
      <c r="C629" s="8" t="n"/>
      <c r="D629" s="8" t="n"/>
      <c r="E629" s="8" t="n"/>
      <c r="F629" s="20" t="n"/>
      <c r="G629" s="8" t="n"/>
    </row>
    <row r="630">
      <c r="B630" s="11" t="n"/>
      <c r="C630" s="8" t="n"/>
      <c r="D630" s="8" t="n"/>
      <c r="E630" s="8" t="n"/>
      <c r="F630" s="20" t="n"/>
      <c r="G630" s="8" t="n"/>
    </row>
    <row r="631">
      <c r="B631" s="11" t="n"/>
      <c r="C631" s="8" t="n"/>
      <c r="D631" s="8" t="n"/>
      <c r="E631" s="8" t="n"/>
      <c r="F631" s="20" t="n"/>
      <c r="G631" s="8" t="n"/>
    </row>
    <row r="632">
      <c r="B632" s="11" t="n"/>
      <c r="C632" s="8" t="n"/>
      <c r="D632" s="8" t="n"/>
      <c r="E632" s="8" t="n"/>
      <c r="F632" s="20" t="n"/>
      <c r="G632" s="8" t="n"/>
    </row>
    <row r="633">
      <c r="B633" s="11" t="n"/>
      <c r="C633" s="8" t="n"/>
      <c r="D633" s="8" t="n"/>
      <c r="E633" s="8" t="n"/>
      <c r="F633" s="20" t="n"/>
      <c r="G633" s="8" t="n"/>
    </row>
    <row r="634">
      <c r="B634" s="11" t="n"/>
      <c r="C634" s="8" t="n"/>
      <c r="D634" s="8" t="n"/>
      <c r="E634" s="8" t="n"/>
      <c r="F634" s="20" t="n"/>
      <c r="G634" s="8" t="n"/>
    </row>
    <row r="635">
      <c r="B635" s="11" t="n"/>
      <c r="C635" s="8" t="n"/>
      <c r="D635" s="8" t="n"/>
      <c r="E635" s="8" t="n"/>
      <c r="F635" s="20" t="n"/>
      <c r="G635" s="8" t="n"/>
    </row>
    <row r="636">
      <c r="B636" s="11" t="n"/>
      <c r="C636" s="8" t="n"/>
      <c r="D636" s="8" t="n"/>
      <c r="E636" s="8" t="n"/>
      <c r="F636" s="20" t="n"/>
      <c r="G636" s="8" t="n"/>
    </row>
    <row r="637">
      <c r="B637" s="11" t="n"/>
      <c r="C637" s="8" t="n"/>
      <c r="D637" s="8" t="n"/>
      <c r="E637" s="8" t="n"/>
      <c r="F637" s="20" t="n"/>
      <c r="G637" s="8" t="n"/>
    </row>
    <row r="638">
      <c r="B638" s="11" t="n"/>
      <c r="C638" s="8" t="n"/>
      <c r="D638" s="8" t="n"/>
      <c r="E638" s="8" t="n"/>
      <c r="F638" s="20" t="n"/>
      <c r="G638" s="8" t="n"/>
    </row>
    <row r="639">
      <c r="B639" s="11" t="n"/>
      <c r="C639" s="8" t="n"/>
      <c r="D639" s="8" t="n"/>
      <c r="E639" s="8" t="n"/>
      <c r="F639" s="20" t="n"/>
      <c r="G639" s="8" t="n"/>
    </row>
    <row r="640">
      <c r="B640" s="11" t="n"/>
      <c r="C640" s="8" t="n"/>
      <c r="D640" s="8" t="n"/>
      <c r="E640" s="8" t="n"/>
      <c r="F640" s="20" t="n"/>
      <c r="G640" s="8" t="n"/>
    </row>
    <row r="641">
      <c r="B641" s="11" t="n"/>
      <c r="C641" s="8" t="n"/>
      <c r="D641" s="8" t="n"/>
      <c r="E641" s="8" t="n"/>
      <c r="F641" s="20" t="n"/>
      <c r="G641" s="8" t="n"/>
    </row>
    <row r="642">
      <c r="B642" s="11" t="n"/>
      <c r="C642" s="8" t="n"/>
      <c r="D642" s="8" t="n"/>
      <c r="E642" s="8" t="n"/>
      <c r="F642" s="20" t="n"/>
      <c r="G642" s="8" t="n"/>
    </row>
    <row r="643">
      <c r="B643" s="11" t="n"/>
      <c r="C643" s="8" t="n"/>
      <c r="D643" s="8" t="n"/>
      <c r="E643" s="8" t="n"/>
      <c r="F643" s="20" t="n"/>
      <c r="G643" s="8" t="n"/>
    </row>
    <row r="644">
      <c r="B644" s="11" t="n"/>
      <c r="C644" s="8" t="n"/>
      <c r="D644" s="8" t="n"/>
      <c r="E644" s="8" t="n"/>
      <c r="F644" s="20" t="n"/>
      <c r="G644" s="8" t="n"/>
    </row>
    <row r="645">
      <c r="B645" s="11" t="n"/>
      <c r="C645" s="8" t="n"/>
      <c r="D645" s="8" t="n"/>
      <c r="E645" s="8" t="n"/>
      <c r="F645" s="20" t="n"/>
      <c r="G645" s="8" t="n"/>
    </row>
    <row r="646">
      <c r="B646" s="11" t="n"/>
      <c r="C646" s="8" t="n"/>
      <c r="D646" s="8" t="n"/>
      <c r="E646" s="8" t="n"/>
      <c r="F646" s="20" t="n"/>
      <c r="G646" s="8" t="n"/>
    </row>
    <row r="647">
      <c r="B647" s="11" t="n"/>
      <c r="C647" s="8" t="n"/>
      <c r="D647" s="8" t="n"/>
      <c r="E647" s="8" t="n"/>
      <c r="F647" s="20" t="n"/>
      <c r="G647" s="8" t="n"/>
    </row>
    <row r="648">
      <c r="B648" s="11" t="n"/>
      <c r="C648" s="8" t="n"/>
      <c r="D648" s="8" t="n"/>
      <c r="E648" s="8" t="n"/>
      <c r="F648" s="20" t="n"/>
      <c r="G648" s="8" t="n"/>
    </row>
    <row r="649">
      <c r="B649" s="11" t="n"/>
      <c r="C649" s="8" t="n"/>
      <c r="D649" s="8" t="n"/>
      <c r="E649" s="8" t="n"/>
      <c r="F649" s="20" t="n"/>
      <c r="G649" s="8" t="n"/>
    </row>
    <row r="650">
      <c r="B650" s="11" t="n"/>
      <c r="C650" s="8" t="n"/>
      <c r="D650" s="8" t="n"/>
      <c r="E650" s="8" t="n"/>
      <c r="F650" s="20" t="n"/>
      <c r="G650" s="8" t="n"/>
    </row>
    <row r="651">
      <c r="B651" s="11" t="n"/>
      <c r="C651" s="8" t="n"/>
      <c r="D651" s="8" t="n"/>
      <c r="E651" s="8" t="n"/>
      <c r="F651" s="20" t="n"/>
      <c r="G651" s="8" t="n"/>
    </row>
    <row r="652">
      <c r="B652" s="11" t="n"/>
      <c r="C652" s="8" t="n"/>
      <c r="D652" s="8" t="n"/>
      <c r="E652" s="8" t="n"/>
      <c r="F652" s="20" t="n"/>
      <c r="G652" s="8" t="n"/>
    </row>
    <row r="653">
      <c r="B653" s="11" t="n"/>
      <c r="C653" s="8" t="n"/>
      <c r="D653" s="8" t="n"/>
      <c r="E653" s="8" t="n"/>
      <c r="F653" s="20" t="n"/>
      <c r="G653" s="8" t="n"/>
    </row>
    <row r="654">
      <c r="B654" s="11" t="n"/>
      <c r="C654" s="8" t="n"/>
      <c r="D654" s="8" t="n"/>
      <c r="E654" s="8" t="n"/>
      <c r="F654" s="20" t="n"/>
      <c r="G654" s="8" t="n"/>
    </row>
    <row r="655">
      <c r="B655" s="11" t="n"/>
      <c r="C655" s="8" t="n"/>
      <c r="D655" s="8" t="n"/>
      <c r="E655" s="8" t="n"/>
      <c r="F655" s="20" t="n"/>
      <c r="G655" s="8" t="n"/>
    </row>
    <row r="656">
      <c r="B656" s="11" t="n"/>
      <c r="C656" s="8" t="n"/>
      <c r="D656" s="8" t="n"/>
      <c r="E656" s="8" t="n"/>
      <c r="F656" s="20" t="n"/>
      <c r="G656" s="8" t="n"/>
    </row>
    <row r="657">
      <c r="B657" s="11" t="n"/>
      <c r="C657" s="8" t="n"/>
      <c r="D657" s="8" t="n"/>
      <c r="E657" s="8" t="n"/>
      <c r="F657" s="20" t="n"/>
      <c r="G657" s="8" t="n"/>
    </row>
    <row r="658">
      <c r="B658" s="11" t="n"/>
      <c r="C658" s="8" t="n"/>
      <c r="D658" s="8" t="n"/>
      <c r="E658" s="8" t="n"/>
      <c r="F658" s="20" t="n"/>
      <c r="G658" s="8" t="n"/>
    </row>
    <row r="659">
      <c r="B659" s="11" t="n"/>
      <c r="C659" s="8" t="n"/>
      <c r="D659" s="8" t="n"/>
      <c r="E659" s="8" t="n"/>
      <c r="F659" s="20" t="n"/>
      <c r="G659" s="8" t="n"/>
    </row>
    <row r="660">
      <c r="B660" s="11" t="n"/>
      <c r="C660" s="8" t="n"/>
      <c r="D660" s="8" t="n"/>
      <c r="E660" s="8" t="n"/>
      <c r="F660" s="20" t="n"/>
      <c r="G660" s="8" t="n"/>
    </row>
    <row r="661">
      <c r="B661" s="11" t="n"/>
      <c r="C661" s="8" t="n"/>
      <c r="D661" s="8" t="n"/>
      <c r="E661" s="8" t="n"/>
      <c r="F661" s="20" t="n"/>
      <c r="G661" s="8" t="n"/>
    </row>
    <row r="662">
      <c r="B662" s="11" t="n"/>
      <c r="C662" s="8" t="n"/>
      <c r="D662" s="8" t="n"/>
      <c r="E662" s="8" t="n"/>
      <c r="F662" s="20" t="n"/>
      <c r="G662" s="8" t="n"/>
    </row>
    <row r="663">
      <c r="B663" s="11" t="n"/>
      <c r="C663" s="8" t="n"/>
      <c r="D663" s="8" t="n"/>
      <c r="E663" s="8" t="n"/>
      <c r="F663" s="20" t="n"/>
      <c r="G663" s="8" t="n"/>
    </row>
    <row r="664">
      <c r="B664" s="11" t="n"/>
      <c r="C664" s="8" t="n"/>
      <c r="D664" s="8" t="n"/>
      <c r="E664" s="8" t="n"/>
      <c r="F664" s="20" t="n"/>
      <c r="G664" s="8" t="n"/>
    </row>
    <row r="665">
      <c r="B665" s="11" t="n"/>
      <c r="C665" s="8" t="n"/>
      <c r="D665" s="8" t="n"/>
      <c r="E665" s="8" t="n"/>
      <c r="F665" s="20" t="n"/>
      <c r="G665" s="8" t="n"/>
    </row>
    <row r="666">
      <c r="B666" s="11" t="n"/>
      <c r="C666" s="8" t="n"/>
      <c r="D666" s="8" t="n"/>
      <c r="E666" s="8" t="n"/>
      <c r="F666" s="20" t="n"/>
      <c r="G666" s="8" t="n"/>
    </row>
    <row r="667">
      <c r="B667" s="11" t="n"/>
      <c r="C667" s="8" t="n"/>
      <c r="D667" s="8" t="n"/>
      <c r="E667" s="8" t="n"/>
      <c r="F667" s="20" t="n"/>
      <c r="G667" s="8" t="n"/>
    </row>
    <row r="668">
      <c r="B668" s="11" t="n"/>
      <c r="C668" s="8" t="n"/>
      <c r="D668" s="8" t="n"/>
      <c r="E668" s="8" t="n"/>
      <c r="F668" s="20" t="n"/>
      <c r="G668" s="8" t="n"/>
    </row>
    <row r="669">
      <c r="B669" s="11" t="n"/>
      <c r="C669" s="8" t="n"/>
      <c r="D669" s="8" t="n"/>
      <c r="E669" s="8" t="n"/>
      <c r="F669" s="20" t="n"/>
      <c r="G669" s="8" t="n"/>
    </row>
    <row r="670">
      <c r="B670" s="11" t="n"/>
      <c r="C670" s="8" t="n"/>
      <c r="D670" s="8" t="n"/>
      <c r="E670" s="8" t="n"/>
      <c r="F670" s="20" t="n"/>
      <c r="G670" s="8" t="n"/>
    </row>
    <row r="671">
      <c r="B671" s="11" t="n"/>
      <c r="C671" s="8" t="n"/>
      <c r="D671" s="8" t="n"/>
      <c r="E671" s="8" t="n"/>
      <c r="F671" s="20" t="n"/>
      <c r="G671" s="8" t="n"/>
    </row>
    <row r="672">
      <c r="B672" s="11" t="n"/>
      <c r="C672" s="8" t="n"/>
      <c r="D672" s="8" t="n"/>
      <c r="E672" s="8" t="n"/>
      <c r="F672" s="20" t="n"/>
      <c r="G672" s="8" t="n"/>
    </row>
    <row r="673">
      <c r="B673" s="11" t="n"/>
      <c r="C673" s="8" t="n"/>
      <c r="D673" s="8" t="n"/>
      <c r="E673" s="8" t="n"/>
      <c r="F673" s="20" t="n"/>
      <c r="G673" s="8" t="n"/>
    </row>
    <row r="674">
      <c r="B674" s="11" t="n"/>
      <c r="C674" s="8" t="n"/>
      <c r="D674" s="8" t="n"/>
      <c r="E674" s="8" t="n"/>
      <c r="F674" s="20" t="n"/>
      <c r="G674" s="8" t="n"/>
    </row>
    <row r="675">
      <c r="B675" s="11" t="n"/>
      <c r="C675" s="8" t="n"/>
      <c r="D675" s="8" t="n"/>
      <c r="E675" s="8" t="n"/>
      <c r="F675" s="20" t="n"/>
      <c r="G675" s="8" t="n"/>
    </row>
    <row r="676">
      <c r="B676" s="11" t="n"/>
      <c r="C676" s="8" t="n"/>
      <c r="D676" s="8" t="n"/>
      <c r="E676" s="8" t="n"/>
      <c r="F676" s="20" t="n"/>
      <c r="G676" s="8" t="n"/>
    </row>
    <row r="677">
      <c r="B677" s="11" t="n"/>
      <c r="C677" s="8" t="n"/>
      <c r="D677" s="8" t="n"/>
      <c r="E677" s="8" t="n"/>
      <c r="F677" s="20" t="n"/>
      <c r="G677" s="8" t="n"/>
    </row>
    <row r="678">
      <c r="B678" s="11" t="n"/>
      <c r="C678" s="8" t="n"/>
      <c r="D678" s="8" t="n"/>
      <c r="E678" s="8" t="n"/>
      <c r="F678" s="20" t="n"/>
      <c r="G678" s="8" t="n"/>
    </row>
    <row r="679">
      <c r="B679" s="11" t="n"/>
      <c r="C679" s="8" t="n"/>
      <c r="D679" s="8" t="n"/>
      <c r="E679" s="8" t="n"/>
      <c r="F679" s="20" t="n"/>
      <c r="G679" s="8" t="n"/>
    </row>
    <row r="680">
      <c r="B680" s="11" t="n"/>
      <c r="C680" s="8" t="n"/>
      <c r="D680" s="8" t="n"/>
      <c r="E680" s="8" t="n"/>
      <c r="F680" s="20" t="n"/>
      <c r="G680" s="8" t="n"/>
    </row>
    <row r="681">
      <c r="B681" s="11" t="n"/>
      <c r="C681" s="8" t="n"/>
      <c r="D681" s="8" t="n"/>
      <c r="E681" s="8" t="n"/>
      <c r="F681" s="20" t="n"/>
      <c r="G681" s="8" t="n"/>
    </row>
    <row r="682">
      <c r="B682" s="11" t="n"/>
      <c r="C682" s="8" t="n"/>
      <c r="D682" s="8" t="n"/>
      <c r="E682" s="8" t="n"/>
      <c r="F682" s="20" t="n"/>
      <c r="G682" s="8" t="n"/>
    </row>
    <row r="683">
      <c r="B683" s="11" t="n"/>
      <c r="C683" s="8" t="n"/>
      <c r="D683" s="8" t="n"/>
      <c r="E683" s="8" t="n"/>
      <c r="F683" s="20" t="n"/>
      <c r="G683" s="8" t="n"/>
    </row>
    <row r="684">
      <c r="B684" s="11" t="n"/>
      <c r="C684" s="8" t="n"/>
      <c r="D684" s="8" t="n"/>
      <c r="E684" s="8" t="n"/>
      <c r="F684" s="20" t="n"/>
      <c r="G684" s="8" t="n"/>
    </row>
    <row r="685">
      <c r="B685" s="11" t="n"/>
      <c r="C685" s="8" t="n"/>
      <c r="D685" s="8" t="n"/>
      <c r="E685" s="8" t="n"/>
      <c r="F685" s="20" t="n"/>
      <c r="G685" s="8" t="n"/>
    </row>
    <row r="686">
      <c r="B686" s="11" t="n"/>
      <c r="C686" s="8" t="n"/>
      <c r="D686" s="8" t="n"/>
      <c r="E686" s="8" t="n"/>
      <c r="F686" s="20" t="n"/>
      <c r="G686" s="8" t="n"/>
    </row>
    <row r="687">
      <c r="B687" s="11" t="n"/>
      <c r="C687" s="8" t="n"/>
      <c r="D687" s="8" t="n"/>
      <c r="E687" s="8" t="n"/>
      <c r="F687" s="20" t="n"/>
      <c r="G687" s="8" t="n"/>
    </row>
    <row r="688">
      <c r="B688" s="11" t="n"/>
      <c r="C688" s="8" t="n"/>
      <c r="D688" s="8" t="n"/>
      <c r="E688" s="8" t="n"/>
      <c r="F688" s="20" t="n"/>
      <c r="G688" s="8" t="n"/>
    </row>
    <row r="689">
      <c r="B689" s="11" t="n"/>
      <c r="C689" s="8" t="n"/>
      <c r="D689" s="8" t="n"/>
      <c r="E689" s="8" t="n"/>
      <c r="F689" s="20" t="n"/>
      <c r="G689" s="8" t="n"/>
    </row>
    <row r="690">
      <c r="B690" s="11" t="n"/>
      <c r="C690" s="8" t="n"/>
      <c r="D690" s="8" t="n"/>
      <c r="E690" s="8" t="n"/>
      <c r="F690" s="20" t="n"/>
      <c r="G690" s="8" t="n"/>
    </row>
    <row r="691">
      <c r="B691" s="11" t="n"/>
      <c r="C691" s="8" t="n"/>
      <c r="D691" s="8" t="n"/>
      <c r="E691" s="8" t="n"/>
      <c r="F691" s="20" t="n"/>
      <c r="G691" s="8" t="n"/>
    </row>
    <row r="692">
      <c r="B692" s="11" t="n"/>
      <c r="C692" s="8" t="n"/>
      <c r="D692" s="8" t="n"/>
      <c r="E692" s="8" t="n"/>
      <c r="F692" s="20" t="n"/>
      <c r="G692" s="8" t="n"/>
    </row>
    <row r="693">
      <c r="B693" s="11" t="n"/>
      <c r="C693" s="8" t="n"/>
      <c r="D693" s="8" t="n"/>
      <c r="E693" s="8" t="n"/>
      <c r="F693" s="20" t="n"/>
      <c r="G693" s="8" t="n"/>
    </row>
    <row r="694">
      <c r="B694" s="11" t="n"/>
      <c r="C694" s="8" t="n"/>
      <c r="D694" s="8" t="n"/>
      <c r="E694" s="8" t="n"/>
      <c r="F694" s="20" t="n"/>
      <c r="G694" s="8" t="n"/>
    </row>
    <row r="695">
      <c r="B695" s="11" t="n"/>
      <c r="C695" s="8" t="n"/>
      <c r="D695" s="8" t="n"/>
      <c r="E695" s="8" t="n"/>
      <c r="F695" s="20" t="n"/>
      <c r="G695" s="8" t="n"/>
    </row>
    <row r="696">
      <c r="B696" s="11" t="n"/>
      <c r="C696" s="8" t="n"/>
      <c r="D696" s="8" t="n"/>
      <c r="E696" s="8" t="n"/>
      <c r="F696" s="20" t="n"/>
      <c r="G696" s="8" t="n"/>
    </row>
    <row r="697">
      <c r="B697" s="11" t="n"/>
      <c r="C697" s="8" t="n"/>
      <c r="D697" s="8" t="n"/>
      <c r="E697" s="8" t="n"/>
      <c r="F697" s="20" t="n"/>
      <c r="G697" s="8" t="n"/>
    </row>
    <row r="698">
      <c r="B698" s="11" t="n"/>
      <c r="C698" s="8" t="n"/>
      <c r="D698" s="8" t="n"/>
      <c r="E698" s="8" t="n"/>
      <c r="F698" s="20" t="n"/>
      <c r="G698" s="8" t="n"/>
    </row>
    <row r="699">
      <c r="B699" s="11" t="n"/>
      <c r="C699" s="8" t="n"/>
      <c r="D699" s="8" t="n"/>
      <c r="E699" s="8" t="n"/>
      <c r="F699" s="20" t="n"/>
      <c r="G699" s="8" t="n"/>
    </row>
    <row r="700">
      <c r="B700" s="11" t="n"/>
      <c r="C700" s="8" t="n"/>
      <c r="D700" s="8" t="n"/>
      <c r="E700" s="8" t="n"/>
      <c r="F700" s="20" t="n"/>
      <c r="G700" s="8" t="n"/>
    </row>
    <row r="701">
      <c r="B701" s="11" t="n"/>
      <c r="C701" s="8" t="n"/>
      <c r="D701" s="8" t="n"/>
      <c r="E701" s="8" t="n"/>
      <c r="F701" s="20" t="n"/>
      <c r="G701" s="8" t="n"/>
    </row>
    <row r="702">
      <c r="B702" s="11" t="n"/>
      <c r="C702" s="8" t="n"/>
      <c r="D702" s="8" t="n"/>
      <c r="E702" s="8" t="n"/>
      <c r="F702" s="20" t="n"/>
      <c r="G702" s="8" t="n"/>
    </row>
    <row r="703">
      <c r="B703" s="11" t="n"/>
      <c r="C703" s="8" t="n"/>
      <c r="D703" s="8" t="n"/>
      <c r="E703" s="8" t="n"/>
      <c r="F703" s="20" t="n"/>
      <c r="G703" s="8" t="n"/>
    </row>
    <row r="704">
      <c r="B704" s="11" t="n"/>
      <c r="C704" s="8" t="n"/>
      <c r="D704" s="8" t="n"/>
      <c r="E704" s="8" t="n"/>
      <c r="F704" s="20" t="n"/>
      <c r="G704" s="8" t="n"/>
    </row>
    <row r="705">
      <c r="B705" s="11" t="n"/>
      <c r="C705" s="8" t="n"/>
      <c r="D705" s="8" t="n"/>
      <c r="E705" s="8" t="n"/>
      <c r="F705" s="20" t="n"/>
      <c r="G705" s="8" t="n"/>
    </row>
    <row r="706">
      <c r="B706" s="11" t="n"/>
      <c r="C706" s="8" t="n"/>
      <c r="D706" s="8" t="n"/>
      <c r="E706" s="8" t="n"/>
      <c r="F706" s="20" t="n"/>
      <c r="G706" s="8" t="n"/>
    </row>
    <row r="707">
      <c r="B707" s="11" t="n"/>
      <c r="C707" s="8" t="n"/>
      <c r="D707" s="8" t="n"/>
      <c r="E707" s="8" t="n"/>
      <c r="F707" s="20" t="n"/>
      <c r="G707" s="8" t="n"/>
    </row>
    <row r="708">
      <c r="B708" s="11" t="n"/>
      <c r="C708" s="8" t="n"/>
      <c r="D708" s="8" t="n"/>
      <c r="E708" s="8" t="n"/>
      <c r="F708" s="20" t="n"/>
      <c r="G708" s="8" t="n"/>
    </row>
    <row r="709">
      <c r="B709" s="11" t="n"/>
      <c r="C709" s="8" t="n"/>
      <c r="D709" s="8" t="n"/>
      <c r="E709" s="8" t="n"/>
      <c r="F709" s="20" t="n"/>
      <c r="G709" s="8" t="n"/>
    </row>
    <row r="710">
      <c r="B710" s="11" t="n"/>
      <c r="C710" s="8" t="n"/>
      <c r="D710" s="8" t="n"/>
      <c r="E710" s="8" t="n"/>
      <c r="F710" s="20" t="n"/>
      <c r="G710" s="8" t="n"/>
    </row>
    <row r="711">
      <c r="B711" s="11" t="n"/>
      <c r="C711" s="8" t="n"/>
      <c r="D711" s="8" t="n"/>
      <c r="E711" s="8" t="n"/>
      <c r="F711" s="20" t="n"/>
      <c r="G711" s="8" t="n"/>
    </row>
    <row r="712">
      <c r="B712" s="11" t="n"/>
      <c r="C712" s="8" t="n"/>
      <c r="D712" s="8" t="n"/>
      <c r="E712" s="8" t="n"/>
      <c r="F712" s="20" t="n"/>
      <c r="G712" s="8" t="n"/>
    </row>
    <row r="713">
      <c r="B713" s="11" t="n"/>
      <c r="C713" s="8" t="n"/>
      <c r="D713" s="8" t="n"/>
      <c r="E713" s="8" t="n"/>
      <c r="F713" s="20" t="n"/>
      <c r="G713" s="8" t="n"/>
    </row>
    <row r="714">
      <c r="B714" s="11" t="n"/>
      <c r="C714" s="8" t="n"/>
      <c r="D714" s="8" t="n"/>
      <c r="E714" s="8" t="n"/>
      <c r="F714" s="20" t="n"/>
      <c r="G714" s="8" t="n"/>
    </row>
    <row r="715">
      <c r="B715" s="11" t="n"/>
      <c r="C715" s="8" t="n"/>
      <c r="D715" s="8" t="n"/>
      <c r="E715" s="8" t="n"/>
      <c r="F715" s="20" t="n"/>
      <c r="G715" s="8" t="n"/>
    </row>
    <row r="716">
      <c r="B716" s="11" t="n"/>
      <c r="C716" s="8" t="n"/>
      <c r="D716" s="8" t="n"/>
      <c r="E716" s="8" t="n"/>
      <c r="F716" s="20" t="n"/>
      <c r="G716" s="8" t="n"/>
    </row>
    <row r="717">
      <c r="B717" s="11" t="n"/>
      <c r="C717" s="8" t="n"/>
      <c r="D717" s="8" t="n"/>
      <c r="E717" s="8" t="n"/>
      <c r="F717" s="20" t="n"/>
      <c r="G717" s="8" t="n"/>
    </row>
    <row r="718">
      <c r="B718" s="11" t="n"/>
      <c r="C718" s="8" t="n"/>
      <c r="D718" s="8" t="n"/>
      <c r="E718" s="8" t="n"/>
      <c r="F718" s="20" t="n"/>
      <c r="G718" s="8" t="n"/>
    </row>
    <row r="719">
      <c r="B719" s="11" t="n"/>
      <c r="C719" s="8" t="n"/>
      <c r="D719" s="8" t="n"/>
      <c r="E719" s="8" t="n"/>
      <c r="F719" s="20" t="n"/>
      <c r="G719" s="8" t="n"/>
    </row>
    <row r="720">
      <c r="B720" s="11" t="n"/>
      <c r="C720" s="8" t="n"/>
      <c r="D720" s="8" t="n"/>
      <c r="E720" s="8" t="n"/>
      <c r="F720" s="20" t="n"/>
      <c r="G720" s="8" t="n"/>
    </row>
    <row r="721">
      <c r="B721" s="11" t="n"/>
      <c r="C721" s="8" t="n"/>
      <c r="D721" s="8" t="n"/>
      <c r="E721" s="8" t="n"/>
      <c r="F721" s="20" t="n"/>
      <c r="G721" s="8" t="n"/>
    </row>
    <row r="722">
      <c r="B722" s="11" t="n"/>
      <c r="C722" s="8" t="n"/>
      <c r="D722" s="8" t="n"/>
      <c r="E722" s="8" t="n"/>
      <c r="F722" s="20" t="n"/>
      <c r="G722" s="8" t="n"/>
    </row>
    <row r="723">
      <c r="B723" s="11" t="n"/>
      <c r="C723" s="8" t="n"/>
      <c r="D723" s="8" t="n"/>
      <c r="E723" s="8" t="n"/>
      <c r="F723" s="20" t="n"/>
      <c r="G723" s="8" t="n"/>
    </row>
    <row r="724">
      <c r="B724" s="11" t="n"/>
      <c r="C724" s="8" t="n"/>
      <c r="D724" s="8" t="n"/>
      <c r="E724" s="8" t="n"/>
      <c r="F724" s="20" t="n"/>
      <c r="G724" s="8" t="n"/>
    </row>
    <row r="725">
      <c r="B725" s="11" t="n"/>
      <c r="C725" s="8" t="n"/>
      <c r="D725" s="8" t="n"/>
      <c r="E725" s="8" t="n"/>
      <c r="F725" s="20" t="n"/>
      <c r="G725" s="8" t="n"/>
    </row>
    <row r="726">
      <c r="B726" s="11" t="n"/>
      <c r="C726" s="8" t="n"/>
      <c r="D726" s="8" t="n"/>
      <c r="E726" s="8" t="n"/>
      <c r="F726" s="20" t="n"/>
      <c r="G726" s="8" t="n"/>
    </row>
    <row r="727">
      <c r="B727" s="11" t="n"/>
      <c r="C727" s="8" t="n"/>
      <c r="D727" s="8" t="n"/>
      <c r="E727" s="8" t="n"/>
      <c r="F727" s="20" t="n"/>
      <c r="G727" s="8" t="n"/>
    </row>
    <row r="728">
      <c r="B728" s="11" t="n"/>
      <c r="C728" s="8" t="n"/>
      <c r="D728" s="8" t="n"/>
      <c r="E728" s="8" t="n"/>
      <c r="F728" s="20" t="n"/>
      <c r="G728" s="8" t="n"/>
    </row>
    <row r="729">
      <c r="B729" s="11" t="n"/>
      <c r="C729" s="8" t="n"/>
      <c r="D729" s="8" t="n"/>
      <c r="E729" s="8" t="n"/>
      <c r="F729" s="20" t="n"/>
      <c r="G729" s="8" t="n"/>
    </row>
    <row r="730">
      <c r="B730" s="11" t="n"/>
      <c r="C730" s="8" t="n"/>
      <c r="D730" s="8" t="n"/>
      <c r="E730" s="8" t="n"/>
      <c r="F730" s="20" t="n"/>
      <c r="G730" s="8" t="n"/>
    </row>
    <row r="731">
      <c r="B731" s="11" t="n"/>
      <c r="C731" s="8" t="n"/>
      <c r="D731" s="8" t="n"/>
      <c r="E731" s="8" t="n"/>
      <c r="F731" s="20" t="n"/>
      <c r="G731" s="8" t="n"/>
    </row>
    <row r="732">
      <c r="B732" s="11" t="n"/>
      <c r="C732" s="8" t="n"/>
      <c r="D732" s="8" t="n"/>
      <c r="E732" s="8" t="n"/>
      <c r="F732" s="20" t="n"/>
      <c r="G732" s="8" t="n"/>
    </row>
    <row r="733">
      <c r="B733" s="11" t="n"/>
      <c r="C733" s="8" t="n"/>
      <c r="D733" s="8" t="n"/>
      <c r="E733" s="8" t="n"/>
      <c r="F733" s="20" t="n"/>
      <c r="G733" s="8" t="n"/>
    </row>
    <row r="734">
      <c r="B734" s="11" t="n"/>
      <c r="C734" s="8" t="n"/>
      <c r="D734" s="8" t="n"/>
      <c r="E734" s="8" t="n"/>
      <c r="F734" s="20" t="n"/>
      <c r="G734" s="8" t="n"/>
    </row>
    <row r="735">
      <c r="B735" s="11" t="n"/>
      <c r="C735" s="8" t="n"/>
      <c r="D735" s="8" t="n"/>
      <c r="E735" s="8" t="n"/>
      <c r="F735" s="20" t="n"/>
      <c r="G735" s="8" t="n"/>
    </row>
    <row r="736">
      <c r="B736" s="11" t="n"/>
      <c r="C736" s="8" t="n"/>
      <c r="D736" s="8" t="n"/>
      <c r="E736" s="8" t="n"/>
      <c r="F736" s="20" t="n"/>
      <c r="G736" s="8" t="n"/>
    </row>
    <row r="737">
      <c r="B737" s="11" t="n"/>
      <c r="C737" s="8" t="n"/>
      <c r="D737" s="8" t="n"/>
      <c r="E737" s="8" t="n"/>
      <c r="F737" s="20" t="n"/>
      <c r="G737" s="8" t="n"/>
    </row>
    <row r="738">
      <c r="B738" s="11" t="n"/>
      <c r="C738" s="8" t="n"/>
      <c r="D738" s="8" t="n"/>
      <c r="E738" s="8" t="n"/>
      <c r="F738" s="20" t="n"/>
      <c r="G738" s="8" t="n"/>
    </row>
    <row r="739">
      <c r="B739" s="11" t="n"/>
      <c r="C739" s="8" t="n"/>
      <c r="D739" s="8" t="n"/>
      <c r="E739" s="8" t="n"/>
      <c r="F739" s="20" t="n"/>
      <c r="G739" s="8" t="n"/>
    </row>
    <row r="740">
      <c r="B740" s="11" t="n"/>
      <c r="C740" s="8" t="n"/>
      <c r="D740" s="8" t="n"/>
      <c r="E740" s="8" t="n"/>
      <c r="F740" s="20" t="n"/>
      <c r="G740" s="8" t="n"/>
    </row>
    <row r="741">
      <c r="B741" s="11" t="n"/>
      <c r="C741" s="8" t="n"/>
      <c r="D741" s="8" t="n"/>
      <c r="E741" s="8" t="n"/>
      <c r="F741" s="20" t="n"/>
      <c r="G741" s="8" t="n"/>
    </row>
    <row r="742">
      <c r="B742" s="11" t="n"/>
      <c r="C742" s="8" t="n"/>
      <c r="D742" s="8" t="n"/>
      <c r="E742" s="8" t="n"/>
      <c r="F742" s="20" t="n"/>
      <c r="G742" s="8" t="n"/>
    </row>
    <row r="743">
      <c r="B743" s="11" t="n"/>
      <c r="C743" s="8" t="n"/>
      <c r="D743" s="8" t="n"/>
      <c r="E743" s="8" t="n"/>
      <c r="F743" s="20" t="n"/>
      <c r="G743" s="8" t="n"/>
    </row>
    <row r="744">
      <c r="B744" s="11" t="n"/>
      <c r="C744" s="8" t="n"/>
      <c r="D744" s="8" t="n"/>
      <c r="E744" s="8" t="n"/>
      <c r="F744" s="20" t="n"/>
      <c r="G744" s="8" t="n"/>
    </row>
    <row r="745">
      <c r="B745" s="11" t="n"/>
      <c r="C745" s="8" t="n"/>
      <c r="D745" s="8" t="n"/>
      <c r="E745" s="8" t="n"/>
      <c r="F745" s="20" t="n"/>
      <c r="G745" s="8" t="n"/>
    </row>
    <row r="746">
      <c r="B746" s="11" t="n"/>
      <c r="C746" s="8" t="n"/>
      <c r="D746" s="8" t="n"/>
      <c r="E746" s="8" t="n"/>
      <c r="F746" s="20" t="n"/>
      <c r="G746" s="8" t="n"/>
    </row>
    <row r="747">
      <c r="B747" s="11" t="n"/>
      <c r="C747" s="8" t="n"/>
      <c r="D747" s="8" t="n"/>
      <c r="E747" s="8" t="n"/>
      <c r="F747" s="20" t="n"/>
      <c r="G747" s="8" t="n"/>
    </row>
    <row r="748">
      <c r="B748" s="11" t="n"/>
      <c r="C748" s="8" t="n"/>
      <c r="D748" s="8" t="n"/>
      <c r="E748" s="8" t="n"/>
      <c r="F748" s="20" t="n"/>
      <c r="G748" s="8" t="n"/>
    </row>
    <row r="749">
      <c r="B749" s="11" t="n"/>
      <c r="C749" s="8" t="n"/>
      <c r="D749" s="8" t="n"/>
      <c r="E749" s="8" t="n"/>
      <c r="F749" s="20" t="n"/>
      <c r="G749" s="8" t="n"/>
    </row>
    <row r="750">
      <c r="B750" s="11" t="n"/>
      <c r="C750" s="8" t="n"/>
      <c r="D750" s="8" t="n"/>
      <c r="E750" s="8" t="n"/>
      <c r="F750" s="20" t="n"/>
      <c r="G750" s="8" t="n"/>
    </row>
    <row r="751">
      <c r="B751" s="11" t="n"/>
      <c r="C751" s="8" t="n"/>
      <c r="D751" s="8" t="n"/>
      <c r="E751" s="8" t="n"/>
      <c r="F751" s="20" t="n"/>
      <c r="G751" s="8" t="n"/>
    </row>
    <row r="752">
      <c r="B752" s="11" t="n"/>
      <c r="C752" s="8" t="n"/>
      <c r="D752" s="8" t="n"/>
      <c r="E752" s="8" t="n"/>
      <c r="F752" s="20" t="n"/>
      <c r="G752" s="8" t="n"/>
    </row>
    <row r="753">
      <c r="B753" s="11" t="n"/>
      <c r="C753" s="8" t="n"/>
      <c r="D753" s="8" t="n"/>
      <c r="E753" s="8" t="n"/>
      <c r="F753" s="20" t="n"/>
      <c r="G753" s="8" t="n"/>
    </row>
    <row r="754">
      <c r="B754" s="11" t="n"/>
      <c r="C754" s="8" t="n"/>
      <c r="D754" s="8" t="n"/>
      <c r="E754" s="8" t="n"/>
      <c r="F754" s="20" t="n"/>
      <c r="G754" s="8" t="n"/>
    </row>
    <row r="755">
      <c r="B755" s="11" t="n"/>
      <c r="C755" s="8" t="n"/>
      <c r="D755" s="8" t="n"/>
      <c r="E755" s="8" t="n"/>
      <c r="F755" s="20" t="n"/>
      <c r="G755" s="8" t="n"/>
    </row>
    <row r="756">
      <c r="B756" s="11" t="n"/>
      <c r="C756" s="8" t="n"/>
      <c r="D756" s="8" t="n"/>
      <c r="E756" s="8" t="n"/>
      <c r="F756" s="20" t="n"/>
      <c r="G756" s="8" t="n"/>
    </row>
    <row r="757">
      <c r="B757" s="11" t="n"/>
      <c r="C757" s="8" t="n"/>
      <c r="D757" s="8" t="n"/>
      <c r="E757" s="8" t="n"/>
      <c r="F757" s="20" t="n"/>
      <c r="G757" s="8" t="n"/>
    </row>
    <row r="758">
      <c r="B758" s="11" t="n"/>
      <c r="C758" s="8" t="n"/>
      <c r="D758" s="8" t="n"/>
      <c r="E758" s="8" t="n"/>
      <c r="F758" s="20" t="n"/>
      <c r="G758" s="8" t="n"/>
    </row>
    <row r="759">
      <c r="B759" s="11" t="n"/>
      <c r="C759" s="8" t="n"/>
      <c r="D759" s="8" t="n"/>
      <c r="E759" s="8" t="n"/>
      <c r="F759" s="20" t="n"/>
      <c r="G759" s="8" t="n"/>
    </row>
    <row r="760">
      <c r="B760" s="11" t="n"/>
      <c r="C760" s="8" t="n"/>
      <c r="D760" s="8" t="n"/>
      <c r="E760" s="8" t="n"/>
      <c r="F760" s="20" t="n"/>
      <c r="G760" s="8" t="n"/>
    </row>
    <row r="761">
      <c r="B761" s="11" t="n"/>
      <c r="C761" s="8" t="n"/>
      <c r="D761" s="8" t="n"/>
      <c r="E761" s="8" t="n"/>
      <c r="F761" s="20" t="n"/>
      <c r="G761" s="8" t="n"/>
    </row>
    <row r="762">
      <c r="B762" s="11" t="n"/>
      <c r="C762" s="8" t="n"/>
      <c r="D762" s="8" t="n"/>
      <c r="E762" s="8" t="n"/>
      <c r="F762" s="20" t="n"/>
      <c r="G762" s="8" t="n"/>
    </row>
    <row r="763">
      <c r="B763" s="11" t="n"/>
      <c r="C763" s="8" t="n"/>
      <c r="D763" s="8" t="n"/>
      <c r="E763" s="8" t="n"/>
      <c r="F763" s="20" t="n"/>
      <c r="G763" s="8" t="n"/>
    </row>
    <row r="764">
      <c r="B764" s="11" t="n"/>
      <c r="C764" s="8" t="n"/>
      <c r="D764" s="8" t="n"/>
      <c r="E764" s="8" t="n"/>
      <c r="F764" s="20" t="n"/>
      <c r="G764" s="8" t="n"/>
    </row>
    <row r="765">
      <c r="B765" s="11" t="n"/>
      <c r="C765" s="8" t="n"/>
      <c r="D765" s="8" t="n"/>
      <c r="E765" s="8" t="n"/>
      <c r="F765" s="20" t="n"/>
      <c r="G765" s="8" t="n"/>
    </row>
    <row r="766">
      <c r="B766" s="11" t="n"/>
      <c r="C766" s="8" t="n"/>
      <c r="D766" s="8" t="n"/>
      <c r="E766" s="8" t="n"/>
      <c r="F766" s="20" t="n"/>
      <c r="G766" s="8" t="n"/>
    </row>
    <row r="767">
      <c r="B767" s="11" t="n"/>
      <c r="C767" s="8" t="n"/>
      <c r="D767" s="8" t="n"/>
      <c r="E767" s="8" t="n"/>
      <c r="F767" s="20" t="n"/>
      <c r="G767" s="8" t="n"/>
    </row>
    <row r="768">
      <c r="B768" s="11" t="n"/>
      <c r="C768" s="8" t="n"/>
      <c r="D768" s="8" t="n"/>
      <c r="E768" s="8" t="n"/>
      <c r="F768" s="20" t="n"/>
      <c r="G768" s="8" t="n"/>
    </row>
    <row r="769">
      <c r="B769" s="11" t="n"/>
      <c r="C769" s="8" t="n"/>
      <c r="D769" s="8" t="n"/>
      <c r="E769" s="8" t="n"/>
      <c r="F769" s="20" t="n"/>
      <c r="G769" s="8" t="n"/>
    </row>
    <row r="770">
      <c r="B770" s="11" t="n"/>
      <c r="C770" s="8" t="n"/>
      <c r="D770" s="8" t="n"/>
      <c r="E770" s="8" t="n"/>
      <c r="F770" s="20" t="n"/>
      <c r="G770" s="8" t="n"/>
    </row>
    <row r="771">
      <c r="B771" s="11" t="n"/>
      <c r="C771" s="8" t="n"/>
      <c r="D771" s="8" t="n"/>
      <c r="E771" s="8" t="n"/>
      <c r="F771" s="20" t="n"/>
      <c r="G771" s="8" t="n"/>
    </row>
    <row r="772">
      <c r="B772" s="11" t="n"/>
      <c r="C772" s="8" t="n"/>
      <c r="D772" s="8" t="n"/>
      <c r="E772" s="8" t="n"/>
      <c r="F772" s="20" t="n"/>
      <c r="G772" s="8" t="n"/>
    </row>
    <row r="773">
      <c r="B773" s="11" t="n"/>
      <c r="C773" s="8" t="n"/>
      <c r="D773" s="8" t="n"/>
      <c r="E773" s="8" t="n"/>
      <c r="F773" s="20" t="n"/>
      <c r="G773" s="8" t="n"/>
    </row>
    <row r="774">
      <c r="B774" s="11" t="n"/>
      <c r="C774" s="8" t="n"/>
      <c r="D774" s="8" t="n"/>
      <c r="E774" s="8" t="n"/>
      <c r="F774" s="20" t="n"/>
      <c r="G774" s="8" t="n"/>
    </row>
    <row r="775">
      <c r="B775" s="11" t="n"/>
      <c r="C775" s="8" t="n"/>
      <c r="D775" s="8" t="n"/>
      <c r="E775" s="8" t="n"/>
      <c r="F775" s="20" t="n"/>
      <c r="G775" s="8" t="n"/>
    </row>
    <row r="776">
      <c r="B776" s="11" t="n"/>
      <c r="C776" s="8" t="n"/>
      <c r="D776" s="8" t="n"/>
      <c r="E776" s="8" t="n"/>
      <c r="F776" s="20" t="n"/>
      <c r="G776" s="8" t="n"/>
    </row>
    <row r="777">
      <c r="B777" s="11" t="n"/>
      <c r="C777" s="8" t="n"/>
      <c r="D777" s="8" t="n"/>
      <c r="E777" s="8" t="n"/>
      <c r="F777" s="20" t="n"/>
      <c r="G777" s="8" t="n"/>
    </row>
    <row r="778">
      <c r="B778" s="11" t="n"/>
      <c r="C778" s="8" t="n"/>
      <c r="D778" s="8" t="n"/>
      <c r="E778" s="8" t="n"/>
      <c r="F778" s="20" t="n"/>
      <c r="G778" s="8" t="n"/>
    </row>
    <row r="779">
      <c r="B779" s="11" t="n"/>
      <c r="C779" s="8" t="n"/>
      <c r="D779" s="8" t="n"/>
      <c r="E779" s="8" t="n"/>
      <c r="F779" s="20" t="n"/>
      <c r="G779" s="8" t="n"/>
    </row>
    <row r="780">
      <c r="B780" s="11" t="n"/>
      <c r="C780" s="8" t="n"/>
      <c r="D780" s="8" t="n"/>
      <c r="E780" s="8" t="n"/>
      <c r="F780" s="20" t="n"/>
      <c r="G780" s="8" t="n"/>
    </row>
    <row r="781">
      <c r="B781" s="11" t="n"/>
      <c r="C781" s="8" t="n"/>
      <c r="D781" s="8" t="n"/>
      <c r="E781" s="8" t="n"/>
      <c r="F781" s="20" t="n"/>
      <c r="G781" s="8" t="n"/>
    </row>
    <row r="782">
      <c r="B782" s="11" t="n"/>
      <c r="C782" s="8" t="n"/>
      <c r="D782" s="8" t="n"/>
      <c r="E782" s="8" t="n"/>
      <c r="F782" s="20" t="n"/>
      <c r="G782" s="8" t="n"/>
    </row>
    <row r="783">
      <c r="B783" s="11" t="n"/>
      <c r="C783" s="8" t="n"/>
      <c r="D783" s="8" t="n"/>
      <c r="E783" s="8" t="n"/>
      <c r="F783" s="20" t="n"/>
      <c r="G783" s="8" t="n"/>
    </row>
    <row r="784">
      <c r="B784" s="11" t="n"/>
      <c r="C784" s="8" t="n"/>
      <c r="D784" s="8" t="n"/>
      <c r="E784" s="8" t="n"/>
      <c r="F784" s="20" t="n"/>
      <c r="G784" s="8" t="n"/>
    </row>
    <row r="785">
      <c r="B785" s="11" t="n"/>
      <c r="C785" s="8" t="n"/>
      <c r="D785" s="8" t="n"/>
      <c r="E785" s="8" t="n"/>
      <c r="F785" s="20" t="n"/>
      <c r="G785" s="8" t="n"/>
    </row>
    <row r="786">
      <c r="B786" s="11" t="n"/>
      <c r="C786" s="8" t="n"/>
      <c r="D786" s="8" t="n"/>
      <c r="E786" s="8" t="n"/>
      <c r="F786" s="20" t="n"/>
      <c r="G786" s="8" t="n"/>
    </row>
    <row r="787">
      <c r="B787" s="11" t="n"/>
      <c r="C787" s="8" t="n"/>
      <c r="D787" s="8" t="n"/>
      <c r="E787" s="8" t="n"/>
      <c r="F787" s="20" t="n"/>
      <c r="G787" s="8" t="n"/>
    </row>
    <row r="788">
      <c r="B788" s="11" t="n"/>
      <c r="C788" s="8" t="n"/>
      <c r="D788" s="8" t="n"/>
      <c r="E788" s="8" t="n"/>
      <c r="F788" s="20" t="n"/>
      <c r="G788" s="8" t="n"/>
    </row>
    <row r="789">
      <c r="B789" s="11" t="n"/>
      <c r="C789" s="8" t="n"/>
      <c r="D789" s="8" t="n"/>
      <c r="E789" s="8" t="n"/>
      <c r="F789" s="20" t="n"/>
      <c r="G789" s="8" t="n"/>
    </row>
    <row r="790">
      <c r="B790" s="11" t="n"/>
      <c r="C790" s="8" t="n"/>
      <c r="D790" s="8" t="n"/>
      <c r="E790" s="8" t="n"/>
      <c r="F790" s="20" t="n"/>
      <c r="G790" s="8" t="n"/>
    </row>
    <row r="791">
      <c r="B791" s="11" t="n"/>
      <c r="C791" s="8" t="n"/>
      <c r="D791" s="8" t="n"/>
      <c r="E791" s="8" t="n"/>
      <c r="F791" s="20" t="n"/>
      <c r="G791" s="8" t="n"/>
    </row>
    <row r="792">
      <c r="B792" s="11" t="n"/>
      <c r="C792" s="8" t="n"/>
      <c r="D792" s="8" t="n"/>
      <c r="E792" s="8" t="n"/>
      <c r="F792" s="20" t="n"/>
      <c r="G792" s="8" t="n"/>
    </row>
    <row r="793">
      <c r="B793" s="11" t="n"/>
      <c r="C793" s="8" t="n"/>
      <c r="D793" s="8" t="n"/>
      <c r="E793" s="8" t="n"/>
      <c r="F793" s="20" t="n"/>
      <c r="G793" s="8" t="n"/>
    </row>
    <row r="794">
      <c r="B794" s="11" t="n"/>
      <c r="C794" s="8" t="n"/>
      <c r="D794" s="8" t="n"/>
      <c r="E794" s="8" t="n"/>
      <c r="F794" s="20" t="n"/>
      <c r="G794" s="8" t="n"/>
    </row>
    <row r="795">
      <c r="B795" s="11" t="n"/>
      <c r="C795" s="8" t="n"/>
      <c r="D795" s="8" t="n"/>
      <c r="E795" s="8" t="n"/>
      <c r="F795" s="20" t="n"/>
      <c r="G795" s="8" t="n"/>
    </row>
    <row r="796">
      <c r="B796" s="11" t="n"/>
      <c r="C796" s="8" t="n"/>
      <c r="D796" s="8" t="n"/>
      <c r="E796" s="8" t="n"/>
      <c r="F796" s="20" t="n"/>
      <c r="G796" s="8" t="n"/>
    </row>
    <row r="797">
      <c r="B797" s="11" t="n"/>
      <c r="C797" s="8" t="n"/>
      <c r="D797" s="8" t="n"/>
      <c r="E797" s="8" t="n"/>
      <c r="F797" s="20" t="n"/>
      <c r="G797" s="8" t="n"/>
    </row>
    <row r="798">
      <c r="B798" s="11" t="n"/>
      <c r="C798" s="8" t="n"/>
      <c r="D798" s="8" t="n"/>
      <c r="E798" s="8" t="n"/>
      <c r="F798" s="20" t="n"/>
      <c r="G798" s="8" t="n"/>
    </row>
    <row r="799">
      <c r="B799" s="11" t="n"/>
      <c r="C799" s="8" t="n"/>
      <c r="D799" s="8" t="n"/>
      <c r="E799" s="8" t="n"/>
      <c r="F799" s="20" t="n"/>
      <c r="G799" s="8" t="n"/>
    </row>
    <row r="800">
      <c r="B800" s="11" t="n"/>
      <c r="C800" s="8" t="n"/>
      <c r="D800" s="8" t="n"/>
      <c r="E800" s="8" t="n"/>
      <c r="F800" s="20" t="n"/>
      <c r="G800" s="8" t="n"/>
    </row>
    <row r="801">
      <c r="B801" s="11" t="n"/>
      <c r="C801" s="8" t="n"/>
      <c r="D801" s="8" t="n"/>
      <c r="E801" s="8" t="n"/>
      <c r="F801" s="20" t="n"/>
      <c r="G801" s="8" t="n"/>
    </row>
    <row r="802">
      <c r="B802" s="11" t="n"/>
      <c r="C802" s="8" t="n"/>
      <c r="D802" s="8" t="n"/>
      <c r="E802" s="8" t="n"/>
      <c r="F802" s="20" t="n"/>
      <c r="G802" s="8" t="n"/>
    </row>
    <row r="803">
      <c r="B803" s="11" t="n"/>
      <c r="C803" s="8" t="n"/>
      <c r="D803" s="8" t="n"/>
      <c r="E803" s="8" t="n"/>
      <c r="F803" s="20" t="n"/>
      <c r="G803" s="8" t="n"/>
    </row>
    <row r="804">
      <c r="B804" s="11" t="n"/>
      <c r="C804" s="8" t="n"/>
      <c r="D804" s="8" t="n"/>
      <c r="E804" s="8" t="n"/>
      <c r="F804" s="20" t="n"/>
      <c r="G804" s="8" t="n"/>
    </row>
    <row r="805">
      <c r="B805" s="11" t="n"/>
      <c r="C805" s="8" t="n"/>
      <c r="D805" s="8" t="n"/>
      <c r="E805" s="8" t="n"/>
      <c r="F805" s="20" t="n"/>
      <c r="G805" s="8" t="n"/>
    </row>
    <row r="806">
      <c r="B806" s="11" t="n"/>
      <c r="C806" s="8" t="n"/>
      <c r="D806" s="8" t="n"/>
      <c r="E806" s="8" t="n"/>
      <c r="F806" s="20" t="n"/>
      <c r="G806" s="8" t="n"/>
    </row>
    <row r="807">
      <c r="B807" s="11" t="n"/>
      <c r="C807" s="8" t="n"/>
      <c r="D807" s="8" t="n"/>
      <c r="E807" s="8" t="n"/>
      <c r="F807" s="20" t="n"/>
      <c r="G807" s="8" t="n"/>
    </row>
    <row r="808">
      <c r="B808" s="11" t="n"/>
      <c r="C808" s="8" t="n"/>
      <c r="D808" s="8" t="n"/>
      <c r="E808" s="8" t="n"/>
      <c r="F808" s="20" t="n"/>
      <c r="G808" s="8" t="n"/>
    </row>
    <row r="809">
      <c r="B809" s="11" t="n"/>
      <c r="C809" s="8" t="n"/>
      <c r="D809" s="8" t="n"/>
      <c r="E809" s="8" t="n"/>
      <c r="F809" s="20" t="n"/>
      <c r="G809" s="8" t="n"/>
    </row>
    <row r="810">
      <c r="B810" s="11" t="n"/>
      <c r="C810" s="8" t="n"/>
      <c r="D810" s="8" t="n"/>
      <c r="E810" s="8" t="n"/>
      <c r="F810" s="20" t="n"/>
      <c r="G810" s="8" t="n"/>
    </row>
    <row r="811">
      <c r="B811" s="11" t="n"/>
      <c r="C811" s="8" t="n"/>
      <c r="D811" s="8" t="n"/>
      <c r="E811" s="8" t="n"/>
      <c r="F811" s="20" t="n"/>
      <c r="G811" s="8" t="n"/>
    </row>
    <row r="812">
      <c r="B812" s="11" t="n"/>
      <c r="C812" s="8" t="n"/>
      <c r="D812" s="8" t="n"/>
      <c r="E812" s="8" t="n"/>
      <c r="F812" s="20" t="n"/>
      <c r="G812" s="8" t="n"/>
    </row>
    <row r="813">
      <c r="B813" s="11" t="n"/>
      <c r="C813" s="8" t="n"/>
      <c r="D813" s="8" t="n"/>
      <c r="E813" s="8" t="n"/>
      <c r="F813" s="20" t="n"/>
      <c r="G813" s="8" t="n"/>
    </row>
    <row r="814">
      <c r="B814" s="11" t="n"/>
      <c r="C814" s="8" t="n"/>
      <c r="D814" s="8" t="n"/>
      <c r="E814" s="8" t="n"/>
      <c r="F814" s="20" t="n"/>
      <c r="G814" s="8" t="n"/>
    </row>
    <row r="815">
      <c r="B815" s="11" t="n"/>
      <c r="C815" s="8" t="n"/>
      <c r="D815" s="8" t="n"/>
      <c r="E815" s="8" t="n"/>
      <c r="F815" s="20" t="n"/>
      <c r="G815" s="8" t="n"/>
    </row>
    <row r="816">
      <c r="B816" s="11" t="n"/>
      <c r="C816" s="8" t="n"/>
      <c r="D816" s="8" t="n"/>
      <c r="E816" s="8" t="n"/>
      <c r="F816" s="20" t="n"/>
      <c r="G816" s="8" t="n"/>
    </row>
    <row r="817">
      <c r="B817" s="11" t="n"/>
      <c r="C817" s="8" t="n"/>
      <c r="D817" s="8" t="n"/>
      <c r="E817" s="8" t="n"/>
      <c r="F817" s="20" t="n"/>
      <c r="G817" s="8" t="n"/>
    </row>
    <row r="818">
      <c r="B818" s="11" t="n"/>
      <c r="C818" s="8" t="n"/>
      <c r="D818" s="8" t="n"/>
      <c r="E818" s="8" t="n"/>
      <c r="F818" s="20" t="n"/>
      <c r="G818" s="8" t="n"/>
    </row>
    <row r="819">
      <c r="B819" s="11" t="n"/>
      <c r="C819" s="8" t="n"/>
      <c r="D819" s="8" t="n"/>
      <c r="E819" s="8" t="n"/>
      <c r="F819" s="20" t="n"/>
      <c r="G819" s="8" t="n"/>
    </row>
    <row r="820">
      <c r="B820" s="11" t="n"/>
      <c r="C820" s="8" t="n"/>
      <c r="D820" s="8" t="n"/>
      <c r="E820" s="8" t="n"/>
      <c r="F820" s="20" t="n"/>
      <c r="G820" s="8" t="n"/>
    </row>
    <row r="821">
      <c r="B821" s="11" t="n"/>
      <c r="C821" s="8" t="n"/>
      <c r="D821" s="8" t="n"/>
      <c r="E821" s="8" t="n"/>
      <c r="F821" s="20" t="n"/>
      <c r="G821" s="8" t="n"/>
    </row>
    <row r="822">
      <c r="B822" s="11" t="n"/>
      <c r="C822" s="8" t="n"/>
      <c r="D822" s="8" t="n"/>
      <c r="E822" s="8" t="n"/>
      <c r="F822" s="20" t="n"/>
      <c r="G822" s="8" t="n"/>
    </row>
    <row r="823">
      <c r="B823" s="11" t="n"/>
      <c r="C823" s="8" t="n"/>
      <c r="D823" s="8" t="n"/>
      <c r="E823" s="8" t="n"/>
      <c r="F823" s="20" t="n"/>
      <c r="G823" s="8" t="n"/>
    </row>
    <row r="824">
      <c r="B824" s="11" t="n"/>
      <c r="C824" s="8" t="n"/>
      <c r="D824" s="8" t="n"/>
      <c r="E824" s="8" t="n"/>
      <c r="F824" s="20" t="n"/>
      <c r="G824" s="8" t="n"/>
    </row>
    <row r="825">
      <c r="B825" s="11" t="n"/>
      <c r="C825" s="8" t="n"/>
      <c r="D825" s="8" t="n"/>
      <c r="E825" s="8" t="n"/>
      <c r="F825" s="20" t="n"/>
      <c r="G825" s="8" t="n"/>
    </row>
    <row r="826">
      <c r="B826" s="11" t="n"/>
      <c r="C826" s="8" t="n"/>
      <c r="D826" s="8" t="n"/>
      <c r="E826" s="8" t="n"/>
      <c r="F826" s="20" t="n"/>
      <c r="G826" s="8" t="n"/>
    </row>
    <row r="827">
      <c r="B827" s="11" t="n"/>
      <c r="C827" s="8" t="n"/>
      <c r="D827" s="8" t="n"/>
      <c r="E827" s="8" t="n"/>
      <c r="F827" s="20" t="n"/>
      <c r="G827" s="8" t="n"/>
    </row>
    <row r="828">
      <c r="B828" s="11" t="n"/>
      <c r="C828" s="8" t="n"/>
      <c r="D828" s="8" t="n"/>
      <c r="E828" s="8" t="n"/>
      <c r="F828" s="20" t="n"/>
      <c r="G828" s="8" t="n"/>
    </row>
    <row r="829">
      <c r="B829" s="11" t="n"/>
      <c r="C829" s="8" t="n"/>
      <c r="D829" s="8" t="n"/>
      <c r="E829" s="8" t="n"/>
      <c r="F829" s="20" t="n"/>
      <c r="G829" s="8" t="n"/>
    </row>
    <row r="830">
      <c r="B830" s="11" t="n"/>
      <c r="C830" s="8" t="n"/>
      <c r="D830" s="8" t="n"/>
      <c r="E830" s="8" t="n"/>
      <c r="F830" s="20" t="n"/>
      <c r="G830" s="8" t="n"/>
    </row>
    <row r="831">
      <c r="B831" s="11" t="n"/>
      <c r="C831" s="8" t="n"/>
      <c r="D831" s="8" t="n"/>
      <c r="E831" s="8" t="n"/>
      <c r="F831" s="20" t="n"/>
      <c r="G831" s="8" t="n"/>
    </row>
    <row r="832">
      <c r="B832" s="11" t="n"/>
      <c r="C832" s="8" t="n"/>
      <c r="D832" s="8" t="n"/>
      <c r="E832" s="8" t="n"/>
      <c r="F832" s="20" t="n"/>
      <c r="G832" s="8" t="n"/>
    </row>
    <row r="833">
      <c r="B833" s="11" t="n"/>
      <c r="C833" s="8" t="n"/>
      <c r="D833" s="8" t="n"/>
      <c r="E833" s="8" t="n"/>
      <c r="F833" s="20" t="n"/>
      <c r="G833" s="8" t="n"/>
    </row>
    <row r="834">
      <c r="B834" s="11" t="n"/>
      <c r="C834" s="8" t="n"/>
      <c r="D834" s="8" t="n"/>
      <c r="E834" s="8" t="n"/>
      <c r="F834" s="20" t="n"/>
      <c r="G834" s="8" t="n"/>
    </row>
    <row r="835">
      <c r="B835" s="11" t="n"/>
      <c r="C835" s="8" t="n"/>
      <c r="D835" s="8" t="n"/>
      <c r="E835" s="8" t="n"/>
      <c r="F835" s="20" t="n"/>
      <c r="G835" s="8" t="n"/>
    </row>
    <row r="836">
      <c r="B836" s="11" t="n"/>
      <c r="C836" s="8" t="n"/>
      <c r="D836" s="8" t="n"/>
      <c r="E836" s="8" t="n"/>
      <c r="F836" s="20" t="n"/>
      <c r="G836" s="8" t="n"/>
    </row>
    <row r="837">
      <c r="B837" s="11" t="n"/>
      <c r="C837" s="8" t="n"/>
      <c r="D837" s="8" t="n"/>
      <c r="E837" s="8" t="n"/>
      <c r="F837" s="20" t="n"/>
      <c r="G837" s="8" t="n"/>
    </row>
    <row r="838">
      <c r="B838" s="11" t="n"/>
      <c r="C838" s="8" t="n"/>
      <c r="D838" s="8" t="n"/>
      <c r="E838" s="8" t="n"/>
      <c r="F838" s="20" t="n"/>
      <c r="G838" s="8" t="n"/>
    </row>
    <row r="839">
      <c r="B839" s="11" t="n"/>
      <c r="C839" s="8" t="n"/>
      <c r="D839" s="8" t="n"/>
      <c r="E839" s="8" t="n"/>
      <c r="F839" s="20" t="n"/>
      <c r="G839" s="8" t="n"/>
    </row>
    <row r="840">
      <c r="B840" s="11" t="n"/>
      <c r="C840" s="8" t="n"/>
      <c r="D840" s="8" t="n"/>
      <c r="E840" s="8" t="n"/>
      <c r="F840" s="20" t="n"/>
      <c r="G840" s="8" t="n"/>
    </row>
    <row r="841">
      <c r="B841" s="11" t="n"/>
      <c r="C841" s="8" t="n"/>
      <c r="D841" s="8" t="n"/>
      <c r="E841" s="8" t="n"/>
      <c r="F841" s="20" t="n"/>
      <c r="G841" s="8" t="n"/>
    </row>
    <row r="842">
      <c r="B842" s="11" t="n"/>
      <c r="C842" s="8" t="n"/>
      <c r="D842" s="8" t="n"/>
      <c r="E842" s="8" t="n"/>
      <c r="F842" s="20" t="n"/>
      <c r="G842" s="8" t="n"/>
    </row>
    <row r="843">
      <c r="B843" s="11" t="n"/>
      <c r="C843" s="8" t="n"/>
      <c r="D843" s="8" t="n"/>
      <c r="E843" s="8" t="n"/>
      <c r="F843" s="20" t="n"/>
      <c r="G843" s="8" t="n"/>
    </row>
    <row r="844">
      <c r="B844" s="11" t="n"/>
      <c r="C844" s="8" t="n"/>
      <c r="D844" s="8" t="n"/>
      <c r="E844" s="8" t="n"/>
      <c r="F844" s="20" t="n"/>
      <c r="G844" s="8" t="n"/>
    </row>
    <row r="845">
      <c r="B845" s="11" t="n"/>
      <c r="C845" s="8" t="n"/>
      <c r="D845" s="8" t="n"/>
      <c r="E845" s="8" t="n"/>
      <c r="F845" s="20" t="n"/>
      <c r="G845" s="8" t="n"/>
    </row>
    <row r="846">
      <c r="B846" s="11" t="n"/>
      <c r="C846" s="8" t="n"/>
      <c r="D846" s="8" t="n"/>
      <c r="E846" s="8" t="n"/>
      <c r="F846" s="20" t="n"/>
      <c r="G846" s="8" t="n"/>
    </row>
    <row r="847">
      <c r="B847" s="11" t="n"/>
      <c r="C847" s="8" t="n"/>
      <c r="D847" s="8" t="n"/>
      <c r="E847" s="8" t="n"/>
      <c r="F847" s="20" t="n"/>
      <c r="G847" s="8" t="n"/>
    </row>
    <row r="848">
      <c r="B848" s="11" t="n"/>
      <c r="C848" s="8" t="n"/>
      <c r="D848" s="8" t="n"/>
      <c r="E848" s="8" t="n"/>
      <c r="F848" s="20" t="n"/>
      <c r="G848" s="8" t="n"/>
    </row>
    <row r="849">
      <c r="B849" s="11" t="n"/>
      <c r="C849" s="8" t="n"/>
      <c r="D849" s="8" t="n"/>
      <c r="E849" s="8" t="n"/>
      <c r="F849" s="20" t="n"/>
      <c r="G849" s="8" t="n"/>
    </row>
    <row r="850">
      <c r="B850" s="11" t="n"/>
      <c r="C850" s="8" t="n"/>
      <c r="D850" s="8" t="n"/>
      <c r="E850" s="8" t="n"/>
      <c r="F850" s="20" t="n"/>
      <c r="G850" s="8" t="n"/>
    </row>
    <row r="851">
      <c r="B851" s="11" t="n"/>
      <c r="C851" s="8" t="n"/>
      <c r="D851" s="8" t="n"/>
      <c r="E851" s="8" t="n"/>
      <c r="F851" s="20" t="n"/>
      <c r="G851" s="8" t="n"/>
    </row>
    <row r="852">
      <c r="B852" s="11" t="n"/>
      <c r="C852" s="8" t="n"/>
      <c r="D852" s="8" t="n"/>
      <c r="E852" s="8" t="n"/>
      <c r="F852" s="20" t="n"/>
      <c r="G852" s="8" t="n"/>
    </row>
    <row r="853">
      <c r="B853" s="11" t="n"/>
      <c r="C853" s="8" t="n"/>
      <c r="D853" s="8" t="n"/>
      <c r="E853" s="8" t="n"/>
      <c r="F853" s="20" t="n"/>
      <c r="G853" s="8" t="n"/>
    </row>
    <row r="854">
      <c r="B854" s="11" t="n"/>
      <c r="C854" s="8" t="n"/>
      <c r="D854" s="8" t="n"/>
      <c r="E854" s="8" t="n"/>
      <c r="F854" s="20" t="n"/>
      <c r="G854" s="8" t="n"/>
    </row>
    <row r="855">
      <c r="B855" s="11" t="n"/>
      <c r="C855" s="8" t="n"/>
      <c r="D855" s="8" t="n"/>
      <c r="E855" s="8" t="n"/>
      <c r="F855" s="20" t="n"/>
      <c r="G855" s="8" t="n"/>
    </row>
    <row r="856">
      <c r="B856" s="11" t="n"/>
      <c r="C856" s="8" t="n"/>
      <c r="D856" s="8" t="n"/>
      <c r="E856" s="8" t="n"/>
      <c r="F856" s="20" t="n"/>
      <c r="G856" s="8" t="n"/>
    </row>
    <row r="857">
      <c r="B857" s="11" t="n"/>
      <c r="C857" s="8" t="n"/>
      <c r="D857" s="8" t="n"/>
      <c r="E857" s="8" t="n"/>
      <c r="F857" s="20" t="n"/>
      <c r="G857" s="8" t="n"/>
    </row>
    <row r="858">
      <c r="B858" s="11" t="n"/>
      <c r="C858" s="8" t="n"/>
      <c r="D858" s="8" t="n"/>
      <c r="E858" s="8" t="n"/>
      <c r="F858" s="20" t="n"/>
      <c r="G858" s="8" t="n"/>
    </row>
    <row r="859">
      <c r="B859" s="11" t="n"/>
      <c r="C859" s="8" t="n"/>
      <c r="D859" s="8" t="n"/>
      <c r="E859" s="8" t="n"/>
      <c r="F859" s="20" t="n"/>
      <c r="G859" s="8" t="n"/>
    </row>
    <row r="860">
      <c r="B860" s="11" t="n"/>
      <c r="C860" s="8" t="n"/>
      <c r="D860" s="8" t="n"/>
      <c r="E860" s="8" t="n"/>
      <c r="F860" s="20" t="n"/>
      <c r="G860" s="8" t="n"/>
    </row>
    <row r="861">
      <c r="B861" s="11" t="n"/>
      <c r="C861" s="8" t="n"/>
      <c r="D861" s="8" t="n"/>
      <c r="E861" s="8" t="n"/>
      <c r="F861" s="20" t="n"/>
      <c r="G861" s="8" t="n"/>
    </row>
    <row r="862">
      <c r="B862" s="11" t="n"/>
      <c r="C862" s="8" t="n"/>
      <c r="D862" s="8" t="n"/>
      <c r="E862" s="8" t="n"/>
      <c r="F862" s="20" t="n"/>
      <c r="G862" s="8" t="n"/>
    </row>
    <row r="863">
      <c r="B863" s="11" t="n"/>
      <c r="C863" s="8" t="n"/>
      <c r="D863" s="8" t="n"/>
      <c r="E863" s="8" t="n"/>
      <c r="F863" s="20" t="n"/>
      <c r="G863" s="8" t="n"/>
    </row>
    <row r="864">
      <c r="B864" s="11" t="n"/>
      <c r="C864" s="8" t="n"/>
      <c r="D864" s="8" t="n"/>
      <c r="E864" s="8" t="n"/>
      <c r="F864" s="20" t="n"/>
      <c r="G864" s="8" t="n"/>
    </row>
    <row r="865">
      <c r="B865" s="11" t="n"/>
      <c r="C865" s="8" t="n"/>
      <c r="D865" s="8" t="n"/>
      <c r="E865" s="8" t="n"/>
      <c r="F865" s="20" t="n"/>
      <c r="G865" s="8" t="n"/>
    </row>
    <row r="866">
      <c r="B866" s="11" t="n"/>
      <c r="C866" s="8" t="n"/>
      <c r="D866" s="8" t="n"/>
      <c r="E866" s="8" t="n"/>
      <c r="F866" s="20" t="n"/>
      <c r="G866" s="8" t="n"/>
    </row>
    <row r="867">
      <c r="B867" s="11" t="n"/>
      <c r="C867" s="8" t="n"/>
      <c r="D867" s="8" t="n"/>
      <c r="E867" s="8" t="n"/>
      <c r="F867" s="20" t="n"/>
      <c r="G867" s="8" t="n"/>
    </row>
    <row r="868">
      <c r="B868" s="11" t="n"/>
      <c r="C868" s="8" t="n"/>
      <c r="D868" s="8" t="n"/>
      <c r="E868" s="8" t="n"/>
      <c r="F868" s="20" t="n"/>
      <c r="G868" s="8" t="n"/>
    </row>
    <row r="869">
      <c r="B869" s="11" t="n"/>
      <c r="C869" s="8" t="n"/>
      <c r="D869" s="8" t="n"/>
      <c r="E869" s="8" t="n"/>
      <c r="F869" s="20" t="n"/>
      <c r="G869" s="8" t="n"/>
    </row>
    <row r="870">
      <c r="B870" s="11" t="n"/>
      <c r="C870" s="8" t="n"/>
      <c r="D870" s="8" t="n"/>
      <c r="E870" s="8" t="n"/>
      <c r="F870" s="20" t="n"/>
      <c r="G870" s="8" t="n"/>
    </row>
    <row r="871">
      <c r="B871" s="11" t="n"/>
      <c r="C871" s="8" t="n"/>
      <c r="D871" s="8" t="n"/>
      <c r="E871" s="8" t="n"/>
      <c r="F871" s="20" t="n"/>
      <c r="G871" s="8" t="n"/>
    </row>
    <row r="872">
      <c r="B872" s="11" t="n"/>
      <c r="C872" s="8" t="n"/>
      <c r="D872" s="8" t="n"/>
      <c r="E872" s="8" t="n"/>
      <c r="F872" s="20" t="n"/>
      <c r="G872" s="8" t="n"/>
    </row>
    <row r="873">
      <c r="B873" s="11" t="n"/>
      <c r="C873" s="8" t="n"/>
      <c r="D873" s="8" t="n"/>
      <c r="E873" s="8" t="n"/>
      <c r="F873" s="20" t="n"/>
      <c r="G873" s="8" t="n"/>
    </row>
    <row r="874">
      <c r="B874" s="11" t="n"/>
      <c r="C874" s="8" t="n"/>
      <c r="D874" s="8" t="n"/>
      <c r="E874" s="8" t="n"/>
      <c r="F874" s="20" t="n"/>
      <c r="G874" s="8" t="n"/>
    </row>
    <row r="875">
      <c r="B875" s="11" t="n"/>
      <c r="C875" s="8" t="n"/>
      <c r="D875" s="8" t="n"/>
      <c r="E875" s="8" t="n"/>
      <c r="F875" s="20" t="n"/>
      <c r="G875" s="8" t="n"/>
    </row>
    <row r="876">
      <c r="B876" s="11" t="n"/>
      <c r="C876" s="8" t="n"/>
      <c r="D876" s="8" t="n"/>
      <c r="E876" s="8" t="n"/>
      <c r="F876" s="20" t="n"/>
      <c r="G876" s="8" t="n"/>
    </row>
    <row r="877">
      <c r="B877" s="11" t="n"/>
      <c r="C877" s="8" t="n"/>
      <c r="D877" s="8" t="n"/>
      <c r="E877" s="8" t="n"/>
      <c r="F877" s="20" t="n"/>
      <c r="G877" s="8" t="n"/>
    </row>
    <row r="878">
      <c r="B878" s="11" t="n"/>
      <c r="C878" s="8" t="n"/>
      <c r="D878" s="8" t="n"/>
      <c r="E878" s="8" t="n"/>
      <c r="F878" s="20" t="n"/>
      <c r="G878" s="8" t="n"/>
    </row>
    <row r="879">
      <c r="B879" s="11" t="n"/>
      <c r="C879" s="8" t="n"/>
      <c r="D879" s="8" t="n"/>
      <c r="E879" s="8" t="n"/>
      <c r="F879" s="20" t="n"/>
      <c r="G879" s="8" t="n"/>
    </row>
    <row r="880">
      <c r="B880" s="11" t="n"/>
      <c r="C880" s="8" t="n"/>
      <c r="D880" s="8" t="n"/>
      <c r="E880" s="8" t="n"/>
      <c r="F880" s="20" t="n"/>
      <c r="G880" s="8" t="n"/>
    </row>
    <row r="881">
      <c r="B881" s="11" t="n"/>
      <c r="C881" s="8" t="n"/>
      <c r="D881" s="8" t="n"/>
      <c r="E881" s="8" t="n"/>
      <c r="F881" s="20" t="n"/>
      <c r="G881" s="8" t="n"/>
    </row>
    <row r="882">
      <c r="B882" s="11" t="n"/>
      <c r="C882" s="8" t="n"/>
      <c r="D882" s="8" t="n"/>
      <c r="E882" s="8" t="n"/>
      <c r="F882" s="20" t="n"/>
      <c r="G882" s="8" t="n"/>
    </row>
    <row r="883">
      <c r="B883" s="11" t="n"/>
      <c r="C883" s="8" t="n"/>
      <c r="D883" s="8" t="n"/>
      <c r="E883" s="8" t="n"/>
      <c r="F883" s="20" t="n"/>
      <c r="G883" s="8" t="n"/>
    </row>
    <row r="884">
      <c r="B884" s="11" t="n"/>
      <c r="C884" s="8" t="n"/>
      <c r="D884" s="8" t="n"/>
      <c r="E884" s="8" t="n"/>
      <c r="F884" s="20" t="n"/>
      <c r="G884" s="8" t="n"/>
    </row>
    <row r="885">
      <c r="B885" s="11" t="n"/>
      <c r="C885" s="8" t="n"/>
      <c r="D885" s="8" t="n"/>
      <c r="E885" s="8" t="n"/>
      <c r="F885" s="20" t="n"/>
      <c r="G885" s="8" t="n"/>
    </row>
    <row r="886">
      <c r="B886" s="11" t="n"/>
      <c r="C886" s="8" t="n"/>
      <c r="D886" s="8" t="n"/>
      <c r="E886" s="8" t="n"/>
      <c r="F886" s="20" t="n"/>
      <c r="G886" s="8" t="n"/>
    </row>
    <row r="887">
      <c r="B887" s="11" t="n"/>
      <c r="C887" s="8" t="n"/>
      <c r="D887" s="8" t="n"/>
      <c r="E887" s="8" t="n"/>
      <c r="F887" s="20" t="n"/>
      <c r="G887" s="8" t="n"/>
    </row>
    <row r="888">
      <c r="B888" s="11" t="n"/>
      <c r="C888" s="8" t="n"/>
      <c r="D888" s="8" t="n"/>
      <c r="E888" s="8" t="n"/>
      <c r="F888" s="20" t="n"/>
      <c r="G888" s="8" t="n"/>
    </row>
    <row r="889">
      <c r="B889" s="11" t="n"/>
      <c r="C889" s="8" t="n"/>
      <c r="D889" s="8" t="n"/>
      <c r="E889" s="8" t="n"/>
      <c r="F889" s="20" t="n"/>
      <c r="G889" s="8" t="n"/>
    </row>
    <row r="890">
      <c r="B890" s="11" t="n"/>
      <c r="C890" s="8" t="n"/>
      <c r="D890" s="8" t="n"/>
      <c r="E890" s="8" t="n"/>
      <c r="F890" s="20" t="n"/>
      <c r="G890" s="8" t="n"/>
    </row>
    <row r="891">
      <c r="B891" s="11" t="n"/>
      <c r="C891" s="8" t="n"/>
      <c r="D891" s="8" t="n"/>
      <c r="E891" s="8" t="n"/>
      <c r="F891" s="20" t="n"/>
      <c r="G891" s="8" t="n"/>
    </row>
    <row r="892">
      <c r="B892" s="11" t="n"/>
      <c r="C892" s="8" t="n"/>
      <c r="D892" s="8" t="n"/>
      <c r="E892" s="8" t="n"/>
      <c r="F892" s="20" t="n"/>
      <c r="G892" s="8" t="n"/>
    </row>
    <row r="893">
      <c r="B893" s="11" t="n"/>
      <c r="C893" s="8" t="n"/>
      <c r="D893" s="8" t="n"/>
      <c r="E893" s="8" t="n"/>
      <c r="F893" s="20" t="n"/>
      <c r="G893" s="8" t="n"/>
    </row>
    <row r="894">
      <c r="B894" s="11" t="n"/>
      <c r="C894" s="8" t="n"/>
      <c r="D894" s="8" t="n"/>
      <c r="E894" s="8" t="n"/>
      <c r="F894" s="20" t="n"/>
      <c r="G894" s="8" t="n"/>
    </row>
    <row r="895">
      <c r="B895" s="11" t="n"/>
      <c r="C895" s="8" t="n"/>
      <c r="D895" s="8" t="n"/>
      <c r="E895" s="8" t="n"/>
      <c r="F895" s="20" t="n"/>
      <c r="G895" s="8" t="n"/>
    </row>
    <row r="896">
      <c r="B896" s="11" t="n"/>
      <c r="C896" s="8" t="n"/>
      <c r="D896" s="8" t="n"/>
      <c r="E896" s="8" t="n"/>
      <c r="F896" s="20" t="n"/>
      <c r="G896" s="8" t="n"/>
    </row>
    <row r="897">
      <c r="B897" s="11" t="n"/>
      <c r="C897" s="8" t="n"/>
      <c r="D897" s="8" t="n"/>
      <c r="E897" s="8" t="n"/>
      <c r="F897" s="20" t="n"/>
      <c r="G897" s="8" t="n"/>
    </row>
    <row r="898">
      <c r="B898" s="11" t="n"/>
      <c r="C898" s="8" t="n"/>
      <c r="D898" s="8" t="n"/>
      <c r="E898" s="8" t="n"/>
      <c r="F898" s="20" t="n"/>
      <c r="G898" s="8" t="n"/>
    </row>
    <row r="899">
      <c r="B899" s="11" t="n"/>
      <c r="C899" s="8" t="n"/>
      <c r="D899" s="8" t="n"/>
      <c r="E899" s="8" t="n"/>
      <c r="F899" s="20" t="n"/>
      <c r="G899" s="8" t="n"/>
    </row>
    <row r="900">
      <c r="B900" s="11" t="n"/>
      <c r="C900" s="8" t="n"/>
      <c r="D900" s="8" t="n"/>
      <c r="E900" s="8" t="n"/>
      <c r="F900" s="20" t="n"/>
      <c r="G900" s="8" t="n"/>
    </row>
    <row r="901">
      <c r="B901" s="11" t="n"/>
      <c r="C901" s="8" t="n"/>
      <c r="D901" s="8" t="n"/>
      <c r="E901" s="8" t="n"/>
      <c r="F901" s="20" t="n"/>
      <c r="G901" s="8" t="n"/>
    </row>
    <row r="902">
      <c r="B902" s="11" t="n"/>
      <c r="C902" s="8" t="n"/>
      <c r="D902" s="8" t="n"/>
      <c r="E902" s="8" t="n"/>
      <c r="F902" s="20" t="n"/>
      <c r="G902" s="8" t="n"/>
    </row>
    <row r="903">
      <c r="B903" s="11" t="n"/>
      <c r="C903" s="8" t="n"/>
      <c r="D903" s="8" t="n"/>
      <c r="E903" s="8" t="n"/>
      <c r="F903" s="20" t="n"/>
      <c r="G903" s="8" t="n"/>
    </row>
    <row r="904">
      <c r="B904" s="11" t="n"/>
      <c r="C904" s="8" t="n"/>
      <c r="D904" s="8" t="n"/>
      <c r="E904" s="8" t="n"/>
      <c r="F904" s="20" t="n"/>
      <c r="G904" s="8" t="n"/>
    </row>
    <row r="905">
      <c r="B905" s="11" t="n"/>
      <c r="C905" s="8" t="n"/>
      <c r="D905" s="8" t="n"/>
      <c r="E905" s="8" t="n"/>
      <c r="F905" s="20" t="n"/>
      <c r="G905" s="8" t="n"/>
    </row>
    <row r="906">
      <c r="B906" s="11" t="n"/>
      <c r="C906" s="8" t="n"/>
      <c r="D906" s="8" t="n"/>
      <c r="E906" s="8" t="n"/>
      <c r="F906" s="20" t="n"/>
      <c r="G906" s="8" t="n"/>
    </row>
    <row r="907">
      <c r="B907" s="11" t="n"/>
      <c r="C907" s="8" t="n"/>
      <c r="D907" s="8" t="n"/>
      <c r="E907" s="8" t="n"/>
      <c r="F907" s="20" t="n"/>
      <c r="G907" s="8" t="n"/>
    </row>
    <row r="908">
      <c r="B908" s="11" t="n"/>
      <c r="C908" s="8" t="n"/>
      <c r="D908" s="8" t="n"/>
      <c r="E908" s="8" t="n"/>
      <c r="F908" s="20" t="n"/>
      <c r="G908" s="8" t="n"/>
    </row>
    <row r="909">
      <c r="B909" s="11" t="n"/>
      <c r="C909" s="8" t="n"/>
      <c r="D909" s="8" t="n"/>
      <c r="E909" s="8" t="n"/>
      <c r="F909" s="20" t="n"/>
      <c r="G909" s="8" t="n"/>
    </row>
    <row r="910">
      <c r="B910" s="11" t="n"/>
      <c r="C910" s="8" t="n"/>
      <c r="D910" s="8" t="n"/>
      <c r="E910" s="8" t="n"/>
      <c r="F910" s="20" t="n"/>
      <c r="G910" s="8" t="n"/>
    </row>
    <row r="911">
      <c r="B911" s="11" t="n"/>
      <c r="C911" s="8" t="n"/>
      <c r="D911" s="8" t="n"/>
      <c r="E911" s="8" t="n"/>
      <c r="F911" s="20" t="n"/>
      <c r="G911" s="8" t="n"/>
    </row>
    <row r="912">
      <c r="B912" s="11" t="n"/>
      <c r="C912" s="8" t="n"/>
      <c r="D912" s="8" t="n"/>
      <c r="E912" s="8" t="n"/>
      <c r="F912" s="20" t="n"/>
      <c r="G912" s="8" t="n"/>
    </row>
    <row r="913">
      <c r="B913" s="11" t="n"/>
      <c r="C913" s="8" t="n"/>
      <c r="D913" s="8" t="n"/>
      <c r="E913" s="8" t="n"/>
      <c r="F913" s="20" t="n"/>
      <c r="G913" s="8" t="n"/>
    </row>
    <row r="914">
      <c r="B914" s="11" t="n"/>
      <c r="C914" s="8" t="n"/>
      <c r="D914" s="8" t="n"/>
      <c r="E914" s="8" t="n"/>
      <c r="F914" s="20" t="n"/>
      <c r="G914" s="8" t="n"/>
    </row>
    <row r="915">
      <c r="B915" s="11" t="n"/>
      <c r="C915" s="8" t="n"/>
      <c r="D915" s="8" t="n"/>
      <c r="E915" s="8" t="n"/>
      <c r="F915" s="20" t="n"/>
      <c r="G915" s="8" t="n"/>
    </row>
    <row r="916">
      <c r="B916" s="11" t="n"/>
      <c r="C916" s="8" t="n"/>
      <c r="D916" s="8" t="n"/>
      <c r="E916" s="8" t="n"/>
      <c r="F916" s="20" t="n"/>
      <c r="G916" s="8" t="n"/>
    </row>
    <row r="917">
      <c r="B917" s="11" t="n"/>
      <c r="C917" s="8" t="n"/>
      <c r="D917" s="8" t="n"/>
      <c r="E917" s="8" t="n"/>
      <c r="F917" s="20" t="n"/>
      <c r="G917" s="8" t="n"/>
    </row>
    <row r="918">
      <c r="B918" s="11" t="n"/>
      <c r="C918" s="8" t="n"/>
      <c r="D918" s="8" t="n"/>
      <c r="E918" s="8" t="n"/>
      <c r="F918" s="20" t="n"/>
      <c r="G918" s="8" t="n"/>
    </row>
    <row r="919">
      <c r="B919" s="11" t="n"/>
      <c r="C919" s="8" t="n"/>
      <c r="D919" s="8" t="n"/>
      <c r="E919" s="8" t="n"/>
      <c r="F919" s="20" t="n"/>
      <c r="G919" s="8" t="n"/>
    </row>
    <row r="920">
      <c r="B920" s="11" t="n"/>
      <c r="C920" s="8" t="n"/>
      <c r="D920" s="8" t="n"/>
      <c r="E920" s="8" t="n"/>
      <c r="F920" s="20" t="n"/>
      <c r="G920" s="8" t="n"/>
    </row>
    <row r="921">
      <c r="B921" s="11" t="n"/>
      <c r="C921" s="8" t="n"/>
      <c r="D921" s="8" t="n"/>
      <c r="E921" s="8" t="n"/>
      <c r="F921" s="20" t="n"/>
      <c r="G921" s="8" t="n"/>
    </row>
    <row r="922">
      <c r="B922" s="11" t="n"/>
      <c r="C922" s="8" t="n"/>
      <c r="D922" s="8" t="n"/>
      <c r="E922" s="8" t="n"/>
      <c r="F922" s="20" t="n"/>
      <c r="G922" s="8" t="n"/>
    </row>
    <row r="923">
      <c r="B923" s="11" t="n"/>
      <c r="C923" s="8" t="n"/>
      <c r="D923" s="8" t="n"/>
      <c r="E923" s="8" t="n"/>
      <c r="F923" s="20" t="n"/>
      <c r="G923" s="8" t="n"/>
    </row>
    <row r="924">
      <c r="B924" s="11" t="n"/>
      <c r="C924" s="8" t="n"/>
      <c r="D924" s="8" t="n"/>
      <c r="E924" s="8" t="n"/>
      <c r="F924" s="20" t="n"/>
      <c r="G924" s="8" t="n"/>
    </row>
    <row r="925">
      <c r="B925" s="11" t="n"/>
      <c r="C925" s="8" t="n"/>
      <c r="D925" s="8" t="n"/>
      <c r="E925" s="8" t="n"/>
      <c r="F925" s="20" t="n"/>
      <c r="G925" s="8" t="n"/>
    </row>
    <row r="926">
      <c r="B926" s="11" t="n"/>
      <c r="C926" s="8" t="n"/>
      <c r="D926" s="8" t="n"/>
      <c r="E926" s="8" t="n"/>
      <c r="F926" s="20" t="n"/>
      <c r="G926" s="8" t="n"/>
    </row>
    <row r="927">
      <c r="B927" s="11" t="n"/>
      <c r="C927" s="8" t="n"/>
      <c r="D927" s="8" t="n"/>
      <c r="E927" s="8" t="n"/>
      <c r="F927" s="20" t="n"/>
      <c r="G927" s="8" t="n"/>
    </row>
    <row r="928">
      <c r="B928" s="11" t="n"/>
      <c r="C928" s="8" t="n"/>
      <c r="D928" s="8" t="n"/>
      <c r="E928" s="8" t="n"/>
      <c r="F928" s="20" t="n"/>
      <c r="G928" s="8" t="n"/>
    </row>
    <row r="929">
      <c r="B929" s="11" t="n"/>
      <c r="C929" s="8" t="n"/>
      <c r="D929" s="8" t="n"/>
      <c r="E929" s="8" t="n"/>
      <c r="F929" s="20" t="n"/>
      <c r="G929" s="8" t="n"/>
    </row>
    <row r="930">
      <c r="B930" s="11" t="n"/>
      <c r="C930" s="8" t="n"/>
      <c r="D930" s="8" t="n"/>
      <c r="E930" s="8" t="n"/>
      <c r="F930" s="20" t="n"/>
      <c r="G930" s="8" t="n"/>
    </row>
    <row r="931">
      <c r="B931" s="11" t="n"/>
      <c r="C931" s="8" t="n"/>
      <c r="D931" s="8" t="n"/>
      <c r="E931" s="8" t="n"/>
      <c r="F931" s="20" t="n"/>
      <c r="G931" s="8" t="n"/>
    </row>
    <row r="932">
      <c r="B932" s="11" t="n"/>
      <c r="C932" s="8" t="n"/>
      <c r="D932" s="8" t="n"/>
      <c r="E932" s="8" t="n"/>
      <c r="F932" s="20" t="n"/>
      <c r="G932" s="8" t="n"/>
    </row>
    <row r="933">
      <c r="B933" s="11" t="n"/>
      <c r="C933" s="8" t="n"/>
      <c r="D933" s="8" t="n"/>
      <c r="E933" s="8" t="n"/>
      <c r="F933" s="20" t="n"/>
      <c r="G933" s="8" t="n"/>
    </row>
    <row r="934">
      <c r="B934" s="11" t="n"/>
      <c r="C934" s="8" t="n"/>
      <c r="D934" s="8" t="n"/>
      <c r="E934" s="8" t="n"/>
      <c r="F934" s="20" t="n"/>
      <c r="G934" s="8" t="n"/>
    </row>
    <row r="935">
      <c r="B935" s="11" t="n"/>
      <c r="C935" s="8" t="n"/>
      <c r="D935" s="8" t="n"/>
      <c r="E935" s="8" t="n"/>
      <c r="F935" s="20" t="n"/>
      <c r="G935" s="8" t="n"/>
    </row>
    <row r="936">
      <c r="B936" s="11" t="n"/>
      <c r="C936" s="8" t="n"/>
      <c r="D936" s="8" t="n"/>
      <c r="E936" s="8" t="n"/>
      <c r="F936" s="20" t="n"/>
      <c r="G936" s="8" t="n"/>
    </row>
    <row r="937">
      <c r="B937" s="11" t="n"/>
      <c r="C937" s="8" t="n"/>
      <c r="D937" s="8" t="n"/>
      <c r="E937" s="8" t="n"/>
      <c r="F937" s="20" t="n"/>
      <c r="G937" s="8" t="n"/>
    </row>
    <row r="938">
      <c r="B938" s="11" t="n"/>
      <c r="C938" s="8" t="n"/>
      <c r="D938" s="8" t="n"/>
      <c r="E938" s="8" t="n"/>
      <c r="F938" s="20" t="n"/>
      <c r="G938" s="8" t="n"/>
    </row>
    <row r="939">
      <c r="B939" s="11" t="n"/>
      <c r="C939" s="8" t="n"/>
      <c r="D939" s="8" t="n"/>
      <c r="E939" s="8" t="n"/>
      <c r="F939" s="20" t="n"/>
      <c r="G939" s="8" t="n"/>
    </row>
    <row r="940">
      <c r="B940" s="11" t="n"/>
      <c r="C940" s="8" t="n"/>
      <c r="D940" s="8" t="n"/>
      <c r="E940" s="8" t="n"/>
      <c r="F940" s="20" t="n"/>
      <c r="G940" s="8" t="n"/>
    </row>
    <row r="941">
      <c r="B941" s="11" t="n"/>
      <c r="C941" s="8" t="n"/>
      <c r="D941" s="8" t="n"/>
      <c r="E941" s="8" t="n"/>
      <c r="F941" s="20" t="n"/>
      <c r="G941" s="8" t="n"/>
    </row>
    <row r="942">
      <c r="B942" s="11" t="n"/>
      <c r="C942" s="8" t="n"/>
      <c r="D942" s="8" t="n"/>
      <c r="E942" s="8" t="n"/>
      <c r="F942" s="20" t="n"/>
      <c r="G942" s="8" t="n"/>
    </row>
    <row r="943">
      <c r="B943" s="11" t="n"/>
      <c r="C943" s="8" t="n"/>
      <c r="D943" s="8" t="n"/>
      <c r="E943" s="8" t="n"/>
      <c r="F943" s="20" t="n"/>
      <c r="G943" s="8" t="n"/>
    </row>
    <row r="944">
      <c r="B944" s="11" t="n"/>
      <c r="C944" s="8" t="n"/>
      <c r="D944" s="8" t="n"/>
      <c r="E944" s="8" t="n"/>
      <c r="F944" s="20" t="n"/>
      <c r="G944" s="8" t="n"/>
    </row>
    <row r="945">
      <c r="B945" s="11" t="n"/>
      <c r="C945" s="8" t="n"/>
      <c r="D945" s="8" t="n"/>
      <c r="E945" s="8" t="n"/>
      <c r="F945" s="20" t="n"/>
      <c r="G945" s="8" t="n"/>
    </row>
    <row r="946">
      <c r="B946" s="11" t="n"/>
      <c r="C946" s="8" t="n"/>
      <c r="D946" s="8" t="n"/>
      <c r="E946" s="8" t="n"/>
      <c r="F946" s="20" t="n"/>
      <c r="G946" s="8" t="n"/>
    </row>
    <row r="947">
      <c r="B947" s="11" t="n"/>
      <c r="C947" s="8" t="n"/>
      <c r="D947" s="8" t="n"/>
      <c r="E947" s="8" t="n"/>
      <c r="F947" s="20" t="n"/>
      <c r="G947" s="8" t="n"/>
    </row>
    <row r="948">
      <c r="B948" s="11" t="n"/>
      <c r="C948" s="8" t="n"/>
      <c r="D948" s="8" t="n"/>
      <c r="E948" s="8" t="n"/>
      <c r="F948" s="20" t="n"/>
      <c r="G948" s="8" t="n"/>
    </row>
    <row r="949">
      <c r="B949" s="11" t="n"/>
      <c r="C949" s="8" t="n"/>
      <c r="D949" s="8" t="n"/>
      <c r="E949" s="8" t="n"/>
      <c r="F949" s="20" t="n"/>
      <c r="G949" s="8" t="n"/>
    </row>
    <row r="950">
      <c r="B950" s="11" t="n"/>
      <c r="C950" s="8" t="n"/>
      <c r="D950" s="8" t="n"/>
      <c r="E950" s="8" t="n"/>
      <c r="F950" s="20" t="n"/>
      <c r="G950" s="8" t="n"/>
    </row>
    <row r="951">
      <c r="B951" s="11" t="n"/>
      <c r="C951" s="8" t="n"/>
      <c r="D951" s="8" t="n"/>
      <c r="E951" s="8" t="n"/>
      <c r="F951" s="20" t="n"/>
      <c r="G951" s="8" t="n"/>
    </row>
    <row r="952">
      <c r="B952" s="11" t="n"/>
      <c r="C952" s="8" t="n"/>
      <c r="D952" s="8" t="n"/>
      <c r="E952" s="8" t="n"/>
      <c r="F952" s="20" t="n"/>
      <c r="G952" s="8" t="n"/>
    </row>
    <row r="953">
      <c r="B953" s="11" t="n"/>
      <c r="C953" s="8" t="n"/>
      <c r="D953" s="8" t="n"/>
      <c r="E953" s="8" t="n"/>
      <c r="F953" s="20" t="n"/>
      <c r="G953" s="8" t="n"/>
    </row>
    <row r="954">
      <c r="B954" s="11" t="n"/>
      <c r="C954" s="8" t="n"/>
      <c r="D954" s="8" t="n"/>
      <c r="E954" s="8" t="n"/>
      <c r="F954" s="20" t="n"/>
      <c r="G954" s="8" t="n"/>
    </row>
    <row r="955">
      <c r="B955" s="11" t="n"/>
      <c r="C955" s="8" t="n"/>
      <c r="D955" s="8" t="n"/>
      <c r="E955" s="8" t="n"/>
      <c r="F955" s="20" t="n"/>
      <c r="G955" s="8" t="n"/>
    </row>
    <row r="956">
      <c r="B956" s="11" t="n"/>
      <c r="C956" s="8" t="n"/>
      <c r="D956" s="8" t="n"/>
      <c r="E956" s="8" t="n"/>
      <c r="F956" s="20" t="n"/>
      <c r="G956" s="8" t="n"/>
    </row>
    <row r="957">
      <c r="B957" s="11" t="n"/>
      <c r="C957" s="8" t="n"/>
      <c r="D957" s="8" t="n"/>
      <c r="E957" s="8" t="n"/>
      <c r="F957" s="20" t="n"/>
      <c r="G957" s="8" t="n"/>
    </row>
    <row r="958">
      <c r="B958" s="11" t="n"/>
      <c r="C958" s="8" t="n"/>
      <c r="D958" s="8" t="n"/>
      <c r="E958" s="8" t="n"/>
      <c r="F958" s="20" t="n"/>
      <c r="G958" s="8" t="n"/>
    </row>
    <row r="959">
      <c r="B959" s="11" t="n"/>
      <c r="C959" s="8" t="n"/>
      <c r="D959" s="8" t="n"/>
      <c r="E959" s="8" t="n"/>
      <c r="F959" s="20" t="n"/>
      <c r="G959" s="8" t="n"/>
    </row>
    <row r="960">
      <c r="B960" s="11" t="n"/>
      <c r="C960" s="8" t="n"/>
      <c r="D960" s="8" t="n"/>
      <c r="E960" s="8" t="n"/>
      <c r="F960" s="20" t="n"/>
      <c r="G960" s="8" t="n"/>
    </row>
    <row r="961">
      <c r="B961" s="11" t="n"/>
      <c r="C961" s="8" t="n"/>
      <c r="D961" s="8" t="n"/>
      <c r="E961" s="8" t="n"/>
      <c r="F961" s="20" t="n"/>
      <c r="G961" s="8" t="n"/>
    </row>
    <row r="962">
      <c r="B962" s="11" t="n"/>
      <c r="C962" s="8" t="n"/>
      <c r="D962" s="8" t="n"/>
      <c r="E962" s="8" t="n"/>
      <c r="F962" s="20" t="n"/>
      <c r="G962" s="8" t="n"/>
    </row>
    <row r="963">
      <c r="B963" s="11" t="n"/>
      <c r="C963" s="8" t="n"/>
      <c r="D963" s="8" t="n"/>
      <c r="E963" s="8" t="n"/>
      <c r="F963" s="20" t="n"/>
      <c r="G963" s="8" t="n"/>
    </row>
    <row r="964">
      <c r="B964" s="11" t="n"/>
      <c r="C964" s="8" t="n"/>
      <c r="D964" s="8" t="n"/>
      <c r="E964" s="8" t="n"/>
      <c r="F964" s="20" t="n"/>
      <c r="G964" s="8" t="n"/>
    </row>
    <row r="965">
      <c r="B965" s="11" t="n"/>
      <c r="C965" s="8" t="n"/>
      <c r="D965" s="8" t="n"/>
      <c r="E965" s="8" t="n"/>
      <c r="F965" s="20" t="n"/>
      <c r="G965" s="8" t="n"/>
    </row>
    <row r="966">
      <c r="B966" s="11" t="n"/>
      <c r="C966" s="8" t="n"/>
      <c r="D966" s="8" t="n"/>
      <c r="E966" s="8" t="n"/>
      <c r="F966" s="20" t="n"/>
      <c r="G966" s="8" t="n"/>
    </row>
    <row r="967">
      <c r="B967" s="11" t="n"/>
      <c r="C967" s="8" t="n"/>
      <c r="D967" s="8" t="n"/>
      <c r="E967" s="8" t="n"/>
      <c r="F967" s="20" t="n"/>
      <c r="G967" s="8" t="n"/>
    </row>
    <row r="968">
      <c r="B968" s="11" t="n"/>
      <c r="C968" s="8" t="n"/>
      <c r="D968" s="8" t="n"/>
      <c r="E968" s="8" t="n"/>
      <c r="F968" s="20" t="n"/>
      <c r="G968" s="8" t="n"/>
    </row>
    <row r="969">
      <c r="B969" s="11" t="n"/>
      <c r="C969" s="8" t="n"/>
      <c r="D969" s="8" t="n"/>
      <c r="E969" s="8" t="n"/>
      <c r="F969" s="20" t="n"/>
      <c r="G969" s="8" t="n"/>
    </row>
    <row r="970">
      <c r="B970" s="11" t="n"/>
      <c r="C970" s="8" t="n"/>
      <c r="D970" s="8" t="n"/>
      <c r="E970" s="8" t="n"/>
      <c r="F970" s="20" t="n"/>
      <c r="G970" s="8" t="n"/>
    </row>
    <row r="971">
      <c r="B971" s="11" t="n"/>
      <c r="C971" s="8" t="n"/>
      <c r="D971" s="8" t="n"/>
      <c r="E971" s="8" t="n"/>
      <c r="F971" s="20" t="n"/>
      <c r="G971" s="8" t="n"/>
    </row>
    <row r="972">
      <c r="B972" s="11" t="n"/>
      <c r="C972" s="8" t="n"/>
      <c r="D972" s="8" t="n"/>
      <c r="E972" s="8" t="n"/>
      <c r="F972" s="20" t="n"/>
      <c r="G972" s="8" t="n"/>
    </row>
    <row r="973">
      <c r="B973" s="11" t="n"/>
      <c r="C973" s="8" t="n"/>
      <c r="D973" s="8" t="n"/>
      <c r="E973" s="8" t="n"/>
      <c r="F973" s="20" t="n"/>
      <c r="G973" s="8" t="n"/>
    </row>
    <row r="974">
      <c r="B974" s="11" t="n"/>
      <c r="C974" s="8" t="n"/>
      <c r="D974" s="8" t="n"/>
      <c r="E974" s="8" t="n"/>
      <c r="F974" s="20" t="n"/>
      <c r="G974" s="8" t="n"/>
    </row>
    <row r="975">
      <c r="B975" s="11" t="n"/>
      <c r="C975" s="8" t="n"/>
      <c r="D975" s="8" t="n"/>
      <c r="E975" s="8" t="n"/>
      <c r="F975" s="20" t="n"/>
      <c r="G975" s="8" t="n"/>
    </row>
    <row r="976">
      <c r="B976" s="11" t="n"/>
      <c r="C976" s="8" t="n"/>
      <c r="D976" s="8" t="n"/>
      <c r="E976" s="8" t="n"/>
      <c r="F976" s="20" t="n"/>
      <c r="G976" s="8" t="n"/>
    </row>
    <row r="977">
      <c r="B977" s="11" t="n"/>
      <c r="C977" s="8" t="n"/>
      <c r="D977" s="8" t="n"/>
      <c r="E977" s="8" t="n"/>
      <c r="F977" s="20" t="n"/>
      <c r="G977" s="8" t="n"/>
    </row>
    <row r="978">
      <c r="B978" s="11" t="n"/>
      <c r="C978" s="8" t="n"/>
      <c r="D978" s="8" t="n"/>
      <c r="E978" s="8" t="n"/>
      <c r="F978" s="20" t="n"/>
      <c r="G978" s="8" t="n"/>
    </row>
    <row r="979">
      <c r="B979" s="11" t="n"/>
      <c r="C979" s="8" t="n"/>
      <c r="D979" s="8" t="n"/>
      <c r="E979" s="8" t="n"/>
      <c r="F979" s="20" t="n"/>
      <c r="G979" s="8" t="n"/>
    </row>
    <row r="980">
      <c r="B980" s="11" t="n"/>
      <c r="C980" s="8" t="n"/>
      <c r="D980" s="8" t="n"/>
      <c r="E980" s="8" t="n"/>
      <c r="F980" s="20" t="n"/>
      <c r="G980" s="8" t="n"/>
    </row>
    <row r="981">
      <c r="B981" s="11" t="n"/>
      <c r="C981" s="8" t="n"/>
      <c r="D981" s="8" t="n"/>
      <c r="E981" s="8" t="n"/>
      <c r="F981" s="20" t="n"/>
      <c r="G981" s="8" t="n"/>
    </row>
    <row r="982">
      <c r="B982" s="11" t="n"/>
      <c r="C982" s="8" t="n"/>
      <c r="D982" s="8" t="n"/>
      <c r="E982" s="8" t="n"/>
      <c r="F982" s="20" t="n"/>
      <c r="G982" s="8" t="n"/>
    </row>
    <row r="983">
      <c r="B983" s="11" t="n"/>
      <c r="C983" s="8" t="n"/>
      <c r="D983" s="8" t="n"/>
      <c r="E983" s="8" t="n"/>
      <c r="F983" s="20" t="n"/>
      <c r="G983" s="8" t="n"/>
    </row>
    <row r="984">
      <c r="B984" s="11" t="n"/>
      <c r="C984" s="8" t="n"/>
      <c r="D984" s="8" t="n"/>
      <c r="E984" s="8" t="n"/>
      <c r="F984" s="20" t="n"/>
      <c r="G984" s="8" t="n"/>
    </row>
    <row r="985">
      <c r="B985" s="11" t="n"/>
      <c r="C985" s="8" t="n"/>
      <c r="D985" s="8" t="n"/>
      <c r="E985" s="8" t="n"/>
      <c r="F985" s="20" t="n"/>
      <c r="G985" s="8" t="n"/>
    </row>
    <row r="986">
      <c r="B986" s="11" t="n"/>
      <c r="C986" s="8" t="n"/>
      <c r="D986" s="8" t="n"/>
      <c r="E986" s="8" t="n"/>
      <c r="F986" s="20" t="n"/>
      <c r="G986" s="8" t="n"/>
    </row>
    <row r="987">
      <c r="B987" s="11" t="n"/>
      <c r="C987" s="8" t="n"/>
      <c r="D987" s="8" t="n"/>
      <c r="E987" s="8" t="n"/>
      <c r="F987" s="20" t="n"/>
      <c r="G987" s="8" t="n"/>
    </row>
    <row r="988">
      <c r="B988" s="11" t="n"/>
      <c r="C988" s="8" t="n"/>
      <c r="D988" s="8" t="n"/>
      <c r="E988" s="8" t="n"/>
      <c r="F988" s="20" t="n"/>
      <c r="G988" s="8" t="n"/>
    </row>
    <row r="989">
      <c r="B989" s="11" t="n"/>
      <c r="C989" s="8" t="n"/>
      <c r="D989" s="8" t="n"/>
      <c r="E989" s="8" t="n"/>
      <c r="F989" s="20" t="n"/>
      <c r="G989" s="8" t="n"/>
    </row>
    <row r="990">
      <c r="B990" s="11" t="n"/>
      <c r="C990" s="8" t="n"/>
      <c r="D990" s="8" t="n"/>
      <c r="E990" s="8" t="n"/>
      <c r="F990" s="20" t="n"/>
      <c r="G990" s="8" t="n"/>
    </row>
    <row r="991">
      <c r="B991" s="11" t="n"/>
      <c r="C991" s="8" t="n"/>
      <c r="D991" s="8" t="n"/>
      <c r="E991" s="8" t="n"/>
      <c r="F991" s="20" t="n"/>
      <c r="G991" s="8" t="n"/>
    </row>
    <row r="992">
      <c r="B992" s="11" t="n"/>
      <c r="C992" s="8" t="n"/>
      <c r="D992" s="8" t="n"/>
      <c r="E992" s="8" t="n"/>
      <c r="F992" s="20" t="n"/>
      <c r="G992" s="8" t="n"/>
    </row>
    <row r="993">
      <c r="B993" s="11" t="n"/>
      <c r="C993" s="8" t="n"/>
      <c r="D993" s="8" t="n"/>
      <c r="E993" s="8" t="n"/>
      <c r="F993" s="20" t="n"/>
      <c r="G993" s="8" t="n"/>
    </row>
    <row r="994">
      <c r="B994" s="11" t="n"/>
      <c r="C994" s="8" t="n"/>
      <c r="D994" s="8" t="n"/>
      <c r="E994" s="8" t="n"/>
      <c r="F994" s="20" t="n"/>
      <c r="G994" s="8" t="n"/>
    </row>
    <row r="995">
      <c r="B995" s="11" t="n"/>
      <c r="C995" s="8" t="n"/>
      <c r="D995" s="8" t="n"/>
      <c r="E995" s="8" t="n"/>
      <c r="F995" s="20" t="n"/>
      <c r="G995" s="8" t="n"/>
    </row>
    <row r="996">
      <c r="B996" s="11" t="n"/>
      <c r="C996" s="8" t="n"/>
      <c r="D996" s="8" t="n"/>
      <c r="E996" s="8" t="n"/>
      <c r="F996" s="20" t="n"/>
      <c r="G996" s="8" t="n"/>
    </row>
    <row r="997">
      <c r="B997" s="11" t="n"/>
      <c r="C997" s="8" t="n"/>
      <c r="D997" s="8" t="n"/>
      <c r="E997" s="8" t="n"/>
      <c r="F997" s="20" t="n"/>
      <c r="G997" s="8" t="n"/>
    </row>
    <row r="998">
      <c r="B998" s="11" t="n"/>
      <c r="C998" s="8" t="n"/>
      <c r="D998" s="8" t="n"/>
      <c r="E998" s="8" t="n"/>
      <c r="F998" s="20" t="n"/>
      <c r="G998" s="8" t="n"/>
    </row>
    <row r="999">
      <c r="B999" s="11" t="n"/>
      <c r="C999" s="8" t="n"/>
      <c r="D999" s="8" t="n"/>
      <c r="E999" s="8" t="n"/>
      <c r="F999" s="20" t="n"/>
      <c r="G999" s="8" t="n"/>
    </row>
    <row r="1000">
      <c r="B1000" s="11" t="n"/>
      <c r="C1000" s="8" t="n"/>
      <c r="D1000" s="8" t="n"/>
      <c r="E1000" s="8" t="n"/>
      <c r="F1000" s="20" t="n"/>
      <c r="G1000" s="8" t="n"/>
    </row>
    <row r="1001">
      <c r="B1001" s="11" t="n"/>
      <c r="C1001" s="8" t="n"/>
      <c r="D1001" s="8" t="n"/>
      <c r="E1001" s="8" t="n"/>
      <c r="F1001" s="20" t="n"/>
      <c r="G1001" s="8" t="n"/>
    </row>
    <row r="1002">
      <c r="B1002" s="11" t="n"/>
      <c r="C1002" s="8" t="n"/>
      <c r="D1002" s="8" t="n"/>
      <c r="E1002" s="8" t="n"/>
      <c r="F1002" s="20" t="n"/>
      <c r="G1002" s="8" t="n"/>
    </row>
    <row r="1003">
      <c r="B1003" s="11" t="n"/>
      <c r="C1003" s="8" t="n"/>
      <c r="D1003" s="8" t="n"/>
      <c r="E1003" s="8" t="n"/>
      <c r="F1003" s="20" t="n"/>
      <c r="G1003" s="8" t="n"/>
    </row>
    <row r="1004">
      <c r="B1004" s="11" t="n"/>
      <c r="C1004" s="8" t="n"/>
      <c r="D1004" s="8" t="n"/>
      <c r="E1004" s="8" t="n"/>
      <c r="F1004" s="20" t="n"/>
      <c r="G1004" s="8" t="n"/>
    </row>
    <row r="1005">
      <c r="B1005" s="11" t="n"/>
      <c r="C1005" s="8" t="n"/>
      <c r="D1005" s="8" t="n"/>
      <c r="E1005" s="8" t="n"/>
      <c r="F1005" s="20" t="n"/>
      <c r="G1005" s="8" t="n"/>
    </row>
    <row r="1006">
      <c r="B1006" s="11" t="n"/>
      <c r="C1006" s="8" t="n"/>
      <c r="D1006" s="8" t="n"/>
      <c r="E1006" s="8" t="n"/>
      <c r="F1006" s="20" t="n"/>
      <c r="G1006" s="8" t="n"/>
    </row>
    <row r="1007">
      <c r="B1007" s="11" t="n"/>
      <c r="C1007" s="8" t="n"/>
      <c r="D1007" s="8" t="n"/>
      <c r="E1007" s="8" t="n"/>
      <c r="F1007" s="20" t="n"/>
      <c r="G1007" s="8" t="n"/>
    </row>
    <row r="1008">
      <c r="B1008" s="11" t="n"/>
      <c r="C1008" s="8" t="n"/>
      <c r="D1008" s="8" t="n"/>
      <c r="E1008" s="8" t="n"/>
      <c r="F1008" s="20" t="n"/>
      <c r="G1008" s="8" t="n"/>
    </row>
    <row r="1009">
      <c r="B1009" s="11" t="n"/>
      <c r="C1009" s="8" t="n"/>
      <c r="D1009" s="8" t="n"/>
      <c r="E1009" s="8" t="n"/>
      <c r="F1009" s="20" t="n"/>
      <c r="G1009" s="8" t="n"/>
    </row>
    <row r="1010">
      <c r="B1010" s="11" t="n"/>
      <c r="C1010" s="8" t="n"/>
      <c r="D1010" s="8" t="n"/>
      <c r="E1010" s="8" t="n"/>
      <c r="F1010" s="20" t="n"/>
      <c r="G1010" s="8" t="n"/>
    </row>
    <row r="1011">
      <c r="B1011" s="11" t="n"/>
      <c r="C1011" s="8" t="n"/>
      <c r="D1011" s="8" t="n"/>
      <c r="E1011" s="8" t="n"/>
      <c r="F1011" s="20" t="n"/>
      <c r="G1011" s="8" t="n"/>
    </row>
    <row r="1012">
      <c r="B1012" s="11" t="n"/>
      <c r="C1012" s="8" t="n"/>
      <c r="D1012" s="8" t="n"/>
      <c r="E1012" s="8" t="n"/>
      <c r="F1012" s="20" t="n"/>
      <c r="G1012" s="8" t="n"/>
    </row>
    <row r="1013">
      <c r="B1013" s="11" t="n"/>
      <c r="C1013" s="8" t="n"/>
      <c r="D1013" s="8" t="n"/>
      <c r="E1013" s="8" t="n"/>
      <c r="F1013" s="20" t="n"/>
      <c r="G1013" s="8" t="n"/>
    </row>
    <row r="1014">
      <c r="B1014" s="11" t="n"/>
      <c r="C1014" s="8" t="n"/>
      <c r="D1014" s="8" t="n"/>
      <c r="E1014" s="8" t="n"/>
      <c r="F1014" s="20" t="n"/>
      <c r="G1014" s="8" t="n"/>
    </row>
    <row r="1015">
      <c r="B1015" s="11" t="n"/>
      <c r="C1015" s="8" t="n"/>
      <c r="D1015" s="8" t="n"/>
      <c r="E1015" s="8" t="n"/>
      <c r="F1015" s="20" t="n"/>
      <c r="G1015" s="8" t="n"/>
    </row>
    <row r="1016">
      <c r="B1016" s="11" t="n"/>
      <c r="C1016" s="8" t="n"/>
      <c r="D1016" s="8" t="n"/>
      <c r="E1016" s="8" t="n"/>
      <c r="F1016" s="20" t="n"/>
      <c r="G1016" s="8" t="n"/>
    </row>
    <row r="1017">
      <c r="B1017" s="11" t="n"/>
      <c r="C1017" s="8" t="n"/>
      <c r="D1017" s="8" t="n"/>
      <c r="E1017" s="8" t="n"/>
      <c r="F1017" s="20" t="n"/>
      <c r="G1017" s="8" t="n"/>
    </row>
    <row r="1018">
      <c r="B1018" s="11" t="n"/>
      <c r="C1018" s="8" t="n"/>
      <c r="D1018" s="8" t="n"/>
      <c r="E1018" s="8" t="n"/>
      <c r="F1018" s="20" t="n"/>
      <c r="G1018" s="8" t="n"/>
    </row>
    <row r="1019">
      <c r="B1019" s="11" t="n"/>
      <c r="C1019" s="8" t="n"/>
      <c r="D1019" s="8" t="n"/>
      <c r="E1019" s="8" t="n"/>
      <c r="F1019" s="20" t="n"/>
      <c r="G1019" s="8" t="n"/>
    </row>
    <row r="1020">
      <c r="B1020" s="11" t="n"/>
      <c r="C1020" s="8" t="n"/>
      <c r="D1020" s="8" t="n"/>
      <c r="E1020" s="8" t="n"/>
      <c r="F1020" s="20" t="n"/>
      <c r="G1020" s="8" t="n"/>
    </row>
    <row r="1021">
      <c r="B1021" s="11" t="n"/>
      <c r="C1021" s="8" t="n"/>
      <c r="D1021" s="8" t="n"/>
      <c r="E1021" s="8" t="n"/>
      <c r="F1021" s="20" t="n"/>
      <c r="G1021" s="8" t="n"/>
    </row>
    <row r="1022">
      <c r="B1022" s="11" t="n"/>
      <c r="C1022" s="8" t="n"/>
      <c r="D1022" s="8" t="n"/>
      <c r="E1022" s="8" t="n"/>
      <c r="F1022" s="20" t="n"/>
      <c r="G1022" s="8" t="n"/>
    </row>
    <row r="1023">
      <c r="B1023" s="11" t="n"/>
      <c r="C1023" s="8" t="n"/>
      <c r="D1023" s="8" t="n"/>
      <c r="E1023" s="8" t="n"/>
      <c r="F1023" s="20" t="n"/>
      <c r="G1023" s="8" t="n"/>
    </row>
    <row r="1024">
      <c r="B1024" s="11" t="n"/>
      <c r="C1024" s="8" t="n"/>
      <c r="D1024" s="8" t="n"/>
      <c r="E1024" s="8" t="n"/>
      <c r="F1024" s="20" t="n"/>
      <c r="G1024" s="8" t="n"/>
    </row>
    <row r="1025">
      <c r="B1025" s="11" t="n"/>
      <c r="C1025" s="8" t="n"/>
      <c r="D1025" s="8" t="n"/>
      <c r="E1025" s="8" t="n"/>
      <c r="F1025" s="20" t="n"/>
      <c r="G1025" s="8" t="n"/>
    </row>
    <row r="1026">
      <c r="B1026" s="11" t="n"/>
      <c r="C1026" s="8" t="n"/>
      <c r="D1026" s="8" t="n"/>
      <c r="E1026" s="8" t="n"/>
      <c r="F1026" s="20" t="n"/>
      <c r="G1026" s="8" t="n"/>
    </row>
    <row r="1027">
      <c r="B1027" s="11" t="n"/>
      <c r="C1027" s="8" t="n"/>
      <c r="D1027" s="8" t="n"/>
      <c r="E1027" s="8" t="n"/>
      <c r="F1027" s="20" t="n"/>
      <c r="G1027" s="8" t="n"/>
    </row>
    <row r="1028">
      <c r="B1028" s="11" t="n"/>
      <c r="C1028" s="8" t="n"/>
      <c r="D1028" s="8" t="n"/>
      <c r="E1028" s="8" t="n"/>
      <c r="F1028" s="20" t="n"/>
      <c r="G1028" s="8" t="n"/>
    </row>
    <row r="1029">
      <c r="B1029" s="11" t="n"/>
      <c r="C1029" s="8" t="n"/>
      <c r="D1029" s="8" t="n"/>
      <c r="E1029" s="8" t="n"/>
      <c r="F1029" s="20" t="n"/>
      <c r="G1029" s="8" t="n"/>
    </row>
    <row r="1030">
      <c r="B1030" s="11" t="n"/>
      <c r="C1030" s="8" t="n"/>
      <c r="D1030" s="8" t="n"/>
      <c r="E1030" s="8" t="n"/>
      <c r="F1030" s="20" t="n"/>
      <c r="G1030" s="8" t="n"/>
    </row>
    <row r="1031">
      <c r="B1031" s="11" t="n"/>
      <c r="C1031" s="8" t="n"/>
      <c r="D1031" s="8" t="n"/>
      <c r="E1031" s="8" t="n"/>
      <c r="F1031" s="20" t="n"/>
      <c r="G1031" s="8" t="n"/>
    </row>
    <row r="1032">
      <c r="B1032" s="11" t="n"/>
      <c r="C1032" s="8" t="n"/>
      <c r="D1032" s="8" t="n"/>
      <c r="E1032" s="8" t="n"/>
      <c r="F1032" s="20" t="n"/>
      <c r="G1032" s="8" t="n"/>
    </row>
    <row r="1033">
      <c r="B1033" s="11" t="n"/>
      <c r="C1033" s="8" t="n"/>
      <c r="D1033" s="8" t="n"/>
      <c r="E1033" s="8" t="n"/>
      <c r="F1033" s="20" t="n"/>
      <c r="G1033" s="8" t="n"/>
    </row>
    <row r="1034">
      <c r="B1034" s="11" t="n"/>
      <c r="C1034" s="8" t="n"/>
      <c r="D1034" s="8" t="n"/>
      <c r="E1034" s="8" t="n"/>
      <c r="F1034" s="20" t="n"/>
      <c r="G1034" s="8" t="n"/>
    </row>
    <row r="1035">
      <c r="B1035" s="11" t="n"/>
      <c r="C1035" s="8" t="n"/>
      <c r="D1035" s="8" t="n"/>
      <c r="E1035" s="8" t="n"/>
      <c r="F1035" s="20" t="n"/>
      <c r="G1035" s="8" t="n"/>
    </row>
    <row r="1036">
      <c r="B1036" s="11" t="n"/>
      <c r="C1036" s="8" t="n"/>
      <c r="D1036" s="8" t="n"/>
      <c r="E1036" s="8" t="n"/>
      <c r="F1036" s="20" t="n"/>
      <c r="G1036" s="8" t="n"/>
    </row>
    <row r="1037">
      <c r="B1037" s="11" t="n"/>
      <c r="C1037" s="8" t="n"/>
      <c r="D1037" s="8" t="n"/>
      <c r="E1037" s="8" t="n"/>
      <c r="F1037" s="20" t="n"/>
      <c r="G1037" s="8" t="n"/>
    </row>
    <row r="1038">
      <c r="B1038" s="11" t="n"/>
      <c r="C1038" s="8" t="n"/>
      <c r="D1038" s="8" t="n"/>
      <c r="E1038" s="8" t="n"/>
      <c r="F1038" s="20" t="n"/>
      <c r="G1038" s="8" t="n"/>
    </row>
    <row r="1039">
      <c r="B1039" s="11" t="n"/>
      <c r="C1039" s="8" t="n"/>
      <c r="D1039" s="8" t="n"/>
      <c r="E1039" s="8" t="n"/>
      <c r="F1039" s="20" t="n"/>
      <c r="G1039" s="8" t="n"/>
    </row>
    <row r="1040">
      <c r="B1040" s="11" t="n"/>
      <c r="C1040" s="8" t="n"/>
      <c r="D1040" s="8" t="n"/>
      <c r="E1040" s="8" t="n"/>
      <c r="F1040" s="20" t="n"/>
      <c r="G1040" s="8" t="n"/>
    </row>
    <row r="1041">
      <c r="B1041" s="11" t="n"/>
      <c r="C1041" s="8" t="n"/>
      <c r="D1041" s="8" t="n"/>
      <c r="E1041" s="8" t="n"/>
      <c r="F1041" s="20" t="n"/>
      <c r="G1041" s="8" t="n"/>
    </row>
    <row r="1042">
      <c r="B1042" s="11" t="n"/>
      <c r="C1042" s="8" t="n"/>
      <c r="D1042" s="8" t="n"/>
      <c r="E1042" s="8" t="n"/>
      <c r="F1042" s="20" t="n"/>
      <c r="G1042" s="8" t="n"/>
    </row>
    <row r="1043">
      <c r="B1043" s="11" t="n"/>
      <c r="C1043" s="8" t="n"/>
      <c r="D1043" s="8" t="n"/>
      <c r="E1043" s="8" t="n"/>
      <c r="F1043" s="20" t="n"/>
      <c r="G1043" s="8" t="n"/>
    </row>
    <row r="1044">
      <c r="B1044" s="11" t="n"/>
      <c r="C1044" s="8" t="n"/>
      <c r="D1044" s="8" t="n"/>
      <c r="E1044" s="8" t="n"/>
      <c r="F1044" s="20" t="n"/>
      <c r="G1044" s="8" t="n"/>
    </row>
    <row r="1045">
      <c r="B1045" s="11" t="n"/>
      <c r="C1045" s="8" t="n"/>
      <c r="D1045" s="8" t="n"/>
      <c r="E1045" s="8" t="n"/>
      <c r="F1045" s="20" t="n"/>
      <c r="G1045" s="8" t="n"/>
    </row>
    <row r="1046">
      <c r="B1046" s="11" t="n"/>
      <c r="C1046" s="8" t="n"/>
      <c r="D1046" s="8" t="n"/>
      <c r="E1046" s="8" t="n"/>
      <c r="F1046" s="20" t="n"/>
      <c r="G1046" s="8" t="n"/>
    </row>
    <row r="1047">
      <c r="B1047" s="11" t="n"/>
      <c r="C1047" s="8" t="n"/>
      <c r="D1047" s="8" t="n"/>
      <c r="E1047" s="8" t="n"/>
      <c r="F1047" s="20" t="n"/>
      <c r="G1047" s="8" t="n"/>
    </row>
    <row r="1048">
      <c r="B1048" s="11" t="n"/>
      <c r="C1048" s="8" t="n"/>
      <c r="D1048" s="8" t="n"/>
      <c r="E1048" s="8" t="n"/>
      <c r="F1048" s="20" t="n"/>
      <c r="G1048" s="8" t="n"/>
    </row>
    <row r="1049">
      <c r="B1049" s="11" t="n"/>
      <c r="C1049" s="8" t="n"/>
      <c r="D1049" s="8" t="n"/>
      <c r="E1049" s="8" t="n"/>
      <c r="F1049" s="20" t="n"/>
      <c r="G1049" s="8" t="n"/>
    </row>
    <row r="1050">
      <c r="B1050" s="11" t="n"/>
      <c r="C1050" s="8" t="n"/>
      <c r="D1050" s="8" t="n"/>
      <c r="E1050" s="8" t="n"/>
      <c r="F1050" s="20" t="n"/>
      <c r="G1050" s="8" t="n"/>
    </row>
    <row r="1051">
      <c r="B1051" s="11" t="n"/>
      <c r="C1051" s="8" t="n"/>
      <c r="D1051" s="8" t="n"/>
      <c r="E1051" s="8" t="n"/>
      <c r="F1051" s="20" t="n"/>
      <c r="G1051" s="8" t="n"/>
    </row>
    <row r="1052">
      <c r="B1052" s="11" t="n"/>
      <c r="C1052" s="8" t="n"/>
      <c r="D1052" s="8" t="n"/>
      <c r="E1052" s="8" t="n"/>
      <c r="F1052" s="20" t="n"/>
      <c r="G1052" s="8" t="n"/>
    </row>
    <row r="1053">
      <c r="B1053" s="11" t="n"/>
      <c r="C1053" s="8" t="n"/>
      <c r="D1053" s="8" t="n"/>
      <c r="E1053" s="8" t="n"/>
      <c r="F1053" s="20" t="n"/>
      <c r="G1053" s="8" t="n"/>
    </row>
    <row r="1054">
      <c r="B1054" s="11" t="n"/>
      <c r="C1054" s="8" t="n"/>
      <c r="D1054" s="8" t="n"/>
      <c r="E1054" s="8" t="n"/>
      <c r="F1054" s="20" t="n"/>
      <c r="G1054" s="8" t="n"/>
    </row>
    <row r="1055">
      <c r="B1055" s="11" t="n"/>
      <c r="C1055" s="8" t="n"/>
      <c r="D1055" s="8" t="n"/>
      <c r="E1055" s="8" t="n"/>
      <c r="F1055" s="20" t="n"/>
      <c r="G1055" s="8" t="n"/>
    </row>
    <row r="1056">
      <c r="B1056" s="11" t="n"/>
      <c r="C1056" s="8" t="n"/>
      <c r="D1056" s="8" t="n"/>
      <c r="E1056" s="8" t="n"/>
      <c r="F1056" s="20" t="n"/>
      <c r="G1056" s="8" t="n"/>
    </row>
    <row r="1057">
      <c r="B1057" s="11" t="n"/>
      <c r="C1057" s="8" t="n"/>
      <c r="D1057" s="8" t="n"/>
      <c r="E1057" s="8" t="n"/>
      <c r="F1057" s="20" t="n"/>
      <c r="G1057" s="8" t="n"/>
    </row>
    <row r="1058">
      <c r="B1058" s="11" t="n"/>
      <c r="C1058" s="8" t="n"/>
      <c r="D1058" s="8" t="n"/>
      <c r="E1058" s="8" t="n"/>
      <c r="F1058" s="20" t="n"/>
      <c r="G1058" s="8" t="n"/>
    </row>
    <row r="1059">
      <c r="B1059" s="11" t="n"/>
      <c r="C1059" s="8" t="n"/>
      <c r="D1059" s="8" t="n"/>
      <c r="E1059" s="8" t="n"/>
      <c r="F1059" s="20" t="n"/>
      <c r="G1059" s="8" t="n"/>
    </row>
    <row r="1060">
      <c r="B1060" s="11" t="n"/>
      <c r="C1060" s="8" t="n"/>
      <c r="D1060" s="8" t="n"/>
      <c r="E1060" s="8" t="n"/>
      <c r="F1060" s="20" t="n"/>
      <c r="G1060" s="8" t="n"/>
    </row>
    <row r="1061">
      <c r="B1061" s="11" t="n"/>
      <c r="C1061" s="8" t="n"/>
      <c r="D1061" s="8" t="n"/>
      <c r="E1061" s="8" t="n"/>
      <c r="F1061" s="20" t="n"/>
      <c r="G1061" s="8" t="n"/>
    </row>
    <row r="1062">
      <c r="B1062" s="11" t="n"/>
      <c r="C1062" s="8" t="n"/>
      <c r="D1062" s="8" t="n"/>
      <c r="E1062" s="8" t="n"/>
      <c r="F1062" s="20" t="n"/>
      <c r="G1062" s="8" t="n"/>
    </row>
    <row r="1063">
      <c r="B1063" s="11" t="n"/>
      <c r="C1063" s="8" t="n"/>
      <c r="D1063" s="8" t="n"/>
      <c r="E1063" s="8" t="n"/>
      <c r="F1063" s="20" t="n"/>
      <c r="G1063" s="8" t="n"/>
    </row>
    <row r="1064">
      <c r="B1064" s="11" t="n"/>
      <c r="C1064" s="8" t="n"/>
      <c r="D1064" s="8" t="n"/>
      <c r="E1064" s="8" t="n"/>
      <c r="F1064" s="20" t="n"/>
      <c r="G1064" s="8" t="n"/>
    </row>
    <row r="1065">
      <c r="B1065" s="11" t="n"/>
      <c r="C1065" s="8" t="n"/>
      <c r="D1065" s="8" t="n"/>
      <c r="E1065" s="8" t="n"/>
      <c r="F1065" s="20" t="n"/>
      <c r="G1065" s="8" t="n"/>
    </row>
    <row r="1066">
      <c r="B1066" s="11" t="n"/>
      <c r="C1066" s="8" t="n"/>
      <c r="D1066" s="8" t="n"/>
      <c r="E1066" s="8" t="n"/>
      <c r="F1066" s="20" t="n"/>
      <c r="G1066" s="8" t="n"/>
    </row>
    <row r="1067">
      <c r="B1067" s="11" t="n"/>
      <c r="C1067" s="8" t="n"/>
      <c r="D1067" s="8" t="n"/>
      <c r="E1067" s="8" t="n"/>
      <c r="F1067" s="20" t="n"/>
      <c r="G1067" s="8" t="n"/>
    </row>
    <row r="1068">
      <c r="B1068" s="11" t="n"/>
      <c r="C1068" s="8" t="n"/>
      <c r="D1068" s="8" t="n"/>
      <c r="E1068" s="8" t="n"/>
      <c r="F1068" s="20" t="n"/>
      <c r="G1068" s="8" t="n"/>
    </row>
    <row r="1069">
      <c r="B1069" s="11" t="n"/>
      <c r="C1069" s="8" t="n"/>
      <c r="D1069" s="8" t="n"/>
      <c r="E1069" s="8" t="n"/>
      <c r="F1069" s="20" t="n"/>
      <c r="G1069" s="8" t="n"/>
    </row>
    <row r="1070">
      <c r="B1070" s="11" t="n"/>
      <c r="C1070" s="8" t="n"/>
      <c r="D1070" s="8" t="n"/>
      <c r="E1070" s="8" t="n"/>
      <c r="F1070" s="20" t="n"/>
      <c r="G1070" s="8" t="n"/>
    </row>
    <row r="1071">
      <c r="B1071" s="11" t="n"/>
      <c r="C1071" s="8" t="n"/>
      <c r="D1071" s="8" t="n"/>
      <c r="E1071" s="8" t="n"/>
      <c r="F1071" s="20" t="n"/>
      <c r="G1071" s="8" t="n"/>
    </row>
    <row r="1072">
      <c r="B1072" s="11" t="n"/>
      <c r="C1072" s="8" t="n"/>
      <c r="D1072" s="8" t="n"/>
      <c r="E1072" s="8" t="n"/>
      <c r="F1072" s="20" t="n"/>
      <c r="G1072" s="8" t="n"/>
    </row>
    <row r="1073">
      <c r="B1073" s="11" t="n"/>
      <c r="C1073" s="8" t="n"/>
      <c r="D1073" s="8" t="n"/>
      <c r="E1073" s="8" t="n"/>
      <c r="F1073" s="20" t="n"/>
      <c r="G1073" s="8" t="n"/>
    </row>
    <row r="1074">
      <c r="B1074" s="11" t="n"/>
      <c r="C1074" s="8" t="n"/>
      <c r="D1074" s="8" t="n"/>
      <c r="E1074" s="8" t="n"/>
      <c r="F1074" s="20" t="n"/>
      <c r="G1074" s="8" t="n"/>
    </row>
    <row r="1075">
      <c r="B1075" s="11" t="n"/>
      <c r="C1075" s="8" t="n"/>
      <c r="D1075" s="8" t="n"/>
      <c r="E1075" s="8" t="n"/>
      <c r="F1075" s="20" t="n"/>
      <c r="G1075" s="8" t="n"/>
    </row>
    <row r="1076">
      <c r="B1076" s="11" t="n"/>
      <c r="C1076" s="8" t="n"/>
      <c r="D1076" s="8" t="n"/>
      <c r="E1076" s="8" t="n"/>
      <c r="F1076" s="20" t="n"/>
      <c r="G1076" s="8" t="n"/>
    </row>
    <row r="1077">
      <c r="B1077" s="11" t="n"/>
      <c r="C1077" s="8" t="n"/>
      <c r="D1077" s="8" t="n"/>
      <c r="E1077" s="8" t="n"/>
      <c r="F1077" s="20" t="n"/>
      <c r="G1077" s="8" t="n"/>
    </row>
    <row r="1078">
      <c r="B1078" s="11" t="n"/>
      <c r="C1078" s="8" t="n"/>
      <c r="D1078" s="8" t="n"/>
      <c r="E1078" s="8" t="n"/>
      <c r="F1078" s="20" t="n"/>
      <c r="G1078" s="8" t="n"/>
    </row>
    <row r="1079">
      <c r="B1079" s="11" t="n"/>
      <c r="C1079" s="8" t="n"/>
      <c r="D1079" s="8" t="n"/>
      <c r="E1079" s="8" t="n"/>
      <c r="F1079" s="20" t="n"/>
      <c r="G1079" s="8" t="n"/>
    </row>
    <row r="1080">
      <c r="B1080" s="11" t="n"/>
      <c r="C1080" s="8" t="n"/>
      <c r="D1080" s="8" t="n"/>
      <c r="E1080" s="8" t="n"/>
      <c r="F1080" s="20" t="n"/>
      <c r="G1080" s="8" t="n"/>
    </row>
    <row r="1081">
      <c r="B1081" s="11" t="n"/>
      <c r="C1081" s="8" t="n"/>
      <c r="D1081" s="8" t="n"/>
      <c r="E1081" s="8" t="n"/>
      <c r="F1081" s="20" t="n"/>
      <c r="G1081" s="8" t="n"/>
    </row>
    <row r="1082">
      <c r="B1082" s="11" t="n"/>
      <c r="C1082" s="8" t="n"/>
      <c r="D1082" s="8" t="n"/>
      <c r="E1082" s="8" t="n"/>
      <c r="F1082" s="20" t="n"/>
      <c r="G1082" s="8" t="n"/>
    </row>
    <row r="1083">
      <c r="B1083" s="11" t="n"/>
      <c r="C1083" s="8" t="n"/>
      <c r="D1083" s="8" t="n"/>
      <c r="E1083" s="8" t="n"/>
      <c r="F1083" s="20" t="n"/>
      <c r="G1083" s="8" t="n"/>
    </row>
    <row r="1084">
      <c r="B1084" s="11" t="n"/>
      <c r="C1084" s="8" t="n"/>
      <c r="D1084" s="8" t="n"/>
      <c r="E1084" s="8" t="n"/>
      <c r="F1084" s="20" t="n"/>
      <c r="G1084" s="8" t="n"/>
    </row>
    <row r="1085">
      <c r="B1085" s="11" t="n"/>
      <c r="C1085" s="8" t="n"/>
      <c r="D1085" s="8" t="n"/>
      <c r="E1085" s="8" t="n"/>
      <c r="F1085" s="20" t="n"/>
      <c r="G1085" s="8" t="n"/>
    </row>
    <row r="1086">
      <c r="B1086" s="11" t="n"/>
      <c r="C1086" s="8" t="n"/>
      <c r="D1086" s="8" t="n"/>
      <c r="E1086" s="8" t="n"/>
      <c r="F1086" s="20" t="n"/>
      <c r="G1086" s="8" t="n"/>
    </row>
    <row r="1087">
      <c r="B1087" s="11" t="n"/>
      <c r="C1087" s="8" t="n"/>
      <c r="D1087" s="8" t="n"/>
      <c r="E1087" s="8" t="n"/>
      <c r="F1087" s="20" t="n"/>
      <c r="G1087" s="8" t="n"/>
    </row>
    <row r="1088">
      <c r="B1088" s="11" t="n"/>
      <c r="C1088" s="8" t="n"/>
      <c r="D1088" s="8" t="n"/>
      <c r="E1088" s="8" t="n"/>
      <c r="F1088" s="20" t="n"/>
      <c r="G1088" s="8" t="n"/>
    </row>
    <row r="1089">
      <c r="B1089" s="11" t="n"/>
      <c r="C1089" s="8" t="n"/>
      <c r="D1089" s="8" t="n"/>
      <c r="E1089" s="8" t="n"/>
      <c r="F1089" s="20" t="n"/>
      <c r="G1089" s="8" t="n"/>
    </row>
    <row r="1090">
      <c r="B1090" s="11" t="n"/>
      <c r="C1090" s="8" t="n"/>
      <c r="D1090" s="8" t="n"/>
      <c r="E1090" s="8" t="n"/>
      <c r="F1090" s="20" t="n"/>
      <c r="G1090" s="8" t="n"/>
    </row>
    <row r="1091">
      <c r="B1091" s="11" t="n"/>
      <c r="C1091" s="8" t="n"/>
      <c r="D1091" s="8" t="n"/>
      <c r="E1091" s="8" t="n"/>
      <c r="F1091" s="20" t="n"/>
      <c r="G1091" s="8" t="n"/>
    </row>
    <row r="1092">
      <c r="B1092" s="11" t="n"/>
      <c r="C1092" s="8" t="n"/>
      <c r="D1092" s="8" t="n"/>
      <c r="E1092" s="8" t="n"/>
      <c r="F1092" s="20" t="n"/>
      <c r="G1092" s="8" t="n"/>
    </row>
    <row r="1093">
      <c r="B1093" s="11" t="n"/>
      <c r="C1093" s="8" t="n"/>
      <c r="D1093" s="8" t="n"/>
      <c r="E1093" s="8" t="n"/>
      <c r="F1093" s="20" t="n"/>
      <c r="G1093" s="8" t="n"/>
    </row>
    <row r="1094">
      <c r="B1094" s="11" t="n"/>
      <c r="C1094" s="8" t="n"/>
      <c r="D1094" s="8" t="n"/>
      <c r="E1094" s="8" t="n"/>
      <c r="F1094" s="20" t="n"/>
      <c r="G1094" s="8" t="n"/>
    </row>
    <row r="1095">
      <c r="B1095" s="11" t="n"/>
      <c r="C1095" s="8" t="n"/>
      <c r="D1095" s="8" t="n"/>
      <c r="E1095" s="8" t="n"/>
      <c r="F1095" s="20" t="n"/>
      <c r="G1095" s="8" t="n"/>
    </row>
    <row r="1096">
      <c r="B1096" s="11" t="n"/>
      <c r="C1096" s="8" t="n"/>
      <c r="D1096" s="8" t="n"/>
      <c r="E1096" s="8" t="n"/>
      <c r="F1096" s="20" t="n"/>
      <c r="G1096" s="8" t="n"/>
    </row>
    <row r="1097">
      <c r="B1097" s="11" t="n"/>
      <c r="C1097" s="8" t="n"/>
      <c r="D1097" s="8" t="n"/>
      <c r="E1097" s="8" t="n"/>
      <c r="F1097" s="20" t="n"/>
      <c r="G1097" s="8" t="n"/>
    </row>
    <row r="1098">
      <c r="B1098" s="11" t="n"/>
      <c r="C1098" s="8" t="n"/>
      <c r="D1098" s="8" t="n"/>
      <c r="E1098" s="8" t="n"/>
      <c r="F1098" s="20" t="n"/>
      <c r="G1098" s="8" t="n"/>
    </row>
    <row r="1099">
      <c r="B1099" s="11" t="n"/>
      <c r="C1099" s="8" t="n"/>
      <c r="D1099" s="8" t="n"/>
      <c r="E1099" s="8" t="n"/>
      <c r="F1099" s="20" t="n"/>
      <c r="G1099" s="8" t="n"/>
    </row>
    <row r="1100">
      <c r="B1100" s="11" t="n"/>
      <c r="C1100" s="8" t="n"/>
      <c r="D1100" s="8" t="n"/>
      <c r="E1100" s="8" t="n"/>
      <c r="F1100" s="20" t="n"/>
      <c r="G1100" s="8" t="n"/>
    </row>
    <row r="1101">
      <c r="B1101" s="11" t="n"/>
      <c r="C1101" s="8" t="n"/>
      <c r="D1101" s="8" t="n"/>
      <c r="E1101" s="8" t="n"/>
      <c r="F1101" s="20" t="n"/>
      <c r="G1101" s="8" t="n"/>
    </row>
    <row r="1102">
      <c r="B1102" s="11" t="n"/>
      <c r="C1102" s="8" t="n"/>
      <c r="D1102" s="8" t="n"/>
      <c r="E1102" s="8" t="n"/>
      <c r="F1102" s="20" t="n"/>
      <c r="G1102" s="8" t="n"/>
    </row>
    <row r="1103">
      <c r="B1103" s="11" t="n"/>
      <c r="C1103" s="8" t="n"/>
      <c r="D1103" s="8" t="n"/>
      <c r="E1103" s="8" t="n"/>
      <c r="F1103" s="20" t="n"/>
      <c r="G1103" s="8" t="n"/>
    </row>
    <row r="1104">
      <c r="B1104" s="11" t="n"/>
      <c r="C1104" s="8" t="n"/>
      <c r="D1104" s="8" t="n"/>
      <c r="E1104" s="8" t="n"/>
      <c r="F1104" s="20" t="n"/>
      <c r="G1104" s="8" t="n"/>
    </row>
    <row r="1105">
      <c r="B1105" s="11" t="n"/>
      <c r="C1105" s="8" t="n"/>
      <c r="D1105" s="8" t="n"/>
      <c r="E1105" s="8" t="n"/>
      <c r="F1105" s="20" t="n"/>
      <c r="G1105" s="8" t="n"/>
    </row>
    <row r="1106">
      <c r="B1106" s="11" t="n"/>
      <c r="C1106" s="8" t="n"/>
      <c r="D1106" s="8" t="n"/>
      <c r="E1106" s="8" t="n"/>
      <c r="F1106" s="20" t="n"/>
      <c r="G1106" s="8" t="n"/>
    </row>
    <row r="1107">
      <c r="B1107" s="11" t="n"/>
      <c r="C1107" s="8" t="n"/>
      <c r="D1107" s="8" t="n"/>
      <c r="E1107" s="8" t="n"/>
      <c r="F1107" s="20" t="n"/>
      <c r="G1107" s="8" t="n"/>
    </row>
    <row r="1108">
      <c r="B1108" s="11" t="n"/>
      <c r="C1108" s="8" t="n"/>
      <c r="D1108" s="8" t="n"/>
      <c r="E1108" s="8" t="n"/>
      <c r="F1108" s="20" t="n"/>
      <c r="G1108" s="8" t="n"/>
    </row>
    <row r="1109">
      <c r="B1109" s="11" t="n"/>
      <c r="C1109" s="8" t="n"/>
      <c r="D1109" s="8" t="n"/>
      <c r="E1109" s="8" t="n"/>
      <c r="F1109" s="20" t="n"/>
      <c r="G1109" s="8" t="n"/>
    </row>
    <row r="1110">
      <c r="B1110" s="11" t="n"/>
      <c r="C1110" s="8" t="n"/>
      <c r="D1110" s="8" t="n"/>
      <c r="E1110" s="8" t="n"/>
      <c r="F1110" s="20" t="n"/>
      <c r="G1110" s="8" t="n"/>
    </row>
    <row r="1111">
      <c r="B1111" s="11" t="n"/>
      <c r="C1111" s="8" t="n"/>
      <c r="D1111" s="8" t="n"/>
      <c r="E1111" s="8" t="n"/>
      <c r="F1111" s="20" t="n"/>
      <c r="G1111" s="8" t="n"/>
    </row>
    <row r="1112">
      <c r="B1112" s="11" t="n"/>
      <c r="C1112" s="8" t="n"/>
      <c r="D1112" s="8" t="n"/>
      <c r="E1112" s="8" t="n"/>
      <c r="F1112" s="20" t="n"/>
      <c r="G1112" s="8" t="n"/>
    </row>
    <row r="1113">
      <c r="B1113" s="11" t="n"/>
      <c r="C1113" s="8" t="n"/>
      <c r="D1113" s="8" t="n"/>
      <c r="E1113" s="8" t="n"/>
      <c r="F1113" s="20" t="n"/>
      <c r="G1113" s="8" t="n"/>
    </row>
    <row r="1114">
      <c r="B1114" s="11" t="n"/>
      <c r="C1114" s="8" t="n"/>
      <c r="D1114" s="8" t="n"/>
      <c r="E1114" s="8" t="n"/>
      <c r="F1114" s="20" t="n"/>
      <c r="G1114" s="8" t="n"/>
    </row>
    <row r="1115">
      <c r="B1115" s="11" t="n"/>
      <c r="C1115" s="8" t="n"/>
      <c r="D1115" s="8" t="n"/>
      <c r="E1115" s="8" t="n"/>
      <c r="F1115" s="20" t="n"/>
      <c r="G1115" s="8" t="n"/>
    </row>
    <row r="1116">
      <c r="B1116" s="11" t="n"/>
      <c r="C1116" s="8" t="n"/>
      <c r="D1116" s="8" t="n"/>
      <c r="E1116" s="8" t="n"/>
      <c r="F1116" s="20" t="n"/>
      <c r="G1116" s="8" t="n"/>
    </row>
    <row r="1117">
      <c r="B1117" s="11" t="n"/>
      <c r="C1117" s="8" t="n"/>
      <c r="D1117" s="8" t="n"/>
      <c r="E1117" s="8" t="n"/>
      <c r="F1117" s="20" t="n"/>
      <c r="G1117" s="8" t="n"/>
    </row>
    <row r="1118">
      <c r="B1118" s="11" t="n"/>
      <c r="C1118" s="8" t="n"/>
      <c r="D1118" s="8" t="n"/>
      <c r="E1118" s="8" t="n"/>
      <c r="F1118" s="20" t="n"/>
      <c r="G1118" s="8" t="n"/>
    </row>
    <row r="1119">
      <c r="B1119" s="11" t="n"/>
      <c r="C1119" s="8" t="n"/>
      <c r="D1119" s="8" t="n"/>
      <c r="E1119" s="8" t="n"/>
      <c r="F1119" s="20" t="n"/>
      <c r="G1119" s="8" t="n"/>
    </row>
    <row r="1120">
      <c r="B1120" s="11" t="n"/>
      <c r="C1120" s="8" t="n"/>
      <c r="D1120" s="8" t="n"/>
      <c r="E1120" s="8" t="n"/>
      <c r="F1120" s="20" t="n"/>
      <c r="G1120" s="8" t="n"/>
    </row>
    <row r="1121">
      <c r="B1121" s="11" t="n"/>
      <c r="C1121" s="8" t="n"/>
      <c r="D1121" s="8" t="n"/>
      <c r="E1121" s="8" t="n"/>
      <c r="F1121" s="20" t="n"/>
      <c r="G1121" s="8" t="n"/>
    </row>
    <row r="1122">
      <c r="B1122" s="11" t="n"/>
      <c r="C1122" s="8" t="n"/>
      <c r="D1122" s="8" t="n"/>
      <c r="E1122" s="8" t="n"/>
      <c r="F1122" s="20" t="n"/>
      <c r="G1122" s="8" t="n"/>
    </row>
    <row r="1123">
      <c r="B1123" s="11" t="n"/>
      <c r="C1123" s="8" t="n"/>
      <c r="D1123" s="8" t="n"/>
      <c r="E1123" s="8" t="n"/>
      <c r="F1123" s="20" t="n"/>
      <c r="G1123" s="8" t="n"/>
    </row>
    <row r="1124">
      <c r="B1124" s="11" t="n"/>
      <c r="C1124" s="8" t="n"/>
      <c r="D1124" s="8" t="n"/>
      <c r="E1124" s="8" t="n"/>
      <c r="F1124" s="20" t="n"/>
      <c r="G1124" s="8" t="n"/>
    </row>
    <row r="1125">
      <c r="B1125" s="11" t="n"/>
      <c r="C1125" s="8" t="n"/>
      <c r="D1125" s="8" t="n"/>
      <c r="E1125" s="8" t="n"/>
      <c r="F1125" s="20" t="n"/>
      <c r="G1125" s="8" t="n"/>
    </row>
    <row r="1126">
      <c r="B1126" s="11" t="n"/>
      <c r="C1126" s="8" t="n"/>
      <c r="D1126" s="8" t="n"/>
      <c r="E1126" s="8" t="n"/>
      <c r="F1126" s="20" t="n"/>
      <c r="G1126" s="8" t="n"/>
    </row>
    <row r="1127">
      <c r="B1127" s="11" t="n"/>
      <c r="C1127" s="8" t="n"/>
      <c r="D1127" s="8" t="n"/>
      <c r="E1127" s="8" t="n"/>
      <c r="F1127" s="20" t="n"/>
      <c r="G1127" s="8" t="n"/>
    </row>
    <row r="1128">
      <c r="B1128" s="11" t="n"/>
      <c r="C1128" s="8" t="n"/>
      <c r="D1128" s="8" t="n"/>
      <c r="E1128" s="8" t="n"/>
      <c r="F1128" s="20" t="n"/>
      <c r="G1128" s="8" t="n"/>
    </row>
    <row r="1129">
      <c r="B1129" s="11" t="n"/>
      <c r="C1129" s="8" t="n"/>
      <c r="D1129" s="8" t="n"/>
      <c r="E1129" s="8" t="n"/>
      <c r="F1129" s="20" t="n"/>
      <c r="G1129" s="8" t="n"/>
    </row>
    <row r="1130">
      <c r="B1130" s="11" t="n"/>
      <c r="C1130" s="8" t="n"/>
      <c r="D1130" s="8" t="n"/>
      <c r="E1130" s="8" t="n"/>
      <c r="F1130" s="20" t="n"/>
      <c r="G1130" s="8" t="n"/>
    </row>
    <row r="1131">
      <c r="B1131" s="11" t="n"/>
      <c r="C1131" s="8" t="n"/>
      <c r="D1131" s="8" t="n"/>
      <c r="E1131" s="8" t="n"/>
      <c r="F1131" s="20" t="n"/>
      <c r="G1131" s="8" t="n"/>
    </row>
    <row r="1132">
      <c r="B1132" s="11" t="n"/>
      <c r="C1132" s="8" t="n"/>
      <c r="D1132" s="8" t="n"/>
      <c r="E1132" s="8" t="n"/>
      <c r="F1132" s="20" t="n"/>
      <c r="G1132" s="8" t="n"/>
    </row>
    <row r="1133">
      <c r="B1133" s="11" t="n"/>
      <c r="C1133" s="8" t="n"/>
      <c r="D1133" s="8" t="n"/>
      <c r="E1133" s="8" t="n"/>
      <c r="F1133" s="20" t="n"/>
      <c r="G1133" s="8" t="n"/>
    </row>
    <row r="1134">
      <c r="B1134" s="11" t="n"/>
      <c r="C1134" s="8" t="n"/>
      <c r="D1134" s="8" t="n"/>
      <c r="E1134" s="8" t="n"/>
      <c r="F1134" s="20" t="n"/>
      <c r="G1134" s="8" t="n"/>
    </row>
    <row r="1135">
      <c r="B1135" s="11" t="n"/>
      <c r="C1135" s="8" t="n"/>
      <c r="D1135" s="8" t="n"/>
      <c r="E1135" s="8" t="n"/>
      <c r="F1135" s="20" t="n"/>
      <c r="G1135" s="8" t="n"/>
    </row>
    <row r="1136">
      <c r="B1136" s="11" t="n"/>
      <c r="C1136" s="8" t="n"/>
      <c r="D1136" s="8" t="n"/>
      <c r="E1136" s="8" t="n"/>
      <c r="F1136" s="20" t="n"/>
      <c r="G1136" s="8" t="n"/>
    </row>
    <row r="1137">
      <c r="B1137" s="11" t="n"/>
      <c r="C1137" s="8" t="n"/>
      <c r="D1137" s="8" t="n"/>
      <c r="E1137" s="8" t="n"/>
      <c r="F1137" s="20" t="n"/>
      <c r="G1137" s="8" t="n"/>
    </row>
    <row r="1138">
      <c r="B1138" s="11" t="n"/>
      <c r="C1138" s="8" t="n"/>
      <c r="D1138" s="8" t="n"/>
      <c r="E1138" s="8" t="n"/>
      <c r="F1138" s="20" t="n"/>
      <c r="G1138" s="8" t="n"/>
    </row>
    <row r="1139">
      <c r="B1139" s="11" t="n"/>
      <c r="C1139" s="8" t="n"/>
      <c r="D1139" s="8" t="n"/>
      <c r="E1139" s="8" t="n"/>
      <c r="F1139" s="20" t="n"/>
      <c r="G1139" s="8" t="n"/>
    </row>
    <row r="1140">
      <c r="B1140" s="11" t="n"/>
      <c r="C1140" s="8" t="n"/>
      <c r="D1140" s="8" t="n"/>
      <c r="E1140" s="8" t="n"/>
      <c r="F1140" s="20" t="n"/>
      <c r="G1140" s="8" t="n"/>
    </row>
    <row r="1141">
      <c r="B1141" s="11" t="n"/>
      <c r="C1141" s="8" t="n"/>
      <c r="D1141" s="8" t="n"/>
      <c r="E1141" s="8" t="n"/>
      <c r="F1141" s="20" t="n"/>
      <c r="G1141" s="8" t="n"/>
    </row>
    <row r="1142">
      <c r="B1142" s="11" t="n"/>
      <c r="C1142" s="8" t="n"/>
      <c r="D1142" s="8" t="n"/>
      <c r="E1142" s="8" t="n"/>
      <c r="F1142" s="20" t="n"/>
      <c r="G1142" s="8" t="n"/>
    </row>
    <row r="1143">
      <c r="B1143" s="11" t="n"/>
      <c r="C1143" s="8" t="n"/>
      <c r="D1143" s="8" t="n"/>
      <c r="E1143" s="8" t="n"/>
      <c r="F1143" s="20" t="n"/>
      <c r="G1143" s="8" t="n"/>
    </row>
    <row r="1144">
      <c r="B1144" s="11" t="n"/>
      <c r="C1144" s="8" t="n"/>
      <c r="D1144" s="8" t="n"/>
      <c r="E1144" s="8" t="n"/>
      <c r="F1144" s="20" t="n"/>
      <c r="G1144" s="8" t="n"/>
    </row>
    <row r="1145">
      <c r="B1145" s="11" t="n"/>
      <c r="C1145" s="8" t="n"/>
      <c r="D1145" s="8" t="n"/>
      <c r="E1145" s="8" t="n"/>
      <c r="F1145" s="20" t="n"/>
      <c r="G1145" s="8" t="n"/>
    </row>
    <row r="1146">
      <c r="B1146" s="11" t="n"/>
      <c r="C1146" s="8" t="n"/>
      <c r="D1146" s="8" t="n"/>
      <c r="E1146" s="8" t="n"/>
      <c r="F1146" s="20" t="n"/>
      <c r="G1146" s="8" t="n"/>
    </row>
    <row r="1147">
      <c r="B1147" s="11" t="n"/>
      <c r="C1147" s="8" t="n"/>
      <c r="D1147" s="8" t="n"/>
      <c r="E1147" s="8" t="n"/>
      <c r="F1147" s="20" t="n"/>
      <c r="G1147" s="8" t="n"/>
    </row>
    <row r="1148">
      <c r="B1148" s="11" t="n"/>
      <c r="C1148" s="8" t="n"/>
      <c r="D1148" s="8" t="n"/>
      <c r="E1148" s="8" t="n"/>
      <c r="F1148" s="20" t="n"/>
      <c r="G1148" s="8" t="n"/>
    </row>
    <row r="1149">
      <c r="B1149" s="11" t="n"/>
      <c r="C1149" s="8" t="n"/>
      <c r="D1149" s="8" t="n"/>
      <c r="E1149" s="8" t="n"/>
      <c r="F1149" s="20" t="n"/>
      <c r="G1149" s="8" t="n"/>
    </row>
    <row r="1150">
      <c r="B1150" s="11" t="n"/>
      <c r="C1150" s="8" t="n"/>
      <c r="D1150" s="8" t="n"/>
      <c r="E1150" s="8" t="n"/>
      <c r="F1150" s="20" t="n"/>
      <c r="G1150" s="8" t="n"/>
    </row>
    <row r="1151">
      <c r="B1151" s="11" t="n"/>
      <c r="C1151" s="8" t="n"/>
      <c r="D1151" s="8" t="n"/>
      <c r="E1151" s="8" t="n"/>
      <c r="F1151" s="20" t="n"/>
      <c r="G1151" s="8" t="n"/>
    </row>
    <row r="1152">
      <c r="B1152" s="11" t="n"/>
      <c r="C1152" s="8" t="n"/>
      <c r="D1152" s="8" t="n"/>
      <c r="E1152" s="8" t="n"/>
      <c r="F1152" s="20" t="n"/>
      <c r="G1152" s="8" t="n"/>
    </row>
    <row r="1153">
      <c r="B1153" s="11" t="n"/>
      <c r="C1153" s="8" t="n"/>
      <c r="D1153" s="8" t="n"/>
      <c r="E1153" s="8" t="n"/>
      <c r="F1153" s="20" t="n"/>
      <c r="G1153" s="8" t="n"/>
    </row>
    <row r="1154">
      <c r="B1154" s="11" t="n"/>
      <c r="C1154" s="8" t="n"/>
      <c r="D1154" s="8" t="n"/>
      <c r="E1154" s="8" t="n"/>
      <c r="F1154" s="20" t="n"/>
      <c r="G1154" s="8" t="n"/>
    </row>
    <row r="1155">
      <c r="B1155" s="11" t="n"/>
      <c r="C1155" s="8" t="n"/>
      <c r="D1155" s="8" t="n"/>
      <c r="E1155" s="8" t="n"/>
      <c r="F1155" s="20" t="n"/>
      <c r="G1155" s="8" t="n"/>
    </row>
    <row r="1156">
      <c r="B1156" s="11" t="n"/>
      <c r="C1156" s="8" t="n"/>
      <c r="D1156" s="8" t="n"/>
      <c r="E1156" s="8" t="n"/>
      <c r="F1156" s="20" t="n"/>
      <c r="G1156" s="8" t="n"/>
    </row>
    <row r="1157">
      <c r="B1157" s="11" t="n"/>
      <c r="C1157" s="8" t="n"/>
      <c r="D1157" s="8" t="n"/>
      <c r="E1157" s="8" t="n"/>
      <c r="F1157" s="20" t="n"/>
      <c r="G1157" s="8" t="n"/>
    </row>
    <row r="1158">
      <c r="B1158" s="11" t="n"/>
      <c r="C1158" s="8" t="n"/>
      <c r="D1158" s="8" t="n"/>
      <c r="E1158" s="8" t="n"/>
      <c r="F1158" s="20" t="n"/>
      <c r="G1158" s="8" t="n"/>
    </row>
    <row r="1159">
      <c r="B1159" s="11" t="n"/>
      <c r="C1159" s="8" t="n"/>
      <c r="D1159" s="8" t="n"/>
      <c r="E1159" s="8" t="n"/>
      <c r="F1159" s="20" t="n"/>
      <c r="G1159" s="8" t="n"/>
    </row>
    <row r="1160">
      <c r="B1160" s="11" t="n"/>
      <c r="C1160" s="8" t="n"/>
      <c r="D1160" s="8" t="n"/>
      <c r="E1160" s="8" t="n"/>
      <c r="F1160" s="20" t="n"/>
      <c r="G1160" s="8" t="n"/>
    </row>
    <row r="1161">
      <c r="B1161" s="11" t="n"/>
      <c r="C1161" s="8" t="n"/>
      <c r="D1161" s="8" t="n"/>
      <c r="E1161" s="8" t="n"/>
      <c r="F1161" s="20" t="n"/>
      <c r="G1161" s="8" t="n"/>
    </row>
    <row r="1162">
      <c r="B1162" s="11" t="n"/>
      <c r="C1162" s="8" t="n"/>
      <c r="D1162" s="8" t="n"/>
      <c r="E1162" s="8" t="n"/>
      <c r="F1162" s="20" t="n"/>
      <c r="G1162" s="8" t="n"/>
    </row>
    <row r="1163">
      <c r="B1163" s="11" t="n"/>
      <c r="C1163" s="8" t="n"/>
      <c r="D1163" s="8" t="n"/>
      <c r="E1163" s="8" t="n"/>
      <c r="F1163" s="20" t="n"/>
      <c r="G1163" s="8" t="n"/>
    </row>
    <row r="1164">
      <c r="B1164" s="11" t="n"/>
      <c r="C1164" s="8" t="n"/>
      <c r="D1164" s="8" t="n"/>
      <c r="E1164" s="8" t="n"/>
      <c r="F1164" s="20" t="n"/>
      <c r="G1164" s="8" t="n"/>
    </row>
    <row r="1165">
      <c r="B1165" s="11" t="n"/>
      <c r="C1165" s="8" t="n"/>
      <c r="D1165" s="8" t="n"/>
      <c r="E1165" s="8" t="n"/>
      <c r="F1165" s="20" t="n"/>
      <c r="G1165" s="8" t="n"/>
    </row>
    <row r="1166">
      <c r="B1166" s="11" t="n"/>
      <c r="C1166" s="8" t="n"/>
      <c r="D1166" s="8" t="n"/>
      <c r="E1166" s="8" t="n"/>
      <c r="F1166" s="20" t="n"/>
      <c r="G1166" s="8" t="n"/>
    </row>
    <row r="1167">
      <c r="B1167" s="11" t="n"/>
      <c r="C1167" s="8" t="n"/>
      <c r="D1167" s="8" t="n"/>
      <c r="E1167" s="8" t="n"/>
      <c r="F1167" s="20" t="n"/>
      <c r="G1167" s="8" t="n"/>
    </row>
    <row r="1168">
      <c r="B1168" s="11" t="n"/>
      <c r="C1168" s="8" t="n"/>
      <c r="D1168" s="8" t="n"/>
      <c r="E1168" s="8" t="n"/>
      <c r="F1168" s="20" t="n"/>
      <c r="G1168" s="8" t="n"/>
    </row>
    <row r="1169">
      <c r="B1169" s="11" t="n"/>
      <c r="C1169" s="8" t="n"/>
      <c r="D1169" s="8" t="n"/>
      <c r="E1169" s="8" t="n"/>
      <c r="F1169" s="20" t="n"/>
      <c r="G1169" s="8" t="n"/>
    </row>
    <row r="1170">
      <c r="B1170" s="11" t="n"/>
      <c r="C1170" s="8" t="n"/>
      <c r="D1170" s="8" t="n"/>
      <c r="E1170" s="8" t="n"/>
      <c r="F1170" s="20" t="n"/>
      <c r="G1170" s="8" t="n"/>
    </row>
    <row r="1171">
      <c r="B1171" s="11" t="n"/>
      <c r="C1171" s="8" t="n"/>
      <c r="D1171" s="8" t="n"/>
      <c r="E1171" s="8" t="n"/>
      <c r="F1171" s="20" t="n"/>
      <c r="G1171" s="8" t="n"/>
    </row>
    <row r="1172">
      <c r="B1172" s="11" t="n"/>
      <c r="C1172" s="8" t="n"/>
      <c r="D1172" s="8" t="n"/>
      <c r="E1172" s="8" t="n"/>
      <c r="F1172" s="20" t="n"/>
      <c r="G1172" s="8" t="n"/>
    </row>
    <row r="1173">
      <c r="B1173" s="11" t="n"/>
      <c r="C1173" s="8" t="n"/>
      <c r="D1173" s="8" t="n"/>
      <c r="E1173" s="8" t="n"/>
      <c r="F1173" s="20" t="n"/>
      <c r="G1173" s="8" t="n"/>
    </row>
    <row r="1174">
      <c r="B1174" s="11" t="n"/>
      <c r="C1174" s="8" t="n"/>
      <c r="D1174" s="8" t="n"/>
      <c r="E1174" s="8" t="n"/>
      <c r="F1174" s="20" t="n"/>
      <c r="G1174" s="8" t="n"/>
    </row>
    <row r="1175">
      <c r="B1175" s="11" t="n"/>
      <c r="C1175" s="8" t="n"/>
      <c r="D1175" s="8" t="n"/>
      <c r="E1175" s="8" t="n"/>
      <c r="F1175" s="20" t="n"/>
      <c r="G1175" s="8" t="n"/>
    </row>
    <row r="1176">
      <c r="B1176" s="11" t="n"/>
      <c r="C1176" s="8" t="n"/>
      <c r="D1176" s="8" t="n"/>
      <c r="E1176" s="8" t="n"/>
      <c r="F1176" s="20" t="n"/>
      <c r="G1176" s="8" t="n"/>
    </row>
    <row r="1177">
      <c r="B1177" s="11" t="n"/>
      <c r="C1177" s="8" t="n"/>
      <c r="D1177" s="8" t="n"/>
      <c r="E1177" s="8" t="n"/>
      <c r="F1177" s="20" t="n"/>
      <c r="G1177" s="8" t="n"/>
    </row>
    <row r="1178">
      <c r="B1178" s="11" t="n"/>
      <c r="C1178" s="8" t="n"/>
      <c r="D1178" s="8" t="n"/>
      <c r="E1178" s="8" t="n"/>
      <c r="F1178" s="20" t="n"/>
      <c r="G1178" s="8" t="n"/>
    </row>
    <row r="1179">
      <c r="B1179" s="11" t="n"/>
      <c r="C1179" s="8" t="n"/>
      <c r="D1179" s="8" t="n"/>
      <c r="E1179" s="8" t="n"/>
      <c r="F1179" s="20" t="n"/>
      <c r="G1179" s="8" t="n"/>
    </row>
    <row r="1180">
      <c r="B1180" s="11" t="n"/>
      <c r="C1180" s="8" t="n"/>
      <c r="D1180" s="8" t="n"/>
      <c r="E1180" s="8" t="n"/>
      <c r="F1180" s="20" t="n"/>
      <c r="G1180" s="8" t="n"/>
    </row>
    <row r="1181">
      <c r="B1181" s="11" t="n"/>
      <c r="C1181" s="8" t="n"/>
      <c r="D1181" s="8" t="n"/>
      <c r="E1181" s="8" t="n"/>
      <c r="F1181" s="20" t="n"/>
      <c r="G1181" s="8" t="n"/>
    </row>
    <row r="1182">
      <c r="B1182" s="11" t="n"/>
      <c r="C1182" s="8" t="n"/>
      <c r="D1182" s="8" t="n"/>
      <c r="E1182" s="8" t="n"/>
      <c r="F1182" s="20" t="n"/>
      <c r="G1182" s="8" t="n"/>
    </row>
    <row r="1183">
      <c r="B1183" s="11" t="n"/>
      <c r="C1183" s="8" t="n"/>
      <c r="D1183" s="8" t="n"/>
      <c r="E1183" s="8" t="n"/>
      <c r="F1183" s="20" t="n"/>
      <c r="G1183" s="8" t="n"/>
    </row>
    <row r="1184">
      <c r="B1184" s="11" t="n"/>
      <c r="C1184" s="8" t="n"/>
      <c r="D1184" s="8" t="n"/>
      <c r="E1184" s="8" t="n"/>
      <c r="F1184" s="20" t="n"/>
      <c r="G1184" s="8" t="n"/>
    </row>
    <row r="1185">
      <c r="B1185" s="11" t="n"/>
      <c r="C1185" s="8" t="n"/>
      <c r="D1185" s="8" t="n"/>
      <c r="E1185" s="8" t="n"/>
      <c r="F1185" s="20" t="n"/>
      <c r="G1185" s="8" t="n"/>
    </row>
    <row r="1186">
      <c r="B1186" s="11" t="n"/>
      <c r="C1186" s="8" t="n"/>
      <c r="D1186" s="8" t="n"/>
      <c r="E1186" s="8" t="n"/>
      <c r="F1186" s="20" t="n"/>
      <c r="G1186" s="8" t="n"/>
    </row>
    <row r="1187">
      <c r="B1187" s="11" t="n"/>
      <c r="C1187" s="8" t="n"/>
      <c r="D1187" s="8" t="n"/>
      <c r="E1187" s="8" t="n"/>
      <c r="F1187" s="20" t="n"/>
      <c r="G1187" s="8" t="n"/>
    </row>
    <row r="1188">
      <c r="B1188" s="11" t="n"/>
      <c r="C1188" s="8" t="n"/>
      <c r="D1188" s="8" t="n"/>
      <c r="E1188" s="8" t="n"/>
      <c r="F1188" s="20" t="n"/>
      <c r="G1188" s="8" t="n"/>
    </row>
    <row r="1189">
      <c r="B1189" s="11" t="n"/>
      <c r="C1189" s="8" t="n"/>
      <c r="D1189" s="8" t="n"/>
      <c r="E1189" s="8" t="n"/>
      <c r="F1189" s="20" t="n"/>
      <c r="G1189" s="8" t="n"/>
    </row>
    <row r="1190">
      <c r="B1190" s="11" t="n"/>
      <c r="C1190" s="8" t="n"/>
      <c r="D1190" s="8" t="n"/>
      <c r="E1190" s="8" t="n"/>
      <c r="F1190" s="20" t="n"/>
      <c r="G1190" s="8" t="n"/>
    </row>
    <row r="1191">
      <c r="B1191" s="11" t="n"/>
      <c r="C1191" s="8" t="n"/>
      <c r="D1191" s="8" t="n"/>
      <c r="E1191" s="8" t="n"/>
      <c r="F1191" s="20" t="n"/>
      <c r="G1191" s="8" t="n"/>
    </row>
    <row r="1192">
      <c r="B1192" s="11" t="n"/>
      <c r="C1192" s="8" t="n"/>
      <c r="D1192" s="8" t="n"/>
      <c r="E1192" s="8" t="n"/>
      <c r="F1192" s="20" t="n"/>
      <c r="G1192" s="8" t="n"/>
    </row>
    <row r="1193">
      <c r="B1193" s="11" t="n"/>
      <c r="C1193" s="8" t="n"/>
      <c r="D1193" s="8" t="n"/>
      <c r="E1193" s="8" t="n"/>
      <c r="F1193" s="20" t="n"/>
      <c r="G1193" s="8" t="n"/>
    </row>
    <row r="1194">
      <c r="B1194" s="11" t="n"/>
      <c r="C1194" s="8" t="n"/>
      <c r="D1194" s="8" t="n"/>
      <c r="E1194" s="8" t="n"/>
      <c r="F1194" s="20" t="n"/>
      <c r="G1194" s="8" t="n"/>
    </row>
    <row r="1195">
      <c r="B1195" s="11" t="n"/>
      <c r="C1195" s="8" t="n"/>
      <c r="D1195" s="8" t="n"/>
      <c r="E1195" s="8" t="n"/>
      <c r="F1195" s="20" t="n"/>
      <c r="G1195" s="8" t="n"/>
    </row>
    <row r="1196">
      <c r="B1196" s="11" t="n"/>
      <c r="C1196" s="8" t="n"/>
      <c r="D1196" s="8" t="n"/>
      <c r="E1196" s="8" t="n"/>
      <c r="F1196" s="20" t="n"/>
      <c r="G1196" s="8" t="n"/>
    </row>
    <row r="1197">
      <c r="B1197" s="11" t="n"/>
      <c r="C1197" s="8" t="n"/>
      <c r="D1197" s="8" t="n"/>
      <c r="E1197" s="8" t="n"/>
      <c r="F1197" s="20" t="n"/>
      <c r="G1197" s="8" t="n"/>
    </row>
    <row r="1198">
      <c r="B1198" s="11" t="n"/>
      <c r="C1198" s="8" t="n"/>
      <c r="D1198" s="8" t="n"/>
      <c r="E1198" s="8" t="n"/>
      <c r="F1198" s="20" t="n"/>
      <c r="G1198" s="8" t="n"/>
    </row>
    <row r="1199">
      <c r="B1199" s="11" t="n"/>
      <c r="C1199" s="8" t="n"/>
      <c r="D1199" s="8" t="n"/>
      <c r="E1199" s="8" t="n"/>
      <c r="F1199" s="20" t="n"/>
      <c r="G1199" s="8" t="n"/>
    </row>
    <row r="1200">
      <c r="B1200" s="11" t="n"/>
      <c r="C1200" s="8" t="n"/>
      <c r="D1200" s="8" t="n"/>
      <c r="E1200" s="8" t="n"/>
      <c r="F1200" s="20" t="n"/>
      <c r="G1200" s="8" t="n"/>
    </row>
    <row r="1201">
      <c r="B1201" s="11" t="n"/>
      <c r="C1201" s="8" t="n"/>
      <c r="D1201" s="8" t="n"/>
      <c r="E1201" s="8" t="n"/>
      <c r="F1201" s="20" t="n"/>
      <c r="G1201" s="8" t="n"/>
    </row>
    <row r="1202">
      <c r="B1202" s="11" t="n"/>
      <c r="C1202" s="8" t="n"/>
      <c r="D1202" s="8" t="n"/>
      <c r="E1202" s="8" t="n"/>
      <c r="F1202" s="20" t="n"/>
      <c r="G1202" s="8" t="n"/>
    </row>
    <row r="1203">
      <c r="B1203" s="11" t="n"/>
      <c r="C1203" s="8" t="n"/>
      <c r="D1203" s="8" t="n"/>
      <c r="E1203" s="8" t="n"/>
      <c r="F1203" s="20" t="n"/>
      <c r="G1203" s="8" t="n"/>
    </row>
    <row r="1204">
      <c r="B1204" s="11" t="n"/>
      <c r="C1204" s="8" t="n"/>
      <c r="D1204" s="8" t="n"/>
      <c r="E1204" s="8" t="n"/>
      <c r="F1204" s="20" t="n"/>
      <c r="G1204" s="8" t="n"/>
    </row>
    <row r="1205">
      <c r="B1205" s="11" t="n"/>
      <c r="C1205" s="8" t="n"/>
      <c r="D1205" s="8" t="n"/>
      <c r="E1205" s="8" t="n"/>
      <c r="F1205" s="20" t="n"/>
      <c r="G1205" s="8" t="n"/>
    </row>
    <row r="1206">
      <c r="B1206" s="11" t="n"/>
      <c r="C1206" s="8" t="n"/>
      <c r="D1206" s="8" t="n"/>
      <c r="E1206" s="8" t="n"/>
      <c r="F1206" s="20" t="n"/>
      <c r="G1206" s="8" t="n"/>
    </row>
    <row r="1207">
      <c r="B1207" s="11" t="n"/>
      <c r="C1207" s="8" t="n"/>
      <c r="D1207" s="8" t="n"/>
      <c r="E1207" s="8" t="n"/>
      <c r="F1207" s="20" t="n"/>
      <c r="G1207" s="8" t="n"/>
    </row>
    <row r="1208">
      <c r="B1208" s="11" t="n"/>
      <c r="C1208" s="8" t="n"/>
      <c r="D1208" s="8" t="n"/>
      <c r="E1208" s="8" t="n"/>
      <c r="F1208" s="20" t="n"/>
      <c r="G1208" s="8" t="n"/>
    </row>
    <row r="1209">
      <c r="B1209" s="11" t="n"/>
      <c r="C1209" s="8" t="n"/>
      <c r="D1209" s="8" t="n"/>
      <c r="E1209" s="8" t="n"/>
      <c r="F1209" s="20" t="n"/>
      <c r="G1209" s="8" t="n"/>
    </row>
    <row r="1210">
      <c r="B1210" s="11" t="n"/>
      <c r="C1210" s="8" t="n"/>
      <c r="D1210" s="8" t="n"/>
      <c r="E1210" s="8" t="n"/>
      <c r="F1210" s="20" t="n"/>
      <c r="G1210" s="8" t="n"/>
    </row>
    <row r="1211">
      <c r="B1211" s="11" t="n"/>
      <c r="C1211" s="8" t="n"/>
      <c r="D1211" s="8" t="n"/>
      <c r="E1211" s="8" t="n"/>
      <c r="F1211" s="20" t="n"/>
      <c r="G1211" s="8" t="n"/>
    </row>
    <row r="1212">
      <c r="B1212" s="11" t="n"/>
      <c r="C1212" s="8" t="n"/>
      <c r="D1212" s="8" t="n"/>
      <c r="E1212" s="8" t="n"/>
      <c r="F1212" s="20" t="n"/>
      <c r="G1212" s="8" t="n"/>
    </row>
    <row r="1213">
      <c r="B1213" s="11" t="n"/>
      <c r="C1213" s="8" t="n"/>
      <c r="D1213" s="8" t="n"/>
      <c r="E1213" s="8" t="n"/>
      <c r="F1213" s="20" t="n"/>
      <c r="G1213" s="8" t="n"/>
    </row>
    <row r="1214">
      <c r="B1214" s="11" t="n"/>
      <c r="C1214" s="8" t="n"/>
      <c r="D1214" s="8" t="n"/>
      <c r="E1214" s="8" t="n"/>
      <c r="F1214" s="20" t="n"/>
      <c r="G1214" s="8" t="n"/>
    </row>
    <row r="1215">
      <c r="B1215" s="11" t="n"/>
      <c r="C1215" s="8" t="n"/>
      <c r="D1215" s="8" t="n"/>
      <c r="E1215" s="8" t="n"/>
      <c r="F1215" s="20" t="n"/>
      <c r="G1215" s="8" t="n"/>
    </row>
    <row r="1216">
      <c r="B1216" s="11" t="n"/>
      <c r="C1216" s="8" t="n"/>
      <c r="D1216" s="8" t="n"/>
      <c r="E1216" s="8" t="n"/>
      <c r="F1216" s="20" t="n"/>
      <c r="G1216" s="8" t="n"/>
    </row>
    <row r="1217">
      <c r="B1217" s="11" t="n"/>
      <c r="C1217" s="8" t="n"/>
      <c r="D1217" s="8" t="n"/>
      <c r="E1217" s="8" t="n"/>
      <c r="F1217" s="20" t="n"/>
      <c r="G1217" s="8" t="n"/>
    </row>
    <row r="1218">
      <c r="B1218" s="11" t="n"/>
      <c r="C1218" s="8" t="n"/>
      <c r="D1218" s="8" t="n"/>
      <c r="E1218" s="8" t="n"/>
      <c r="F1218" s="20" t="n"/>
      <c r="G1218" s="8" t="n"/>
    </row>
    <row r="1219">
      <c r="B1219" s="11" t="n"/>
      <c r="C1219" s="8" t="n"/>
      <c r="D1219" s="8" t="n"/>
      <c r="E1219" s="8" t="n"/>
      <c r="F1219" s="20" t="n"/>
      <c r="G1219" s="8" t="n"/>
    </row>
    <row r="1220">
      <c r="B1220" s="11" t="n"/>
      <c r="C1220" s="8" t="n"/>
      <c r="D1220" s="8" t="n"/>
      <c r="E1220" s="8" t="n"/>
      <c r="F1220" s="20" t="n"/>
      <c r="G1220" s="8" t="n"/>
    </row>
    <row r="1221">
      <c r="B1221" s="11" t="n"/>
      <c r="C1221" s="8" t="n"/>
      <c r="D1221" s="8" t="n"/>
      <c r="E1221" s="8" t="n"/>
      <c r="F1221" s="20" t="n"/>
      <c r="G1221" s="8" t="n"/>
    </row>
    <row r="1222">
      <c r="B1222" s="11" t="n"/>
      <c r="C1222" s="8" t="n"/>
      <c r="D1222" s="8" t="n"/>
      <c r="E1222" s="8" t="n"/>
      <c r="F1222" s="20" t="n"/>
      <c r="G1222" s="8" t="n"/>
    </row>
    <row r="1223">
      <c r="B1223" s="11" t="n"/>
      <c r="C1223" s="8" t="n"/>
      <c r="D1223" s="8" t="n"/>
      <c r="E1223" s="8" t="n"/>
      <c r="F1223" s="20" t="n"/>
      <c r="G1223" s="8" t="n"/>
    </row>
    <row r="1224">
      <c r="B1224" s="11" t="n"/>
      <c r="C1224" s="8" t="n"/>
      <c r="D1224" s="8" t="n"/>
      <c r="E1224" s="8" t="n"/>
      <c r="F1224" s="20" t="n"/>
      <c r="G1224" s="8" t="n"/>
    </row>
    <row r="1225">
      <c r="B1225" s="11" t="n"/>
      <c r="C1225" s="8" t="n"/>
      <c r="D1225" s="8" t="n"/>
      <c r="E1225" s="8" t="n"/>
      <c r="F1225" s="20" t="n"/>
      <c r="G1225" s="8" t="n"/>
    </row>
    <row r="1226">
      <c r="B1226" s="11" t="n"/>
      <c r="C1226" s="8" t="n"/>
      <c r="D1226" s="8" t="n"/>
      <c r="E1226" s="8" t="n"/>
      <c r="F1226" s="20" t="n"/>
      <c r="G1226" s="8" t="n"/>
    </row>
    <row r="1227">
      <c r="B1227" s="11" t="n"/>
      <c r="C1227" s="8" t="n"/>
      <c r="D1227" s="8" t="n"/>
      <c r="E1227" s="8" t="n"/>
      <c r="F1227" s="20" t="n"/>
      <c r="G1227" s="8" t="n"/>
    </row>
    <row r="1228">
      <c r="B1228" s="11" t="n"/>
      <c r="C1228" s="8" t="n"/>
      <c r="D1228" s="8" t="n"/>
      <c r="E1228" s="8" t="n"/>
      <c r="F1228" s="20" t="n"/>
      <c r="G1228" s="8" t="n"/>
    </row>
    <row r="1229">
      <c r="B1229" s="11" t="n"/>
      <c r="C1229" s="8" t="n"/>
      <c r="D1229" s="8" t="n"/>
      <c r="E1229" s="8" t="n"/>
      <c r="F1229" s="20" t="n"/>
      <c r="G1229" s="8" t="n"/>
    </row>
    <row r="1230">
      <c r="B1230" s="11" t="n"/>
      <c r="C1230" s="8" t="n"/>
      <c r="D1230" s="8" t="n"/>
      <c r="E1230" s="8" t="n"/>
      <c r="F1230" s="20" t="n"/>
      <c r="G1230" s="8" t="n"/>
    </row>
    <row r="1231">
      <c r="B1231" s="11" t="n"/>
      <c r="C1231" s="8" t="n"/>
      <c r="D1231" s="8" t="n"/>
      <c r="E1231" s="8" t="n"/>
      <c r="F1231" s="20" t="n"/>
      <c r="G1231" s="8" t="n"/>
    </row>
    <row r="1232">
      <c r="B1232" s="11" t="n"/>
      <c r="C1232" s="8" t="n"/>
      <c r="D1232" s="8" t="n"/>
      <c r="E1232" s="8" t="n"/>
      <c r="F1232" s="20" t="n"/>
      <c r="G1232" s="8" t="n"/>
    </row>
    <row r="1233">
      <c r="B1233" s="11" t="n"/>
      <c r="C1233" s="8" t="n"/>
      <c r="D1233" s="8" t="n"/>
      <c r="E1233" s="8" t="n"/>
      <c r="F1233" s="20" t="n"/>
      <c r="G1233" s="8" t="n"/>
    </row>
    <row r="1234">
      <c r="B1234" s="11" t="n"/>
      <c r="C1234" s="8" t="n"/>
      <c r="D1234" s="8" t="n"/>
      <c r="E1234" s="8" t="n"/>
      <c r="F1234" s="20" t="n"/>
      <c r="G1234" s="8" t="n"/>
    </row>
    <row r="1235">
      <c r="B1235" s="11" t="n"/>
      <c r="C1235" s="8" t="n"/>
      <c r="D1235" s="8" t="n"/>
      <c r="E1235" s="8" t="n"/>
      <c r="F1235" s="20" t="n"/>
      <c r="G1235" s="8" t="n"/>
    </row>
    <row r="1236">
      <c r="B1236" s="11" t="n"/>
      <c r="C1236" s="8" t="n"/>
      <c r="D1236" s="8" t="n"/>
      <c r="E1236" s="8" t="n"/>
      <c r="F1236" s="20" t="n"/>
      <c r="G1236" s="8" t="n"/>
    </row>
    <row r="1237">
      <c r="B1237" s="11" t="n"/>
      <c r="C1237" s="8" t="n"/>
      <c r="D1237" s="8" t="n"/>
      <c r="E1237" s="8" t="n"/>
      <c r="F1237" s="20" t="n"/>
      <c r="G1237" s="8" t="n"/>
    </row>
    <row r="1238">
      <c r="B1238" s="11" t="n"/>
      <c r="C1238" s="8" t="n"/>
      <c r="D1238" s="8" t="n"/>
      <c r="E1238" s="8" t="n"/>
      <c r="F1238" s="20" t="n"/>
      <c r="G1238" s="8" t="n"/>
    </row>
    <row r="1239">
      <c r="B1239" s="11" t="n"/>
      <c r="C1239" s="8" t="n"/>
      <c r="D1239" s="8" t="n"/>
      <c r="E1239" s="8" t="n"/>
      <c r="F1239" s="20" t="n"/>
      <c r="G1239" s="8" t="n"/>
    </row>
    <row r="1240">
      <c r="B1240" s="11" t="n"/>
      <c r="C1240" s="8" t="n"/>
      <c r="D1240" s="8" t="n"/>
      <c r="E1240" s="8" t="n"/>
      <c r="F1240" s="20" t="n"/>
      <c r="G1240" s="8" t="n"/>
    </row>
    <row r="1241">
      <c r="B1241" s="11" t="n"/>
      <c r="C1241" s="8" t="n"/>
      <c r="D1241" s="8" t="n"/>
      <c r="E1241" s="8" t="n"/>
      <c r="F1241" s="20" t="n"/>
      <c r="G1241" s="8" t="n"/>
    </row>
    <row r="1242">
      <c r="B1242" s="11" t="n"/>
      <c r="C1242" s="8" t="n"/>
      <c r="D1242" s="8" t="n"/>
      <c r="E1242" s="8" t="n"/>
      <c r="F1242" s="20" t="n"/>
      <c r="G1242" s="8" t="n"/>
    </row>
    <row r="1243">
      <c r="B1243" s="11" t="n"/>
      <c r="C1243" s="8" t="n"/>
      <c r="D1243" s="8" t="n"/>
      <c r="E1243" s="8" t="n"/>
      <c r="F1243" s="20" t="n"/>
      <c r="G1243" s="8" t="n"/>
    </row>
    <row r="1244">
      <c r="B1244" s="11" t="n"/>
      <c r="C1244" s="8" t="n"/>
      <c r="D1244" s="8" t="n"/>
      <c r="E1244" s="8" t="n"/>
      <c r="F1244" s="20" t="n"/>
      <c r="G1244" s="8" t="n"/>
    </row>
    <row r="1245">
      <c r="B1245" s="11" t="n"/>
      <c r="C1245" s="8" t="n"/>
      <c r="D1245" s="8" t="n"/>
      <c r="E1245" s="8" t="n"/>
      <c r="F1245" s="20" t="n"/>
      <c r="G1245" s="8" t="n"/>
    </row>
    <row r="1246">
      <c r="B1246" s="11" t="n"/>
      <c r="C1246" s="8" t="n"/>
      <c r="D1246" s="8" t="n"/>
      <c r="E1246" s="8" t="n"/>
      <c r="F1246" s="20" t="n"/>
      <c r="G1246" s="8" t="n"/>
    </row>
    <row r="1247">
      <c r="B1247" s="11" t="n"/>
      <c r="C1247" s="8" t="n"/>
      <c r="D1247" s="8" t="n"/>
      <c r="E1247" s="8" t="n"/>
      <c r="F1247" s="20" t="n"/>
      <c r="G1247" s="8" t="n"/>
    </row>
    <row r="1248">
      <c r="B1248" s="11" t="n"/>
      <c r="C1248" s="8" t="n"/>
      <c r="D1248" s="8" t="n"/>
      <c r="E1248" s="8" t="n"/>
      <c r="F1248" s="20" t="n"/>
      <c r="G1248" s="8" t="n"/>
    </row>
    <row r="1249">
      <c r="B1249" s="11" t="n"/>
      <c r="C1249" s="8" t="n"/>
      <c r="D1249" s="8" t="n"/>
      <c r="E1249" s="8" t="n"/>
      <c r="F1249" s="20" t="n"/>
      <c r="G1249" s="8" t="n"/>
    </row>
    <row r="1250">
      <c r="B1250" s="11" t="n"/>
      <c r="C1250" s="8" t="n"/>
      <c r="D1250" s="8" t="n"/>
      <c r="E1250" s="8" t="n"/>
      <c r="F1250" s="20" t="n"/>
      <c r="G1250" s="8" t="n"/>
    </row>
    <row r="1251">
      <c r="B1251" s="11" t="n"/>
      <c r="C1251" s="8" t="n"/>
      <c r="D1251" s="8" t="n"/>
      <c r="E1251" s="8" t="n"/>
      <c r="F1251" s="20" t="n"/>
      <c r="G1251" s="8" t="n"/>
    </row>
    <row r="1252">
      <c r="B1252" s="11" t="n"/>
      <c r="C1252" s="8" t="n"/>
      <c r="D1252" s="8" t="n"/>
      <c r="E1252" s="8" t="n"/>
      <c r="F1252" s="20" t="n"/>
      <c r="G1252" s="8" t="n"/>
    </row>
    <row r="1253">
      <c r="B1253" s="11" t="n"/>
      <c r="C1253" s="8" t="n"/>
      <c r="D1253" s="8" t="n"/>
      <c r="E1253" s="8" t="n"/>
      <c r="F1253" s="20" t="n"/>
      <c r="G1253" s="8" t="n"/>
    </row>
    <row r="1254">
      <c r="B1254" s="11" t="n"/>
      <c r="C1254" s="8" t="n"/>
      <c r="D1254" s="8" t="n"/>
      <c r="E1254" s="8" t="n"/>
      <c r="F1254" s="20" t="n"/>
      <c r="G1254" s="8" t="n"/>
    </row>
    <row r="1255">
      <c r="B1255" s="11" t="n"/>
      <c r="C1255" s="8" t="n"/>
      <c r="D1255" s="8" t="n"/>
      <c r="E1255" s="8" t="n"/>
      <c r="F1255" s="20" t="n"/>
      <c r="G1255" s="8" t="n"/>
    </row>
    <row r="1256">
      <c r="B1256" s="11" t="n"/>
      <c r="C1256" s="8" t="n"/>
      <c r="D1256" s="8" t="n"/>
      <c r="E1256" s="8" t="n"/>
      <c r="F1256" s="20" t="n"/>
      <c r="G1256" s="8" t="n"/>
    </row>
    <row r="1257">
      <c r="B1257" s="11" t="n"/>
      <c r="C1257" s="8" t="n"/>
      <c r="D1257" s="8" t="n"/>
      <c r="E1257" s="8" t="n"/>
      <c r="F1257" s="20" t="n"/>
      <c r="G1257" s="8" t="n"/>
    </row>
    <row r="1258">
      <c r="B1258" s="11" t="n"/>
      <c r="C1258" s="8" t="n"/>
      <c r="D1258" s="8" t="n"/>
      <c r="E1258" s="8" t="n"/>
      <c r="F1258" s="20" t="n"/>
      <c r="G1258" s="8" t="n"/>
    </row>
    <row r="1259">
      <c r="B1259" s="11" t="n"/>
      <c r="C1259" s="8" t="n"/>
      <c r="D1259" s="8" t="n"/>
      <c r="E1259" s="8" t="n"/>
      <c r="F1259" s="20" t="n"/>
      <c r="G1259" s="8" t="n"/>
    </row>
    <row r="1260">
      <c r="B1260" s="11" t="n"/>
      <c r="C1260" s="8" t="n"/>
      <c r="D1260" s="8" t="n"/>
      <c r="E1260" s="8" t="n"/>
      <c r="F1260" s="20" t="n"/>
      <c r="G1260" s="8" t="n"/>
    </row>
    <row r="1261">
      <c r="B1261" s="11" t="n"/>
      <c r="C1261" s="8" t="n"/>
      <c r="D1261" s="8" t="n"/>
      <c r="E1261" s="8" t="n"/>
      <c r="F1261" s="20" t="n"/>
      <c r="G1261" s="8" t="n"/>
    </row>
    <row r="1262">
      <c r="B1262" s="11" t="n"/>
      <c r="C1262" s="8" t="n"/>
      <c r="D1262" s="8" t="n"/>
      <c r="E1262" s="8" t="n"/>
      <c r="F1262" s="20" t="n"/>
      <c r="G1262" s="8" t="n"/>
    </row>
    <row r="1263">
      <c r="B1263" s="11" t="n"/>
      <c r="C1263" s="8" t="n"/>
      <c r="D1263" s="8" t="n"/>
      <c r="E1263" s="8" t="n"/>
      <c r="F1263" s="20" t="n"/>
      <c r="G1263" s="8" t="n"/>
    </row>
    <row r="1264">
      <c r="B1264" s="11" t="n"/>
      <c r="C1264" s="8" t="n"/>
      <c r="D1264" s="8" t="n"/>
      <c r="E1264" s="8" t="n"/>
      <c r="F1264" s="20" t="n"/>
      <c r="G1264" s="8" t="n"/>
    </row>
    <row r="1265">
      <c r="B1265" s="11" t="n"/>
      <c r="C1265" s="8" t="n"/>
      <c r="D1265" s="8" t="n"/>
      <c r="E1265" s="8" t="n"/>
      <c r="F1265" s="20" t="n"/>
      <c r="G1265" s="8" t="n"/>
    </row>
    <row r="1266">
      <c r="B1266" s="11" t="n"/>
      <c r="C1266" s="8" t="n"/>
      <c r="D1266" s="8" t="n"/>
      <c r="E1266" s="8" t="n"/>
      <c r="F1266" s="20" t="n"/>
      <c r="G1266" s="8" t="n"/>
    </row>
    <row r="1267">
      <c r="B1267" s="11" t="n"/>
      <c r="C1267" s="8" t="n"/>
      <c r="D1267" s="8" t="n"/>
      <c r="E1267" s="8" t="n"/>
      <c r="F1267" s="20" t="n"/>
      <c r="G1267" s="8" t="n"/>
    </row>
    <row r="1268">
      <c r="B1268" s="11" t="n"/>
      <c r="C1268" s="8" t="n"/>
      <c r="D1268" s="8" t="n"/>
      <c r="E1268" s="8" t="n"/>
      <c r="F1268" s="20" t="n"/>
      <c r="G1268" s="8" t="n"/>
    </row>
    <row r="1269">
      <c r="B1269" s="11" t="n"/>
      <c r="C1269" s="8" t="n"/>
      <c r="D1269" s="8" t="n"/>
      <c r="E1269" s="8" t="n"/>
      <c r="F1269" s="20" t="n"/>
      <c r="G1269" s="8" t="n"/>
    </row>
    <row r="1270">
      <c r="B1270" s="11" t="n"/>
      <c r="C1270" s="8" t="n"/>
      <c r="D1270" s="8" t="n"/>
      <c r="E1270" s="8" t="n"/>
      <c r="F1270" s="20" t="n"/>
      <c r="G1270" s="8" t="n"/>
    </row>
    <row r="1271">
      <c r="B1271" s="11" t="n"/>
      <c r="C1271" s="8" t="n"/>
      <c r="D1271" s="8" t="n"/>
      <c r="E1271" s="8" t="n"/>
      <c r="F1271" s="20" t="n"/>
      <c r="G1271" s="8" t="n"/>
    </row>
    <row r="1272">
      <c r="B1272" s="11" t="n"/>
      <c r="C1272" s="8" t="n"/>
      <c r="D1272" s="8" t="n"/>
      <c r="E1272" s="8" t="n"/>
      <c r="F1272" s="20" t="n"/>
      <c r="G1272" s="8" t="n"/>
    </row>
    <row r="1273">
      <c r="B1273" s="11" t="n"/>
      <c r="C1273" s="8" t="n"/>
      <c r="D1273" s="8" t="n"/>
      <c r="E1273" s="8" t="n"/>
      <c r="F1273" s="20" t="n"/>
      <c r="G1273" s="8" t="n"/>
    </row>
    <row r="1274">
      <c r="B1274" s="11" t="n"/>
      <c r="C1274" s="8" t="n"/>
      <c r="D1274" s="8" t="n"/>
      <c r="E1274" s="8" t="n"/>
      <c r="F1274" s="20" t="n"/>
      <c r="G1274" s="8" t="n"/>
    </row>
    <row r="1275">
      <c r="B1275" s="11" t="n"/>
      <c r="C1275" s="8" t="n"/>
      <c r="D1275" s="8" t="n"/>
      <c r="E1275" s="8" t="n"/>
      <c r="F1275" s="20" t="n"/>
      <c r="G1275" s="8" t="n"/>
    </row>
    <row r="1276">
      <c r="B1276" s="11" t="n"/>
      <c r="C1276" s="8" t="n"/>
      <c r="D1276" s="8" t="n"/>
      <c r="E1276" s="8" t="n"/>
      <c r="F1276" s="20" t="n"/>
      <c r="G1276" s="8" t="n"/>
    </row>
    <row r="1277">
      <c r="B1277" s="11" t="n"/>
      <c r="C1277" s="8" t="n"/>
      <c r="D1277" s="8" t="n"/>
      <c r="E1277" s="8" t="n"/>
      <c r="F1277" s="20" t="n"/>
      <c r="G1277" s="8" t="n"/>
    </row>
    <row r="1278">
      <c r="B1278" s="11" t="n"/>
      <c r="C1278" s="8" t="n"/>
      <c r="D1278" s="8" t="n"/>
      <c r="E1278" s="8" t="n"/>
      <c r="F1278" s="20" t="n"/>
      <c r="G1278" s="8" t="n"/>
    </row>
    <row r="1279">
      <c r="B1279" s="11" t="n"/>
      <c r="C1279" s="8" t="n"/>
      <c r="D1279" s="8" t="n"/>
      <c r="E1279" s="8" t="n"/>
      <c r="F1279" s="20" t="n"/>
      <c r="G1279" s="8" t="n"/>
    </row>
    <row r="1280">
      <c r="B1280" s="11" t="n"/>
      <c r="C1280" s="8" t="n"/>
      <c r="D1280" s="8" t="n"/>
      <c r="E1280" s="8" t="n"/>
      <c r="F1280" s="20" t="n"/>
      <c r="G1280" s="8" t="n"/>
    </row>
    <row r="1281">
      <c r="B1281" s="11" t="n"/>
      <c r="C1281" s="8" t="n"/>
      <c r="D1281" s="8" t="n"/>
      <c r="E1281" s="8" t="n"/>
      <c r="F1281" s="20" t="n"/>
      <c r="G1281" s="8" t="n"/>
    </row>
    <row r="1282">
      <c r="B1282" s="11" t="n"/>
      <c r="C1282" s="8" t="n"/>
      <c r="D1282" s="8" t="n"/>
      <c r="E1282" s="8" t="n"/>
      <c r="F1282" s="20" t="n"/>
      <c r="G1282" s="8" t="n"/>
    </row>
    <row r="1283">
      <c r="B1283" s="11" t="n"/>
      <c r="C1283" s="8" t="n"/>
      <c r="D1283" s="8" t="n"/>
      <c r="E1283" s="8" t="n"/>
      <c r="F1283" s="20" t="n"/>
      <c r="G1283" s="8" t="n"/>
    </row>
    <row r="1284">
      <c r="B1284" s="11" t="n"/>
      <c r="C1284" s="8" t="n"/>
      <c r="D1284" s="8" t="n"/>
      <c r="E1284" s="8" t="n"/>
      <c r="F1284" s="20" t="n"/>
      <c r="G1284" s="8" t="n"/>
    </row>
    <row r="1285">
      <c r="B1285" s="11" t="n"/>
      <c r="C1285" s="8" t="n"/>
      <c r="D1285" s="8" t="n"/>
      <c r="E1285" s="8" t="n"/>
      <c r="F1285" s="20" t="n"/>
      <c r="G1285" s="8" t="n"/>
    </row>
    <row r="1286">
      <c r="B1286" s="11" t="n"/>
      <c r="C1286" s="8" t="n"/>
      <c r="D1286" s="8" t="n"/>
      <c r="E1286" s="8" t="n"/>
      <c r="F1286" s="20" t="n"/>
      <c r="G1286" s="8" t="n"/>
    </row>
    <row r="1287">
      <c r="B1287" s="11" t="n"/>
      <c r="C1287" s="8" t="n"/>
      <c r="D1287" s="8" t="n"/>
      <c r="E1287" s="8" t="n"/>
      <c r="F1287" s="20" t="n"/>
      <c r="G1287" s="8" t="n"/>
    </row>
    <row r="1288">
      <c r="B1288" s="11" t="n"/>
      <c r="C1288" s="8" t="n"/>
      <c r="D1288" s="8" t="n"/>
      <c r="E1288" s="8" t="n"/>
      <c r="F1288" s="20" t="n"/>
      <c r="G1288" s="8" t="n"/>
    </row>
    <row r="1289">
      <c r="B1289" s="11" t="n"/>
      <c r="C1289" s="8" t="n"/>
      <c r="D1289" s="8" t="n"/>
      <c r="E1289" s="8" t="n"/>
      <c r="F1289" s="20" t="n"/>
      <c r="G1289" s="8" t="n"/>
    </row>
    <row r="1290">
      <c r="B1290" s="11" t="n"/>
      <c r="C1290" s="8" t="n"/>
      <c r="D1290" s="8" t="n"/>
      <c r="E1290" s="8" t="n"/>
      <c r="F1290" s="20" t="n"/>
      <c r="G1290" s="8" t="n"/>
    </row>
    <row r="1291">
      <c r="B1291" s="11" t="n"/>
      <c r="C1291" s="8" t="n"/>
      <c r="D1291" s="8" t="n"/>
      <c r="E1291" s="8" t="n"/>
      <c r="F1291" s="20" t="n"/>
      <c r="G1291" s="8" t="n"/>
    </row>
    <row r="1292">
      <c r="B1292" s="11" t="n"/>
      <c r="C1292" s="8" t="n"/>
      <c r="D1292" s="8" t="n"/>
      <c r="E1292" s="8" t="n"/>
      <c r="F1292" s="20" t="n"/>
      <c r="G1292" s="8" t="n"/>
    </row>
    <row r="1293">
      <c r="B1293" s="11" t="n"/>
      <c r="C1293" s="8" t="n"/>
      <c r="D1293" s="8" t="n"/>
      <c r="E1293" s="8" t="n"/>
      <c r="F1293" s="20" t="n"/>
      <c r="G1293" s="8" t="n"/>
    </row>
    <row r="1294">
      <c r="B1294" s="11" t="n"/>
      <c r="C1294" s="8" t="n"/>
      <c r="D1294" s="8" t="n"/>
      <c r="E1294" s="8" t="n"/>
      <c r="F1294" s="20" t="n"/>
      <c r="G1294" s="8" t="n"/>
    </row>
    <row r="1295">
      <c r="B1295" s="11" t="n"/>
      <c r="C1295" s="8" t="n"/>
      <c r="D1295" s="8" t="n"/>
      <c r="E1295" s="8" t="n"/>
      <c r="F1295" s="20" t="n"/>
      <c r="G1295" s="8" t="n"/>
    </row>
    <row r="1296">
      <c r="B1296" s="11" t="n"/>
      <c r="C1296" s="8" t="n"/>
      <c r="D1296" s="8" t="n"/>
      <c r="E1296" s="8" t="n"/>
      <c r="F1296" s="20" t="n"/>
      <c r="G1296" s="8" t="n"/>
    </row>
    <row r="1297">
      <c r="B1297" s="11" t="n"/>
      <c r="C1297" s="8" t="n"/>
      <c r="D1297" s="8" t="n"/>
      <c r="E1297" s="8" t="n"/>
      <c r="F1297" s="20" t="n"/>
      <c r="G1297" s="8" t="n"/>
    </row>
    <row r="1298">
      <c r="B1298" s="11" t="n"/>
      <c r="C1298" s="8" t="n"/>
      <c r="D1298" s="8" t="n"/>
      <c r="E1298" s="8" t="n"/>
      <c r="F1298" s="20" t="n"/>
      <c r="G1298" s="8" t="n"/>
    </row>
    <row r="1299">
      <c r="B1299" s="11" t="n"/>
      <c r="C1299" s="8" t="n"/>
      <c r="D1299" s="8" t="n"/>
      <c r="E1299" s="8" t="n"/>
      <c r="F1299" s="20" t="n"/>
      <c r="G1299" s="8" t="n"/>
    </row>
    <row r="1300">
      <c r="B1300" s="11" t="n"/>
      <c r="C1300" s="8" t="n"/>
      <c r="D1300" s="8" t="n"/>
      <c r="E1300" s="8" t="n"/>
      <c r="F1300" s="20" t="n"/>
      <c r="G1300" s="8" t="n"/>
    </row>
    <row r="1301">
      <c r="B1301" s="11" t="n"/>
      <c r="C1301" s="8" t="n"/>
      <c r="D1301" s="8" t="n"/>
      <c r="E1301" s="8" t="n"/>
      <c r="F1301" s="20" t="n"/>
      <c r="G1301" s="8" t="n"/>
    </row>
    <row r="1302">
      <c r="B1302" s="11" t="n"/>
      <c r="C1302" s="8" t="n"/>
      <c r="D1302" s="8" t="n"/>
      <c r="E1302" s="8" t="n"/>
      <c r="F1302" s="20" t="n"/>
      <c r="G1302" s="8" t="n"/>
    </row>
    <row r="1303">
      <c r="B1303" s="11" t="n"/>
      <c r="C1303" s="8" t="n"/>
      <c r="D1303" s="8" t="n"/>
      <c r="E1303" s="8" t="n"/>
      <c r="F1303" s="20" t="n"/>
      <c r="G1303" s="8" t="n"/>
    </row>
    <row r="1304">
      <c r="B1304" s="11" t="n"/>
      <c r="C1304" s="8" t="n"/>
      <c r="D1304" s="8" t="n"/>
      <c r="E1304" s="8" t="n"/>
      <c r="F1304" s="20" t="n"/>
      <c r="G1304" s="8" t="n"/>
    </row>
    <row r="1305">
      <c r="B1305" s="11" t="n"/>
      <c r="C1305" s="8" t="n"/>
      <c r="D1305" s="8" t="n"/>
      <c r="E1305" s="8" t="n"/>
      <c r="F1305" s="20" t="n"/>
      <c r="G1305" s="8" t="n"/>
    </row>
    <row r="1306">
      <c r="B1306" s="11" t="n"/>
      <c r="C1306" s="8" t="n"/>
      <c r="D1306" s="8" t="n"/>
      <c r="E1306" s="8" t="n"/>
      <c r="F1306" s="20" t="n"/>
      <c r="G1306" s="8" t="n"/>
    </row>
    <row r="1307">
      <c r="B1307" s="11" t="n"/>
      <c r="C1307" s="8" t="n"/>
      <c r="D1307" s="8" t="n"/>
      <c r="E1307" s="8" t="n"/>
      <c r="F1307" s="20" t="n"/>
      <c r="G1307" s="8" t="n"/>
    </row>
    <row r="1308">
      <c r="B1308" s="11" t="n"/>
      <c r="C1308" s="8" t="n"/>
      <c r="D1308" s="8" t="n"/>
      <c r="E1308" s="8" t="n"/>
      <c r="F1308" s="20" t="n"/>
      <c r="G1308" s="8" t="n"/>
    </row>
    <row r="1309">
      <c r="B1309" s="11" t="n"/>
      <c r="C1309" s="8" t="n"/>
      <c r="D1309" s="8" t="n"/>
      <c r="E1309" s="8" t="n"/>
      <c r="F1309" s="20" t="n"/>
      <c r="G1309" s="8" t="n"/>
    </row>
    <row r="1310">
      <c r="B1310" s="11" t="n"/>
      <c r="C1310" s="8" t="n"/>
      <c r="D1310" s="8" t="n"/>
      <c r="E1310" s="8" t="n"/>
      <c r="F1310" s="20" t="n"/>
      <c r="G1310" s="8" t="n"/>
    </row>
    <row r="1311">
      <c r="B1311" s="11" t="n"/>
      <c r="C1311" s="8" t="n"/>
      <c r="D1311" s="8" t="n"/>
      <c r="E1311" s="8" t="n"/>
      <c r="F1311" s="20" t="n"/>
      <c r="G1311" s="8" t="n"/>
    </row>
    <row r="1312">
      <c r="B1312" s="11" t="n"/>
      <c r="C1312" s="8" t="n"/>
      <c r="D1312" s="8" t="n"/>
      <c r="E1312" s="8" t="n"/>
      <c r="F1312" s="20" t="n"/>
      <c r="G1312" s="8" t="n"/>
    </row>
    <row r="1313">
      <c r="B1313" s="11" t="n"/>
      <c r="C1313" s="8" t="n"/>
      <c r="D1313" s="8" t="n"/>
      <c r="E1313" s="8" t="n"/>
      <c r="F1313" s="20" t="n"/>
      <c r="G1313" s="8" t="n"/>
    </row>
    <row r="1314">
      <c r="B1314" s="11" t="n"/>
      <c r="C1314" s="8" t="n"/>
      <c r="D1314" s="8" t="n"/>
      <c r="E1314" s="8" t="n"/>
      <c r="F1314" s="20" t="n"/>
      <c r="G1314" s="8" t="n"/>
    </row>
    <row r="1315">
      <c r="B1315" s="11" t="n"/>
      <c r="C1315" s="8" t="n"/>
      <c r="D1315" s="8" t="n"/>
      <c r="E1315" s="8" t="n"/>
      <c r="F1315" s="20" t="n"/>
      <c r="G1315" s="8" t="n"/>
    </row>
    <row r="1316">
      <c r="B1316" s="11" t="n"/>
      <c r="C1316" s="8" t="n"/>
      <c r="D1316" s="8" t="n"/>
      <c r="E1316" s="8" t="n"/>
      <c r="F1316" s="20" t="n"/>
      <c r="G1316" s="8" t="n"/>
    </row>
    <row r="1317">
      <c r="B1317" s="11" t="n"/>
      <c r="C1317" s="8" t="n"/>
      <c r="D1317" s="8" t="n"/>
      <c r="E1317" s="8" t="n"/>
      <c r="F1317" s="20" t="n"/>
      <c r="G1317" s="8" t="n"/>
    </row>
    <row r="1318">
      <c r="B1318" s="11" t="n"/>
      <c r="C1318" s="8" t="n"/>
      <c r="D1318" s="8" t="n"/>
      <c r="E1318" s="8" t="n"/>
      <c r="F1318" s="20" t="n"/>
      <c r="G1318" s="8" t="n"/>
    </row>
    <row r="1319">
      <c r="B1319" s="11" t="n"/>
      <c r="C1319" s="8" t="n"/>
      <c r="D1319" s="8" t="n"/>
      <c r="E1319" s="8" t="n"/>
      <c r="F1319" s="20" t="n"/>
      <c r="G1319" s="8" t="n"/>
    </row>
    <row r="1320">
      <c r="B1320" s="11" t="n"/>
      <c r="C1320" s="8" t="n"/>
      <c r="D1320" s="8" t="n"/>
      <c r="E1320" s="8" t="n"/>
      <c r="F1320" s="20" t="n"/>
      <c r="G1320" s="8" t="n"/>
    </row>
    <row r="1321">
      <c r="B1321" s="11" t="n"/>
      <c r="C1321" s="8" t="n"/>
      <c r="D1321" s="8" t="n"/>
      <c r="E1321" s="8" t="n"/>
      <c r="F1321" s="20" t="n"/>
      <c r="G1321" s="8" t="n"/>
    </row>
    <row r="1322">
      <c r="B1322" s="11" t="n"/>
      <c r="C1322" s="8" t="n"/>
      <c r="D1322" s="8" t="n"/>
      <c r="E1322" s="8" t="n"/>
      <c r="F1322" s="20" t="n"/>
      <c r="G1322" s="8" t="n"/>
    </row>
    <row r="1323">
      <c r="B1323" s="11" t="n"/>
      <c r="C1323" s="8" t="n"/>
      <c r="D1323" s="8" t="n"/>
      <c r="E1323" s="8" t="n"/>
      <c r="F1323" s="20" t="n"/>
      <c r="G1323" s="8" t="n"/>
    </row>
    <row r="1324">
      <c r="B1324" s="11" t="n"/>
      <c r="C1324" s="8" t="n"/>
      <c r="D1324" s="8" t="n"/>
      <c r="E1324" s="8" t="n"/>
      <c r="F1324" s="20" t="n"/>
      <c r="G1324" s="8" t="n"/>
    </row>
    <row r="1325">
      <c r="B1325" s="11" t="n"/>
      <c r="C1325" s="8" t="n"/>
      <c r="D1325" s="8" t="n"/>
      <c r="E1325" s="8" t="n"/>
      <c r="F1325" s="20" t="n"/>
      <c r="G1325" s="8" t="n"/>
    </row>
    <row r="1326">
      <c r="B1326" s="11" t="n"/>
      <c r="C1326" s="8" t="n"/>
      <c r="D1326" s="8" t="n"/>
      <c r="E1326" s="8" t="n"/>
      <c r="F1326" s="20" t="n"/>
      <c r="G1326" s="8" t="n"/>
    </row>
    <row r="1327">
      <c r="B1327" s="11" t="n"/>
      <c r="C1327" s="8" t="n"/>
      <c r="D1327" s="8" t="n"/>
      <c r="E1327" s="8" t="n"/>
      <c r="F1327" s="20" t="n"/>
      <c r="G1327" s="8" t="n"/>
    </row>
    <row r="1328">
      <c r="B1328" s="11" t="n"/>
      <c r="C1328" s="8" t="n"/>
      <c r="D1328" s="8" t="n"/>
      <c r="E1328" s="8" t="n"/>
      <c r="F1328" s="20" t="n"/>
      <c r="G1328" s="8" t="n"/>
    </row>
    <row r="1329">
      <c r="B1329" s="11" t="n"/>
      <c r="C1329" s="8" t="n"/>
      <c r="D1329" s="8" t="n"/>
      <c r="E1329" s="8" t="n"/>
      <c r="F1329" s="20" t="n"/>
      <c r="G1329" s="8" t="n"/>
    </row>
    <row r="1330">
      <c r="B1330" s="11" t="n"/>
      <c r="C1330" s="8" t="n"/>
      <c r="D1330" s="8" t="n"/>
      <c r="E1330" s="8" t="n"/>
      <c r="F1330" s="20" t="n"/>
      <c r="G1330" s="8" t="n"/>
    </row>
    <row r="1331">
      <c r="B1331" s="11" t="n"/>
      <c r="C1331" s="8" t="n"/>
      <c r="D1331" s="8" t="n"/>
      <c r="E1331" s="8" t="n"/>
      <c r="F1331" s="20" t="n"/>
      <c r="G1331" s="8" t="n"/>
    </row>
    <row r="1332">
      <c r="B1332" s="11" t="n"/>
      <c r="C1332" s="8" t="n"/>
      <c r="D1332" s="8" t="n"/>
      <c r="E1332" s="8" t="n"/>
      <c r="F1332" s="20" t="n"/>
      <c r="G1332" s="8" t="n"/>
    </row>
    <row r="1333">
      <c r="B1333" s="11" t="n"/>
      <c r="C1333" s="8" t="n"/>
      <c r="D1333" s="8" t="n"/>
      <c r="E1333" s="8" t="n"/>
      <c r="F1333" s="20" t="n"/>
      <c r="G1333" s="8" t="n"/>
    </row>
    <row r="1334">
      <c r="B1334" s="11" t="n"/>
      <c r="C1334" s="8" t="n"/>
      <c r="D1334" s="8" t="n"/>
      <c r="E1334" s="8" t="n"/>
      <c r="F1334" s="20" t="n"/>
      <c r="G1334" s="8" t="n"/>
    </row>
    <row r="1335">
      <c r="B1335" s="11" t="n"/>
      <c r="C1335" s="8" t="n"/>
      <c r="D1335" s="8" t="n"/>
      <c r="E1335" s="8" t="n"/>
      <c r="F1335" s="20" t="n"/>
      <c r="G1335" s="8" t="n"/>
    </row>
    <row r="1336">
      <c r="B1336" s="11" t="n"/>
      <c r="C1336" s="8" t="n"/>
      <c r="D1336" s="8" t="n"/>
      <c r="E1336" s="8" t="n"/>
      <c r="F1336" s="20" t="n"/>
      <c r="G1336" s="8" t="n"/>
    </row>
    <row r="1337">
      <c r="B1337" s="11" t="n"/>
      <c r="C1337" s="8" t="n"/>
      <c r="D1337" s="8" t="n"/>
      <c r="E1337" s="8" t="n"/>
      <c r="F1337" s="20" t="n"/>
      <c r="G1337" s="8" t="n"/>
    </row>
    <row r="1338">
      <c r="B1338" s="11" t="n"/>
      <c r="C1338" s="8" t="n"/>
      <c r="D1338" s="8" t="n"/>
      <c r="E1338" s="8" t="n"/>
      <c r="F1338" s="20" t="n"/>
      <c r="G1338" s="8" t="n"/>
    </row>
    <row r="1339">
      <c r="B1339" s="11" t="n"/>
      <c r="C1339" s="8" t="n"/>
      <c r="D1339" s="8" t="n"/>
      <c r="E1339" s="8" t="n"/>
      <c r="F1339" s="20" t="n"/>
      <c r="G1339" s="8" t="n"/>
    </row>
    <row r="1340">
      <c r="B1340" s="11" t="n"/>
      <c r="C1340" s="8" t="n"/>
      <c r="D1340" s="8" t="n"/>
      <c r="E1340" s="8" t="n"/>
      <c r="F1340" s="20" t="n"/>
      <c r="G1340" s="8" t="n"/>
    </row>
    <row r="1341">
      <c r="B1341" s="11" t="n"/>
      <c r="C1341" s="8" t="n"/>
      <c r="D1341" s="8" t="n"/>
      <c r="E1341" s="8" t="n"/>
      <c r="F1341" s="20" t="n"/>
      <c r="G1341" s="8" t="n"/>
    </row>
    <row r="1342">
      <c r="B1342" s="11" t="n"/>
      <c r="C1342" s="8" t="n"/>
      <c r="D1342" s="8" t="n"/>
      <c r="E1342" s="8" t="n"/>
      <c r="F1342" s="20" t="n"/>
      <c r="G1342" s="8" t="n"/>
    </row>
    <row r="1343">
      <c r="B1343" s="11" t="n"/>
      <c r="C1343" s="8" t="n"/>
      <c r="D1343" s="8" t="n"/>
      <c r="E1343" s="8" t="n"/>
      <c r="F1343" s="20" t="n"/>
      <c r="G1343" s="8" t="n"/>
    </row>
    <row r="1344">
      <c r="B1344" s="11" t="n"/>
      <c r="C1344" s="8" t="n"/>
      <c r="D1344" s="8" t="n"/>
      <c r="E1344" s="8" t="n"/>
      <c r="F1344" s="20" t="n"/>
      <c r="G1344" s="8" t="n"/>
    </row>
    <row r="1345">
      <c r="B1345" s="11" t="n"/>
      <c r="C1345" s="8" t="n"/>
      <c r="D1345" s="8" t="n"/>
      <c r="E1345" s="8" t="n"/>
      <c r="F1345" s="20" t="n"/>
      <c r="G1345" s="8" t="n"/>
    </row>
    <row r="1346">
      <c r="B1346" s="11" t="n"/>
      <c r="C1346" s="8" t="n"/>
      <c r="D1346" s="8" t="n"/>
      <c r="E1346" s="8" t="n"/>
      <c r="F1346" s="20" t="n"/>
      <c r="G1346" s="8" t="n"/>
    </row>
    <row r="1347">
      <c r="B1347" s="11" t="n"/>
      <c r="C1347" s="8" t="n"/>
      <c r="D1347" s="8" t="n"/>
      <c r="E1347" s="8" t="n"/>
      <c r="F1347" s="20" t="n"/>
      <c r="G1347" s="8" t="n"/>
    </row>
    <row r="1348">
      <c r="B1348" s="11" t="n"/>
      <c r="C1348" s="8" t="n"/>
      <c r="D1348" s="8" t="n"/>
      <c r="E1348" s="8" t="n"/>
      <c r="F1348" s="20" t="n"/>
      <c r="G1348" s="8" t="n"/>
    </row>
    <row r="1349">
      <c r="B1349" s="11" t="n"/>
      <c r="C1349" s="8" t="n"/>
      <c r="D1349" s="8" t="n"/>
      <c r="E1349" s="8" t="n"/>
      <c r="F1349" s="20" t="n"/>
      <c r="G1349" s="8" t="n"/>
    </row>
    <row r="1350">
      <c r="B1350" s="11" t="n"/>
      <c r="C1350" s="8" t="n"/>
      <c r="D1350" s="8" t="n"/>
      <c r="E1350" s="8" t="n"/>
      <c r="F1350" s="20" t="n"/>
      <c r="G1350" s="8" t="n"/>
    </row>
    <row r="1351">
      <c r="B1351" s="11" t="n"/>
      <c r="C1351" s="8" t="n"/>
      <c r="D1351" s="8" t="n"/>
      <c r="E1351" s="8" t="n"/>
      <c r="F1351" s="20" t="n"/>
      <c r="G1351" s="8" t="n"/>
    </row>
    <row r="1352">
      <c r="B1352" s="11" t="n"/>
      <c r="C1352" s="8" t="n"/>
      <c r="D1352" s="8" t="n"/>
      <c r="E1352" s="8" t="n"/>
      <c r="F1352" s="20" t="n"/>
      <c r="G1352" s="8" t="n"/>
    </row>
    <row r="1353">
      <c r="B1353" s="11" t="n"/>
      <c r="C1353" s="8" t="n"/>
      <c r="D1353" s="8" t="n"/>
      <c r="E1353" s="8" t="n"/>
      <c r="F1353" s="20" t="n"/>
      <c r="G1353" s="8" t="n"/>
    </row>
    <row r="1354">
      <c r="B1354" s="11" t="n"/>
      <c r="C1354" s="8" t="n"/>
      <c r="D1354" s="8" t="n"/>
      <c r="E1354" s="8" t="n"/>
      <c r="F1354" s="20" t="n"/>
      <c r="G1354" s="8" t="n"/>
    </row>
    <row r="1355">
      <c r="B1355" s="11" t="n"/>
      <c r="C1355" s="8" t="n"/>
      <c r="D1355" s="8" t="n"/>
      <c r="E1355" s="8" t="n"/>
      <c r="F1355" s="20" t="n"/>
      <c r="G1355" s="8" t="n"/>
    </row>
    <row r="1356">
      <c r="B1356" s="11" t="n"/>
      <c r="C1356" s="8" t="n"/>
      <c r="D1356" s="8" t="n"/>
      <c r="E1356" s="8" t="n"/>
      <c r="F1356" s="20" t="n"/>
      <c r="G1356" s="8" t="n"/>
    </row>
    <row r="1357">
      <c r="B1357" s="11" t="n"/>
      <c r="C1357" s="8" t="n"/>
      <c r="D1357" s="8" t="n"/>
      <c r="E1357" s="8" t="n"/>
      <c r="F1357" s="20" t="n"/>
      <c r="G1357" s="8" t="n"/>
    </row>
    <row r="1358">
      <c r="B1358" s="11" t="n"/>
      <c r="C1358" s="8" t="n"/>
      <c r="D1358" s="8" t="n"/>
      <c r="E1358" s="8" t="n"/>
      <c r="F1358" s="20" t="n"/>
      <c r="G1358" s="8" t="n"/>
    </row>
    <row r="1359">
      <c r="B1359" s="11" t="n"/>
      <c r="C1359" s="8" t="n"/>
      <c r="D1359" s="8" t="n"/>
      <c r="E1359" s="8" t="n"/>
      <c r="F1359" s="20" t="n"/>
      <c r="G1359" s="8" t="n"/>
    </row>
    <row r="1360">
      <c r="B1360" s="11" t="n"/>
      <c r="C1360" s="8" t="n"/>
      <c r="D1360" s="8" t="n"/>
      <c r="E1360" s="8" t="n"/>
      <c r="F1360" s="20" t="n"/>
      <c r="G1360" s="8" t="n"/>
    </row>
    <row r="1361">
      <c r="B1361" s="11" t="n"/>
      <c r="C1361" s="8" t="n"/>
      <c r="D1361" s="8" t="n"/>
      <c r="E1361" s="8" t="n"/>
      <c r="F1361" s="20" t="n"/>
      <c r="G1361" s="8" t="n"/>
    </row>
    <row r="1362">
      <c r="B1362" s="11" t="n"/>
      <c r="C1362" s="8" t="n"/>
      <c r="D1362" s="8" t="n"/>
      <c r="E1362" s="8" t="n"/>
      <c r="F1362" s="20" t="n"/>
      <c r="G1362" s="8" t="n"/>
    </row>
    <row r="1363">
      <c r="B1363" s="11" t="n"/>
      <c r="C1363" s="8" t="n"/>
      <c r="D1363" s="8" t="n"/>
      <c r="E1363" s="8" t="n"/>
      <c r="F1363" s="20" t="n"/>
      <c r="G1363" s="8" t="n"/>
    </row>
    <row r="1364">
      <c r="B1364" s="11" t="n"/>
      <c r="C1364" s="8" t="n"/>
      <c r="D1364" s="8" t="n"/>
      <c r="E1364" s="8" t="n"/>
      <c r="F1364" s="20" t="n"/>
      <c r="G1364" s="8" t="n"/>
    </row>
    <row r="1365">
      <c r="B1365" s="11" t="n"/>
      <c r="C1365" s="8" t="n"/>
      <c r="D1365" s="8" t="n"/>
      <c r="E1365" s="8" t="n"/>
      <c r="F1365" s="20" t="n"/>
      <c r="G1365" s="8" t="n"/>
    </row>
    <row r="1366">
      <c r="B1366" s="11" t="n"/>
      <c r="C1366" s="8" t="n"/>
      <c r="D1366" s="8" t="n"/>
      <c r="E1366" s="8" t="n"/>
      <c r="F1366" s="20" t="n"/>
      <c r="G1366" s="8" t="n"/>
    </row>
    <row r="1367">
      <c r="B1367" s="11" t="n"/>
      <c r="C1367" s="8" t="n"/>
      <c r="D1367" s="8" t="n"/>
      <c r="E1367" s="8" t="n"/>
      <c r="F1367" s="20" t="n"/>
      <c r="G1367" s="8" t="n"/>
    </row>
    <row r="1368">
      <c r="B1368" s="11" t="n"/>
      <c r="C1368" s="8" t="n"/>
      <c r="D1368" s="8" t="n"/>
      <c r="E1368" s="8" t="n"/>
      <c r="F1368" s="20" t="n"/>
      <c r="G1368" s="8" t="n"/>
    </row>
    <row r="1369">
      <c r="B1369" s="11" t="n"/>
      <c r="C1369" s="8" t="n"/>
      <c r="D1369" s="8" t="n"/>
      <c r="E1369" s="8" t="n"/>
      <c r="F1369" s="20" t="n"/>
      <c r="G1369" s="8" t="n"/>
    </row>
    <row r="1370">
      <c r="B1370" s="11" t="n"/>
      <c r="C1370" s="8" t="n"/>
      <c r="D1370" s="8" t="n"/>
      <c r="E1370" s="8" t="n"/>
      <c r="F1370" s="20" t="n"/>
      <c r="G1370" s="8" t="n"/>
    </row>
    <row r="1371">
      <c r="B1371" s="11" t="n"/>
      <c r="C1371" s="8" t="n"/>
      <c r="D1371" s="8" t="n"/>
      <c r="E1371" s="8" t="n"/>
      <c r="F1371" s="20" t="n"/>
      <c r="G1371" s="8" t="n"/>
    </row>
    <row r="1372">
      <c r="B1372" s="11" t="n"/>
      <c r="C1372" s="8" t="n"/>
      <c r="D1372" s="8" t="n"/>
      <c r="E1372" s="8" t="n"/>
      <c r="F1372" s="20" t="n"/>
      <c r="G1372" s="8" t="n"/>
    </row>
    <row r="1373">
      <c r="B1373" s="11" t="n"/>
      <c r="C1373" s="8" t="n"/>
      <c r="D1373" s="8" t="n"/>
      <c r="E1373" s="8" t="n"/>
      <c r="F1373" s="20" t="n"/>
      <c r="G1373" s="8" t="n"/>
    </row>
    <row r="1374">
      <c r="B1374" s="11" t="n"/>
      <c r="C1374" s="8" t="n"/>
      <c r="D1374" s="8" t="n"/>
      <c r="E1374" s="8" t="n"/>
      <c r="F1374" s="20" t="n"/>
      <c r="G1374" s="8" t="n"/>
    </row>
    <row r="1375">
      <c r="B1375" s="11" t="n"/>
      <c r="C1375" s="8" t="n"/>
      <c r="D1375" s="8" t="n"/>
      <c r="E1375" s="8" t="n"/>
      <c r="F1375" s="20" t="n"/>
      <c r="G1375" s="8" t="n"/>
    </row>
    <row r="1376">
      <c r="B1376" s="11" t="n"/>
      <c r="C1376" s="8" t="n"/>
      <c r="D1376" s="8" t="n"/>
      <c r="E1376" s="8" t="n"/>
      <c r="F1376" s="20" t="n"/>
      <c r="G1376" s="8" t="n"/>
    </row>
    <row r="1377">
      <c r="B1377" s="11" t="n"/>
      <c r="C1377" s="8" t="n"/>
      <c r="D1377" s="8" t="n"/>
      <c r="E1377" s="8" t="n"/>
      <c r="F1377" s="20" t="n"/>
      <c r="G1377" s="8" t="n"/>
    </row>
    <row r="1378">
      <c r="B1378" s="11" t="n"/>
      <c r="C1378" s="8" t="n"/>
      <c r="D1378" s="8" t="n"/>
      <c r="E1378" s="8" t="n"/>
      <c r="F1378" s="20" t="n"/>
      <c r="G1378" s="8" t="n"/>
    </row>
    <row r="1379">
      <c r="B1379" s="11" t="n"/>
      <c r="C1379" s="8" t="n"/>
      <c r="D1379" s="8" t="n"/>
      <c r="E1379" s="8" t="n"/>
      <c r="F1379" s="20" t="n"/>
      <c r="G1379" s="8" t="n"/>
    </row>
    <row r="1380">
      <c r="B1380" s="11" t="n"/>
      <c r="C1380" s="8" t="n"/>
      <c r="D1380" s="8" t="n"/>
      <c r="E1380" s="8" t="n"/>
      <c r="F1380" s="20" t="n"/>
      <c r="G1380" s="8" t="n"/>
    </row>
    <row r="1381">
      <c r="B1381" s="11" t="n"/>
      <c r="C1381" s="8" t="n"/>
      <c r="D1381" s="8" t="n"/>
      <c r="E1381" s="8" t="n"/>
      <c r="F1381" s="20" t="n"/>
      <c r="G1381" s="8" t="n"/>
    </row>
    <row r="1382">
      <c r="B1382" s="11" t="n"/>
      <c r="C1382" s="8" t="n"/>
      <c r="D1382" s="8" t="n"/>
      <c r="E1382" s="8" t="n"/>
      <c r="F1382" s="20" t="n"/>
      <c r="G1382" s="8" t="n"/>
    </row>
    <row r="1383">
      <c r="B1383" s="11" t="n"/>
      <c r="C1383" s="8" t="n"/>
      <c r="D1383" s="8" t="n"/>
      <c r="E1383" s="8" t="n"/>
      <c r="F1383" s="20" t="n"/>
      <c r="G1383" s="8" t="n"/>
    </row>
    <row r="1384">
      <c r="B1384" s="11" t="n"/>
      <c r="C1384" s="8" t="n"/>
      <c r="D1384" s="8" t="n"/>
      <c r="E1384" s="8" t="n"/>
      <c r="F1384" s="20" t="n"/>
      <c r="G1384" s="8" t="n"/>
    </row>
    <row r="1385">
      <c r="B1385" s="11" t="n"/>
      <c r="C1385" s="8" t="n"/>
      <c r="D1385" s="8" t="n"/>
      <c r="E1385" s="8" t="n"/>
      <c r="F1385" s="20" t="n"/>
      <c r="G1385" s="8" t="n"/>
    </row>
    <row r="1386">
      <c r="B1386" s="11" t="n"/>
      <c r="C1386" s="8" t="n"/>
      <c r="D1386" s="8" t="n"/>
      <c r="E1386" s="8" t="n"/>
      <c r="F1386" s="20" t="n"/>
      <c r="G1386" s="8" t="n"/>
    </row>
    <row r="1387">
      <c r="B1387" s="11" t="n"/>
      <c r="C1387" s="8" t="n"/>
      <c r="D1387" s="8" t="n"/>
      <c r="E1387" s="8" t="n"/>
      <c r="F1387" s="20" t="n"/>
      <c r="G1387" s="8" t="n"/>
    </row>
    <row r="1388">
      <c r="B1388" s="11" t="n"/>
      <c r="C1388" s="8" t="n"/>
      <c r="D1388" s="8" t="n"/>
      <c r="E1388" s="8" t="n"/>
      <c r="F1388" s="20" t="n"/>
      <c r="G1388" s="8" t="n"/>
    </row>
    <row r="1389">
      <c r="B1389" s="11" t="n"/>
      <c r="C1389" s="8" t="n"/>
      <c r="D1389" s="8" t="n"/>
      <c r="E1389" s="8" t="n"/>
      <c r="F1389" s="20" t="n"/>
      <c r="G1389" s="8" t="n"/>
    </row>
    <row r="1390">
      <c r="B1390" s="11" t="n"/>
      <c r="C1390" s="8" t="n"/>
      <c r="D1390" s="8" t="n"/>
      <c r="E1390" s="8" t="n"/>
      <c r="F1390" s="20" t="n"/>
      <c r="G1390" s="8" t="n"/>
    </row>
    <row r="1391">
      <c r="B1391" s="11" t="n"/>
      <c r="C1391" s="8" t="n"/>
      <c r="D1391" s="8" t="n"/>
      <c r="E1391" s="8" t="n"/>
      <c r="F1391" s="20" t="n"/>
      <c r="G1391" s="8" t="n"/>
    </row>
    <row r="1392">
      <c r="B1392" s="11" t="n"/>
      <c r="C1392" s="8" t="n"/>
      <c r="D1392" s="8" t="n"/>
      <c r="E1392" s="8" t="n"/>
      <c r="F1392" s="20" t="n"/>
      <c r="G1392" s="8" t="n"/>
    </row>
    <row r="1393">
      <c r="B1393" s="11" t="n"/>
      <c r="C1393" s="8" t="n"/>
      <c r="D1393" s="8" t="n"/>
      <c r="E1393" s="8" t="n"/>
      <c r="F1393" s="20" t="n"/>
      <c r="G1393" s="8" t="n"/>
    </row>
    <row r="1394">
      <c r="B1394" s="11" t="n"/>
      <c r="C1394" s="8" t="n"/>
      <c r="D1394" s="8" t="n"/>
      <c r="E1394" s="8" t="n"/>
      <c r="F1394" s="20" t="n"/>
      <c r="G1394" s="8" t="n"/>
    </row>
    <row r="1395">
      <c r="B1395" s="11" t="n"/>
      <c r="C1395" s="8" t="n"/>
      <c r="D1395" s="8" t="n"/>
      <c r="E1395" s="8" t="n"/>
      <c r="F1395" s="20" t="n"/>
      <c r="G1395" s="8" t="n"/>
    </row>
    <row r="1396">
      <c r="B1396" s="11" t="n"/>
      <c r="C1396" s="8" t="n"/>
      <c r="D1396" s="8" t="n"/>
      <c r="E1396" s="8" t="n"/>
      <c r="F1396" s="20" t="n"/>
      <c r="G1396" s="8" t="n"/>
    </row>
    <row r="1397">
      <c r="B1397" s="11" t="n"/>
      <c r="C1397" s="8" t="n"/>
      <c r="D1397" s="8" t="n"/>
      <c r="E1397" s="8" t="n"/>
      <c r="F1397" s="20" t="n"/>
      <c r="G1397" s="8" t="n"/>
    </row>
    <row r="1398">
      <c r="B1398" s="11" t="n"/>
      <c r="C1398" s="8" t="n"/>
      <c r="D1398" s="8" t="n"/>
      <c r="E1398" s="8" t="n"/>
      <c r="F1398" s="20" t="n"/>
      <c r="G1398" s="8" t="n"/>
    </row>
    <row r="1399">
      <c r="B1399" s="11" t="n"/>
      <c r="C1399" s="8" t="n"/>
      <c r="D1399" s="8" t="n"/>
      <c r="E1399" s="8" t="n"/>
      <c r="F1399" s="20" t="n"/>
      <c r="G1399" s="8" t="n"/>
    </row>
    <row r="1400">
      <c r="B1400" s="11" t="n"/>
      <c r="C1400" s="8" t="n"/>
      <c r="D1400" s="8" t="n"/>
      <c r="E1400" s="8" t="n"/>
      <c r="F1400" s="20" t="n"/>
      <c r="G1400" s="8" t="n"/>
    </row>
    <row r="1401">
      <c r="B1401" s="11" t="n"/>
      <c r="C1401" s="8" t="n"/>
      <c r="D1401" s="8" t="n"/>
      <c r="E1401" s="8" t="n"/>
      <c r="F1401" s="20" t="n"/>
      <c r="G1401" s="8" t="n"/>
    </row>
    <row r="1402">
      <c r="B1402" s="11" t="n"/>
      <c r="C1402" s="8" t="n"/>
      <c r="D1402" s="8" t="n"/>
      <c r="E1402" s="8" t="n"/>
      <c r="F1402" s="20" t="n"/>
      <c r="G1402" s="8" t="n"/>
    </row>
    <row r="1403">
      <c r="B1403" s="11" t="n"/>
      <c r="C1403" s="8" t="n"/>
      <c r="D1403" s="8" t="n"/>
      <c r="E1403" s="8" t="n"/>
      <c r="F1403" s="20" t="n"/>
      <c r="G1403" s="8" t="n"/>
    </row>
    <row r="1404">
      <c r="B1404" s="11" t="n"/>
      <c r="C1404" s="8" t="n"/>
      <c r="D1404" s="8" t="n"/>
      <c r="E1404" s="8" t="n"/>
      <c r="F1404" s="20" t="n"/>
      <c r="G1404" s="8" t="n"/>
    </row>
    <row r="1405">
      <c r="B1405" s="11" t="n"/>
      <c r="C1405" s="8" t="n"/>
      <c r="D1405" s="8" t="n"/>
      <c r="E1405" s="8" t="n"/>
      <c r="F1405" s="20" t="n"/>
      <c r="G1405" s="8" t="n"/>
    </row>
    <row r="1406">
      <c r="B1406" s="11" t="n"/>
      <c r="C1406" s="8" t="n"/>
      <c r="D1406" s="8" t="n"/>
      <c r="E1406" s="8" t="n"/>
      <c r="F1406" s="20" t="n"/>
      <c r="G1406" s="8" t="n"/>
    </row>
    <row r="1407">
      <c r="B1407" s="11" t="n"/>
      <c r="C1407" s="8" t="n"/>
      <c r="D1407" s="8" t="n"/>
      <c r="E1407" s="8" t="n"/>
      <c r="F1407" s="20" t="n"/>
      <c r="G1407" s="8" t="n"/>
    </row>
    <row r="1408">
      <c r="B1408" s="11" t="n"/>
      <c r="C1408" s="8" t="n"/>
      <c r="D1408" s="8" t="n"/>
      <c r="E1408" s="8" t="n"/>
      <c r="F1408" s="20" t="n"/>
      <c r="G1408" s="8" t="n"/>
    </row>
    <row r="1409">
      <c r="B1409" s="11" t="n"/>
      <c r="C1409" s="8" t="n"/>
      <c r="D1409" s="8" t="n"/>
      <c r="E1409" s="8" t="n"/>
      <c r="F1409" s="20" t="n"/>
      <c r="G1409" s="8" t="n"/>
    </row>
    <row r="1410">
      <c r="B1410" s="11" t="n"/>
      <c r="C1410" s="8" t="n"/>
      <c r="D1410" s="8" t="n"/>
      <c r="E1410" s="8" t="n"/>
      <c r="F1410" s="20" t="n"/>
      <c r="G1410" s="8" t="n"/>
    </row>
    <row r="1411">
      <c r="B1411" s="11" t="n"/>
      <c r="C1411" s="8" t="n"/>
      <c r="D1411" s="8" t="n"/>
      <c r="E1411" s="8" t="n"/>
      <c r="F1411" s="20" t="n"/>
      <c r="G1411" s="8" t="n"/>
    </row>
    <row r="1412">
      <c r="B1412" s="11" t="n"/>
      <c r="C1412" s="8" t="n"/>
      <c r="D1412" s="8" t="n"/>
      <c r="E1412" s="8" t="n"/>
      <c r="F1412" s="20" t="n"/>
      <c r="G1412" s="8" t="n"/>
    </row>
    <row r="1413">
      <c r="B1413" s="11" t="n"/>
      <c r="C1413" s="8" t="n"/>
      <c r="D1413" s="8" t="n"/>
      <c r="E1413" s="8" t="n"/>
      <c r="F1413" s="20" t="n"/>
      <c r="G1413" s="8" t="n"/>
    </row>
    <row r="1414">
      <c r="B1414" s="11" t="n"/>
      <c r="C1414" s="8" t="n"/>
      <c r="D1414" s="8" t="n"/>
      <c r="E1414" s="8" t="n"/>
      <c r="F1414" s="20" t="n"/>
      <c r="G1414" s="8" t="n"/>
    </row>
    <row r="1415">
      <c r="B1415" s="11" t="n"/>
      <c r="C1415" s="8" t="n"/>
      <c r="D1415" s="8" t="n"/>
      <c r="E1415" s="8" t="n"/>
      <c r="F1415" s="20" t="n"/>
      <c r="G1415" s="8" t="n"/>
    </row>
    <row r="1416">
      <c r="B1416" s="11" t="n"/>
      <c r="C1416" s="8" t="n"/>
      <c r="D1416" s="8" t="n"/>
      <c r="E1416" s="8" t="n"/>
      <c r="F1416" s="20" t="n"/>
      <c r="G1416" s="8" t="n"/>
    </row>
    <row r="1417">
      <c r="B1417" s="11" t="n"/>
      <c r="C1417" s="8" t="n"/>
      <c r="D1417" s="8" t="n"/>
      <c r="E1417" s="8" t="n"/>
      <c r="F1417" s="20" t="n"/>
      <c r="G1417" s="8" t="n"/>
    </row>
    <row r="1418">
      <c r="B1418" s="11" t="n"/>
      <c r="C1418" s="8" t="n"/>
      <c r="D1418" s="8" t="n"/>
      <c r="E1418" s="8" t="n"/>
      <c r="F1418" s="20" t="n"/>
      <c r="G1418" s="8" t="n"/>
    </row>
    <row r="1419">
      <c r="B1419" s="11" t="n"/>
      <c r="C1419" s="8" t="n"/>
      <c r="D1419" s="8" t="n"/>
      <c r="E1419" s="8" t="n"/>
      <c r="F1419" s="20" t="n"/>
      <c r="G1419" s="8" t="n"/>
    </row>
    <row r="1420">
      <c r="B1420" s="11" t="n"/>
      <c r="C1420" s="8" t="n"/>
      <c r="D1420" s="8" t="n"/>
      <c r="E1420" s="8" t="n"/>
      <c r="F1420" s="20" t="n"/>
      <c r="G1420" s="8" t="n"/>
    </row>
    <row r="1421">
      <c r="B1421" s="11" t="n"/>
      <c r="C1421" s="8" t="n"/>
      <c r="D1421" s="8" t="n"/>
      <c r="E1421" s="8" t="n"/>
      <c r="F1421" s="20" t="n"/>
      <c r="G1421" s="8" t="n"/>
    </row>
    <row r="1422">
      <c r="B1422" s="11" t="n"/>
      <c r="C1422" s="8" t="n"/>
      <c r="D1422" s="8" t="n"/>
      <c r="E1422" s="8" t="n"/>
      <c r="F1422" s="20" t="n"/>
      <c r="G1422" s="8" t="n"/>
    </row>
    <row r="1423">
      <c r="B1423" s="11" t="n"/>
      <c r="C1423" s="8" t="n"/>
      <c r="D1423" s="8" t="n"/>
      <c r="E1423" s="8" t="n"/>
      <c r="F1423" s="20" t="n"/>
      <c r="G1423" s="8" t="n"/>
    </row>
    <row r="1424">
      <c r="B1424" s="11" t="n"/>
      <c r="C1424" s="8" t="n"/>
      <c r="D1424" s="8" t="n"/>
      <c r="E1424" s="8" t="n"/>
      <c r="F1424" s="20" t="n"/>
      <c r="G1424" s="8" t="n"/>
    </row>
    <row r="1425">
      <c r="B1425" s="11" t="n"/>
      <c r="C1425" s="8" t="n"/>
      <c r="D1425" s="8" t="n"/>
      <c r="E1425" s="8" t="n"/>
      <c r="F1425" s="20" t="n"/>
      <c r="G1425" s="8" t="n"/>
    </row>
    <row r="1426">
      <c r="B1426" s="11" t="n"/>
      <c r="C1426" s="8" t="n"/>
      <c r="D1426" s="8" t="n"/>
      <c r="E1426" s="8" t="n"/>
      <c r="F1426" s="20" t="n"/>
      <c r="G1426" s="8" t="n"/>
    </row>
    <row r="1427">
      <c r="B1427" s="11" t="n"/>
      <c r="C1427" s="8" t="n"/>
      <c r="D1427" s="8" t="n"/>
      <c r="E1427" s="8" t="n"/>
      <c r="F1427" s="20" t="n"/>
      <c r="G1427" s="8" t="n"/>
    </row>
    <row r="1428">
      <c r="B1428" s="11" t="n"/>
      <c r="C1428" s="8" t="n"/>
      <c r="D1428" s="8" t="n"/>
      <c r="E1428" s="8" t="n"/>
      <c r="F1428" s="20" t="n"/>
      <c r="G1428" s="8" t="n"/>
    </row>
    <row r="1429">
      <c r="B1429" s="11" t="n"/>
      <c r="C1429" s="8" t="n"/>
      <c r="D1429" s="8" t="n"/>
      <c r="E1429" s="8" t="n"/>
      <c r="F1429" s="20" t="n"/>
      <c r="G1429" s="8" t="n"/>
    </row>
    <row r="1430">
      <c r="B1430" s="11" t="n"/>
      <c r="C1430" s="8" t="n"/>
      <c r="D1430" s="8" t="n"/>
      <c r="E1430" s="8" t="n"/>
      <c r="F1430" s="20" t="n"/>
      <c r="G1430" s="8" t="n"/>
    </row>
    <row r="1431">
      <c r="B1431" s="11" t="n"/>
      <c r="C1431" s="8" t="n"/>
      <c r="D1431" s="8" t="n"/>
      <c r="E1431" s="8" t="n"/>
      <c r="F1431" s="20" t="n"/>
      <c r="G1431" s="8" t="n"/>
    </row>
    <row r="1432">
      <c r="B1432" s="11" t="n"/>
      <c r="C1432" s="8" t="n"/>
      <c r="D1432" s="8" t="n"/>
      <c r="E1432" s="8" t="n"/>
      <c r="F1432" s="20" t="n"/>
      <c r="G1432" s="8" t="n"/>
    </row>
    <row r="1433">
      <c r="B1433" s="11" t="n"/>
      <c r="C1433" s="8" t="n"/>
      <c r="D1433" s="8" t="n"/>
      <c r="E1433" s="8" t="n"/>
      <c r="F1433" s="20" t="n"/>
      <c r="G1433" s="8" t="n"/>
    </row>
    <row r="1434">
      <c r="B1434" s="11" t="n"/>
      <c r="C1434" s="8" t="n"/>
      <c r="D1434" s="8" t="n"/>
      <c r="E1434" s="8" t="n"/>
      <c r="F1434" s="20" t="n"/>
      <c r="G1434" s="8" t="n"/>
    </row>
    <row r="1435">
      <c r="B1435" s="11" t="n"/>
      <c r="C1435" s="8" t="n"/>
      <c r="D1435" s="8" t="n"/>
      <c r="E1435" s="8" t="n"/>
      <c r="F1435" s="20" t="n"/>
      <c r="G1435" s="8" t="n"/>
    </row>
    <row r="1436">
      <c r="B1436" s="11" t="n"/>
      <c r="C1436" s="8" t="n"/>
      <c r="D1436" s="8" t="n"/>
      <c r="E1436" s="8" t="n"/>
      <c r="F1436" s="20" t="n"/>
      <c r="G1436" s="8" t="n"/>
    </row>
    <row r="1437">
      <c r="B1437" s="11" t="n"/>
      <c r="C1437" s="8" t="n"/>
      <c r="D1437" s="8" t="n"/>
      <c r="E1437" s="8" t="n"/>
      <c r="F1437" s="20" t="n"/>
      <c r="G1437" s="8" t="n"/>
    </row>
    <row r="1438">
      <c r="B1438" s="11" t="n"/>
      <c r="C1438" s="8" t="n"/>
      <c r="D1438" s="8" t="n"/>
      <c r="E1438" s="8" t="n"/>
      <c r="F1438" s="20" t="n"/>
      <c r="G1438" s="8" t="n"/>
    </row>
    <row r="1439">
      <c r="B1439" s="11" t="n"/>
      <c r="C1439" s="8" t="n"/>
      <c r="D1439" s="8" t="n"/>
      <c r="E1439" s="8" t="n"/>
      <c r="F1439" s="20" t="n"/>
      <c r="G1439" s="8" t="n"/>
    </row>
    <row r="1440">
      <c r="B1440" s="11" t="n"/>
      <c r="C1440" s="8" t="n"/>
      <c r="D1440" s="8" t="n"/>
      <c r="E1440" s="8" t="n"/>
      <c r="F1440" s="20" t="n"/>
      <c r="G1440" s="8" t="n"/>
    </row>
    <row r="1441">
      <c r="B1441" s="11" t="n"/>
      <c r="C1441" s="8" t="n"/>
      <c r="D1441" s="8" t="n"/>
      <c r="E1441" s="8" t="n"/>
      <c r="F1441" s="20" t="n"/>
      <c r="G1441" s="8" t="n"/>
    </row>
    <row r="1442">
      <c r="B1442" s="11" t="n"/>
      <c r="C1442" s="8" t="n"/>
      <c r="D1442" s="8" t="n"/>
      <c r="E1442" s="8" t="n"/>
      <c r="F1442" s="20" t="n"/>
      <c r="G1442" s="8" t="n"/>
    </row>
    <row r="1443">
      <c r="B1443" s="11" t="n"/>
      <c r="C1443" s="8" t="n"/>
      <c r="D1443" s="8" t="n"/>
      <c r="E1443" s="8" t="n"/>
      <c r="F1443" s="20" t="n"/>
      <c r="G1443" s="8" t="n"/>
    </row>
    <row r="1444">
      <c r="B1444" s="11" t="n"/>
      <c r="C1444" s="8" t="n"/>
      <c r="D1444" s="8" t="n"/>
      <c r="E1444" s="8" t="n"/>
      <c r="F1444" s="20" t="n"/>
      <c r="G1444" s="8" t="n"/>
    </row>
    <row r="1445">
      <c r="B1445" s="11" t="n"/>
      <c r="C1445" s="8" t="n"/>
      <c r="D1445" s="8" t="n"/>
      <c r="E1445" s="8" t="n"/>
      <c r="F1445" s="20" t="n"/>
      <c r="G1445" s="8" t="n"/>
    </row>
    <row r="1446">
      <c r="B1446" s="11" t="n"/>
      <c r="C1446" s="8" t="n"/>
      <c r="D1446" s="8" t="n"/>
      <c r="E1446" s="8" t="n"/>
      <c r="F1446" s="20" t="n"/>
      <c r="G1446" s="8" t="n"/>
    </row>
    <row r="1447">
      <c r="B1447" s="11" t="n"/>
      <c r="C1447" s="8" t="n"/>
      <c r="D1447" s="8" t="n"/>
      <c r="E1447" s="8" t="n"/>
      <c r="F1447" s="20" t="n"/>
      <c r="G1447" s="8" t="n"/>
    </row>
    <row r="1448">
      <c r="B1448" s="11" t="n"/>
      <c r="C1448" s="8" t="n"/>
      <c r="D1448" s="8" t="n"/>
      <c r="E1448" s="8" t="n"/>
      <c r="F1448" s="20" t="n"/>
      <c r="G1448" s="8" t="n"/>
    </row>
    <row r="1449">
      <c r="B1449" s="11" t="n"/>
      <c r="C1449" s="8" t="n"/>
      <c r="D1449" s="8" t="n"/>
      <c r="E1449" s="8" t="n"/>
      <c r="F1449" s="20" t="n"/>
      <c r="G1449" s="8" t="n"/>
    </row>
    <row r="1450">
      <c r="B1450" s="11" t="n"/>
      <c r="C1450" s="8" t="n"/>
      <c r="D1450" s="8" t="n"/>
      <c r="E1450" s="8" t="n"/>
      <c r="F1450" s="20" t="n"/>
      <c r="G1450" s="8" t="n"/>
    </row>
    <row r="1451">
      <c r="B1451" s="11" t="n"/>
      <c r="C1451" s="8" t="n"/>
      <c r="D1451" s="8" t="n"/>
      <c r="E1451" s="8" t="n"/>
      <c r="F1451" s="20" t="n"/>
      <c r="G1451" s="8" t="n"/>
    </row>
    <row r="1452">
      <c r="B1452" s="11" t="n"/>
      <c r="C1452" s="8" t="n"/>
      <c r="D1452" s="8" t="n"/>
      <c r="E1452" s="8" t="n"/>
      <c r="F1452" s="20" t="n"/>
      <c r="G1452" s="8" t="n"/>
    </row>
    <row r="1453">
      <c r="B1453" s="11" t="n"/>
      <c r="C1453" s="8" t="n"/>
      <c r="D1453" s="8" t="n"/>
      <c r="E1453" s="8" t="n"/>
      <c r="F1453" s="20" t="n"/>
      <c r="G1453" s="8" t="n"/>
    </row>
    <row r="1454">
      <c r="B1454" s="11" t="n"/>
      <c r="C1454" s="8" t="n"/>
      <c r="D1454" s="8" t="n"/>
      <c r="E1454" s="8" t="n"/>
      <c r="F1454" s="20" t="n"/>
      <c r="G1454" s="8" t="n"/>
    </row>
    <row r="1455">
      <c r="B1455" s="11" t="n"/>
      <c r="C1455" s="8" t="n"/>
      <c r="D1455" s="8" t="n"/>
      <c r="E1455" s="8" t="n"/>
      <c r="F1455" s="20" t="n"/>
      <c r="G1455" s="8" t="n"/>
    </row>
    <row r="1456">
      <c r="B1456" s="11" t="n"/>
      <c r="C1456" s="8" t="n"/>
      <c r="D1456" s="8" t="n"/>
      <c r="E1456" s="8" t="n"/>
      <c r="F1456" s="20" t="n"/>
      <c r="G1456" s="8" t="n"/>
    </row>
    <row r="1457">
      <c r="B1457" s="11" t="n"/>
      <c r="C1457" s="8" t="n"/>
      <c r="D1457" s="8" t="n"/>
      <c r="E1457" s="8" t="n"/>
      <c r="F1457" s="20" t="n"/>
      <c r="G1457" s="8" t="n"/>
    </row>
    <row r="1458">
      <c r="B1458" s="11" t="n"/>
      <c r="C1458" s="8" t="n"/>
      <c r="D1458" s="8" t="n"/>
      <c r="E1458" s="8" t="n"/>
      <c r="F1458" s="20" t="n"/>
      <c r="G1458" s="8" t="n"/>
    </row>
    <row r="1459">
      <c r="B1459" s="11" t="n"/>
      <c r="C1459" s="8" t="n"/>
      <c r="D1459" s="8" t="n"/>
      <c r="E1459" s="8" t="n"/>
      <c r="F1459" s="20" t="n"/>
      <c r="G1459" s="8" t="n"/>
    </row>
    <row r="1460">
      <c r="B1460" s="11" t="n"/>
      <c r="C1460" s="8" t="n"/>
      <c r="D1460" s="8" t="n"/>
      <c r="E1460" s="8" t="n"/>
      <c r="F1460" s="20" t="n"/>
      <c r="G1460" s="8" t="n"/>
    </row>
    <row r="1461">
      <c r="B1461" s="11" t="n"/>
      <c r="C1461" s="8" t="n"/>
      <c r="D1461" s="8" t="n"/>
      <c r="E1461" s="8" t="n"/>
      <c r="F1461" s="20" t="n"/>
      <c r="G1461" s="8" t="n"/>
    </row>
    <row r="1462">
      <c r="B1462" s="11" t="n"/>
      <c r="C1462" s="8" t="n"/>
      <c r="D1462" s="8" t="n"/>
      <c r="E1462" s="8" t="n"/>
      <c r="F1462" s="20" t="n"/>
      <c r="G1462" s="8" t="n"/>
    </row>
    <row r="1463">
      <c r="B1463" s="11" t="n"/>
      <c r="C1463" s="8" t="n"/>
      <c r="D1463" s="8" t="n"/>
      <c r="E1463" s="8" t="n"/>
      <c r="F1463" s="20" t="n"/>
      <c r="G1463" s="8" t="n"/>
    </row>
    <row r="1464">
      <c r="B1464" s="11" t="n"/>
      <c r="C1464" s="8" t="n"/>
      <c r="D1464" s="8" t="n"/>
      <c r="E1464" s="8" t="n"/>
      <c r="F1464" s="20" t="n"/>
      <c r="G1464" s="8" t="n"/>
    </row>
    <row r="1465">
      <c r="B1465" s="11" t="n"/>
      <c r="C1465" s="8" t="n"/>
      <c r="D1465" s="8" t="n"/>
      <c r="E1465" s="8" t="n"/>
      <c r="F1465" s="20" t="n"/>
      <c r="G1465" s="8" t="n"/>
    </row>
    <row r="1466">
      <c r="B1466" s="11" t="n"/>
      <c r="C1466" s="8" t="n"/>
      <c r="D1466" s="8" t="n"/>
      <c r="E1466" s="8" t="n"/>
      <c r="F1466" s="20" t="n"/>
      <c r="G1466" s="8" t="n"/>
    </row>
    <row r="1467">
      <c r="B1467" s="11" t="n"/>
      <c r="C1467" s="8" t="n"/>
      <c r="D1467" s="8" t="n"/>
      <c r="E1467" s="8" t="n"/>
      <c r="F1467" s="20" t="n"/>
      <c r="G1467" s="8" t="n"/>
    </row>
    <row r="1468">
      <c r="B1468" s="11" t="n"/>
      <c r="C1468" s="8" t="n"/>
      <c r="D1468" s="8" t="n"/>
      <c r="E1468" s="8" t="n"/>
      <c r="F1468" s="20" t="n"/>
      <c r="G1468" s="8" t="n"/>
    </row>
    <row r="1469">
      <c r="B1469" s="11" t="n"/>
      <c r="C1469" s="8" t="n"/>
      <c r="D1469" s="8" t="n"/>
      <c r="E1469" s="8" t="n"/>
      <c r="F1469" s="20" t="n"/>
      <c r="G1469" s="8" t="n"/>
    </row>
    <row r="1470">
      <c r="B1470" s="11" t="n"/>
      <c r="C1470" s="8" t="n"/>
      <c r="D1470" s="8" t="n"/>
      <c r="E1470" s="8" t="n"/>
      <c r="F1470" s="20" t="n"/>
      <c r="G1470" s="8" t="n"/>
    </row>
    <row r="1471">
      <c r="B1471" s="11" t="n"/>
      <c r="C1471" s="8" t="n"/>
      <c r="D1471" s="8" t="n"/>
      <c r="E1471" s="8" t="n"/>
      <c r="F1471" s="20" t="n"/>
      <c r="G1471" s="8" t="n"/>
    </row>
    <row r="1472">
      <c r="B1472" s="11" t="n"/>
      <c r="C1472" s="8" t="n"/>
      <c r="D1472" s="8" t="n"/>
      <c r="E1472" s="8" t="n"/>
      <c r="F1472" s="20" t="n"/>
      <c r="G1472" s="8" t="n"/>
    </row>
    <row r="1473">
      <c r="B1473" s="11" t="n"/>
      <c r="C1473" s="8" t="n"/>
      <c r="D1473" s="8" t="n"/>
      <c r="E1473" s="8" t="n"/>
      <c r="F1473" s="20" t="n"/>
      <c r="G1473" s="8" t="n"/>
    </row>
    <row r="1474">
      <c r="B1474" s="11" t="n"/>
      <c r="C1474" s="8" t="n"/>
      <c r="D1474" s="8" t="n"/>
      <c r="E1474" s="8" t="n"/>
      <c r="F1474" s="20" t="n"/>
      <c r="G1474" s="8" t="n"/>
    </row>
    <row r="1475">
      <c r="B1475" s="11" t="n"/>
      <c r="C1475" s="8" t="n"/>
      <c r="D1475" s="8" t="n"/>
      <c r="E1475" s="8" t="n"/>
      <c r="F1475" s="20" t="n"/>
      <c r="G1475" s="8" t="n"/>
    </row>
    <row r="1476">
      <c r="B1476" s="11" t="n"/>
      <c r="C1476" s="8" t="n"/>
      <c r="D1476" s="8" t="n"/>
      <c r="E1476" s="8" t="n"/>
      <c r="F1476" s="20" t="n"/>
      <c r="G1476" s="8" t="n"/>
    </row>
    <row r="1477">
      <c r="B1477" s="11" t="n"/>
      <c r="C1477" s="8" t="n"/>
      <c r="D1477" s="8" t="n"/>
      <c r="E1477" s="8" t="n"/>
      <c r="F1477" s="20" t="n"/>
      <c r="G1477" s="8" t="n"/>
    </row>
    <row r="1478">
      <c r="B1478" s="11" t="n"/>
      <c r="C1478" s="8" t="n"/>
      <c r="D1478" s="8" t="n"/>
      <c r="E1478" s="8" t="n"/>
      <c r="F1478" s="20" t="n"/>
      <c r="G1478" s="8" t="n"/>
    </row>
    <row r="1479">
      <c r="B1479" s="11" t="n"/>
      <c r="C1479" s="8" t="n"/>
      <c r="D1479" s="8" t="n"/>
      <c r="E1479" s="8" t="n"/>
      <c r="F1479" s="20" t="n"/>
      <c r="G1479" s="8" t="n"/>
    </row>
    <row r="1480">
      <c r="B1480" s="11" t="n"/>
      <c r="C1480" s="8" t="n"/>
      <c r="D1480" s="8" t="n"/>
      <c r="E1480" s="8" t="n"/>
      <c r="F1480" s="20" t="n"/>
      <c r="G1480" s="8" t="n"/>
    </row>
    <row r="1481">
      <c r="B1481" s="11" t="n"/>
      <c r="C1481" s="8" t="n"/>
      <c r="D1481" s="8" t="n"/>
      <c r="E1481" s="8" t="n"/>
      <c r="F1481" s="20" t="n"/>
      <c r="G1481" s="8" t="n"/>
    </row>
    <row r="1482">
      <c r="B1482" s="11" t="n"/>
      <c r="C1482" s="8" t="n"/>
      <c r="D1482" s="8" t="n"/>
      <c r="E1482" s="8" t="n"/>
      <c r="F1482" s="20" t="n"/>
      <c r="G1482" s="8" t="n"/>
    </row>
    <row r="1483">
      <c r="B1483" s="11" t="n"/>
      <c r="C1483" s="8" t="n"/>
      <c r="D1483" s="8" t="n"/>
      <c r="E1483" s="8" t="n"/>
      <c r="F1483" s="20" t="n"/>
      <c r="G1483" s="8" t="n"/>
    </row>
    <row r="1484">
      <c r="B1484" s="11" t="n"/>
      <c r="C1484" s="8" t="n"/>
      <c r="D1484" s="8" t="n"/>
      <c r="E1484" s="8" t="n"/>
      <c r="F1484" s="20" t="n"/>
      <c r="G1484" s="8" t="n"/>
    </row>
    <row r="1485">
      <c r="B1485" s="11" t="n"/>
      <c r="C1485" s="8" t="n"/>
      <c r="D1485" s="8" t="n"/>
      <c r="E1485" s="8" t="n"/>
      <c r="F1485" s="20" t="n"/>
      <c r="G1485" s="8" t="n"/>
    </row>
    <row r="1486">
      <c r="B1486" s="11" t="n"/>
      <c r="C1486" s="8" t="n"/>
      <c r="D1486" s="8" t="n"/>
      <c r="E1486" s="8" t="n"/>
      <c r="F1486" s="20" t="n"/>
      <c r="G1486" s="8" t="n"/>
    </row>
    <row r="1487">
      <c r="B1487" s="11" t="n"/>
      <c r="C1487" s="8" t="n"/>
      <c r="D1487" s="8" t="n"/>
      <c r="E1487" s="8" t="n"/>
      <c r="F1487" s="20" t="n"/>
      <c r="G1487" s="8" t="n"/>
    </row>
    <row r="1488">
      <c r="B1488" s="11" t="n"/>
      <c r="C1488" s="8" t="n"/>
      <c r="D1488" s="8" t="n"/>
      <c r="E1488" s="8" t="n"/>
      <c r="F1488" s="20" t="n"/>
      <c r="G1488" s="8" t="n"/>
    </row>
    <row r="1489">
      <c r="B1489" s="11" t="n"/>
      <c r="C1489" s="8" t="n"/>
      <c r="D1489" s="8" t="n"/>
      <c r="E1489" s="8" t="n"/>
      <c r="F1489" s="20" t="n"/>
      <c r="G1489" s="8" t="n"/>
    </row>
    <row r="1490">
      <c r="B1490" s="11" t="n"/>
      <c r="C1490" s="8" t="n"/>
      <c r="D1490" s="8" t="n"/>
      <c r="E1490" s="8" t="n"/>
      <c r="F1490" s="20" t="n"/>
      <c r="G1490" s="8" t="n"/>
    </row>
    <row r="1491">
      <c r="B1491" s="11" t="n"/>
      <c r="C1491" s="8" t="n"/>
      <c r="D1491" s="8" t="n"/>
      <c r="E1491" s="8" t="n"/>
      <c r="F1491" s="20" t="n"/>
      <c r="G1491" s="8" t="n"/>
    </row>
    <row r="1492">
      <c r="B1492" s="11" t="n"/>
      <c r="C1492" s="8" t="n"/>
      <c r="D1492" s="8" t="n"/>
      <c r="E1492" s="8" t="n"/>
      <c r="F1492" s="20" t="n"/>
      <c r="G1492" s="8" t="n"/>
    </row>
    <row r="1493">
      <c r="B1493" s="11" t="n"/>
      <c r="C1493" s="8" t="n"/>
      <c r="D1493" s="8" t="n"/>
      <c r="E1493" s="8" t="n"/>
      <c r="F1493" s="20" t="n"/>
      <c r="G1493" s="8" t="n"/>
    </row>
    <row r="1494">
      <c r="B1494" s="11" t="n"/>
      <c r="C1494" s="8" t="n"/>
      <c r="D1494" s="8" t="n"/>
      <c r="E1494" s="8" t="n"/>
      <c r="F1494" s="20" t="n"/>
      <c r="G1494" s="8" t="n"/>
    </row>
    <row r="1495">
      <c r="B1495" s="11" t="n"/>
      <c r="C1495" s="8" t="n"/>
      <c r="D1495" s="8" t="n"/>
      <c r="E1495" s="8" t="n"/>
      <c r="F1495" s="20" t="n"/>
      <c r="G1495" s="8" t="n"/>
    </row>
    <row r="1496">
      <c r="B1496" s="11" t="n"/>
      <c r="C1496" s="8" t="n"/>
      <c r="D1496" s="8" t="n"/>
      <c r="E1496" s="8" t="n"/>
      <c r="F1496" s="20" t="n"/>
      <c r="G1496" s="8" t="n"/>
    </row>
    <row r="1497">
      <c r="B1497" s="11" t="n"/>
      <c r="C1497" s="8" t="n"/>
      <c r="D1497" s="8" t="n"/>
      <c r="E1497" s="8" t="n"/>
      <c r="F1497" s="20" t="n"/>
      <c r="G1497" s="8" t="n"/>
    </row>
    <row r="1498">
      <c r="B1498" s="11" t="n"/>
      <c r="C1498" s="8" t="n"/>
      <c r="D1498" s="8" t="n"/>
      <c r="E1498" s="8" t="n"/>
      <c r="F1498" s="20" t="n"/>
      <c r="G1498" s="8" t="n"/>
    </row>
    <row r="1499">
      <c r="B1499" s="11" t="n"/>
      <c r="C1499" s="8" t="n"/>
      <c r="D1499" s="8" t="n"/>
      <c r="E1499" s="8" t="n"/>
      <c r="F1499" s="20" t="n"/>
      <c r="G1499" s="8" t="n"/>
    </row>
    <row r="1500">
      <c r="B1500" s="11" t="n"/>
      <c r="C1500" s="8" t="n"/>
      <c r="D1500" s="8" t="n"/>
      <c r="E1500" s="8" t="n"/>
      <c r="F1500" s="20" t="n"/>
      <c r="G1500" s="8" t="n"/>
    </row>
    <row r="1501">
      <c r="B1501" s="11" t="n"/>
      <c r="C1501" s="8" t="n"/>
      <c r="D1501" s="8" t="n"/>
      <c r="E1501" s="8" t="n"/>
      <c r="F1501" s="20" t="n"/>
      <c r="G1501" s="8" t="n"/>
    </row>
    <row r="1502">
      <c r="B1502" s="11" t="n"/>
      <c r="C1502" s="8" t="n"/>
      <c r="D1502" s="8" t="n"/>
      <c r="E1502" s="8" t="n"/>
      <c r="F1502" s="20" t="n"/>
      <c r="G1502" s="8" t="n"/>
    </row>
    <row r="1503">
      <c r="B1503" s="11" t="n"/>
      <c r="C1503" s="8" t="n"/>
      <c r="D1503" s="8" t="n"/>
      <c r="E1503" s="8" t="n"/>
      <c r="F1503" s="20" t="n"/>
      <c r="G1503" s="8" t="n"/>
    </row>
    <row r="1504">
      <c r="B1504" s="11" t="n"/>
      <c r="C1504" s="8" t="n"/>
      <c r="D1504" s="8" t="n"/>
      <c r="E1504" s="8" t="n"/>
      <c r="F1504" s="20" t="n"/>
      <c r="G1504" s="8" t="n"/>
    </row>
    <row r="1505">
      <c r="B1505" s="11" t="n"/>
      <c r="C1505" s="8" t="n"/>
      <c r="D1505" s="8" t="n"/>
      <c r="E1505" s="8" t="n"/>
      <c r="F1505" s="20" t="n"/>
      <c r="G1505" s="8" t="n"/>
    </row>
    <row r="1506">
      <c r="B1506" s="11" t="n"/>
      <c r="C1506" s="8" t="n"/>
      <c r="D1506" s="8" t="n"/>
      <c r="E1506" s="8" t="n"/>
      <c r="F1506" s="20" t="n"/>
      <c r="G1506" s="8" t="n"/>
    </row>
    <row r="1507">
      <c r="B1507" s="11" t="n"/>
      <c r="C1507" s="8" t="n"/>
      <c r="D1507" s="8" t="n"/>
      <c r="E1507" s="8" t="n"/>
      <c r="F1507" s="20" t="n"/>
      <c r="G1507" s="8" t="n"/>
    </row>
    <row r="1508">
      <c r="B1508" s="11" t="n"/>
      <c r="C1508" s="8" t="n"/>
      <c r="D1508" s="8" t="n"/>
      <c r="E1508" s="8" t="n"/>
      <c r="F1508" s="20" t="n"/>
      <c r="G1508" s="8" t="n"/>
    </row>
    <row r="1509">
      <c r="B1509" s="11" t="n"/>
      <c r="C1509" s="8" t="n"/>
      <c r="D1509" s="8" t="n"/>
      <c r="E1509" s="8" t="n"/>
      <c r="F1509" s="20" t="n"/>
      <c r="G1509" s="8" t="n"/>
    </row>
    <row r="1510">
      <c r="B1510" s="11" t="n"/>
      <c r="C1510" s="8" t="n"/>
      <c r="D1510" s="8" t="n"/>
      <c r="E1510" s="8" t="n"/>
      <c r="F1510" s="20" t="n"/>
      <c r="G1510" s="8" t="n"/>
    </row>
    <row r="1511">
      <c r="B1511" s="11" t="n"/>
      <c r="C1511" s="8" t="n"/>
      <c r="D1511" s="8" t="n"/>
      <c r="E1511" s="8" t="n"/>
      <c r="F1511" s="20" t="n"/>
      <c r="G1511" s="8" t="n"/>
    </row>
    <row r="1512">
      <c r="B1512" s="11" t="n"/>
      <c r="C1512" s="8" t="n"/>
      <c r="D1512" s="8" t="n"/>
      <c r="E1512" s="8" t="n"/>
      <c r="F1512" s="20" t="n"/>
      <c r="G1512" s="8" t="n"/>
    </row>
    <row r="1513">
      <c r="B1513" s="11" t="n"/>
      <c r="C1513" s="8" t="n"/>
      <c r="D1513" s="8" t="n"/>
      <c r="E1513" s="8" t="n"/>
      <c r="F1513" s="20" t="n"/>
      <c r="G1513" s="8" t="n"/>
    </row>
    <row r="1514">
      <c r="B1514" s="11" t="n"/>
      <c r="C1514" s="8" t="n"/>
      <c r="D1514" s="8" t="n"/>
      <c r="E1514" s="8" t="n"/>
      <c r="F1514" s="20" t="n"/>
      <c r="G1514" s="8" t="n"/>
    </row>
    <row r="1515">
      <c r="B1515" s="11" t="n"/>
      <c r="C1515" s="8" t="n"/>
      <c r="D1515" s="8" t="n"/>
      <c r="E1515" s="8" t="n"/>
      <c r="F1515" s="20" t="n"/>
      <c r="G1515" s="8" t="n"/>
    </row>
    <row r="1516">
      <c r="B1516" s="11" t="n"/>
      <c r="C1516" s="8" t="n"/>
      <c r="D1516" s="8" t="n"/>
      <c r="E1516" s="8" t="n"/>
      <c r="F1516" s="20" t="n"/>
      <c r="G1516" s="8" t="n"/>
    </row>
    <row r="1517">
      <c r="B1517" s="11" t="n"/>
      <c r="C1517" s="8" t="n"/>
      <c r="D1517" s="8" t="n"/>
      <c r="E1517" s="8" t="n"/>
      <c r="F1517" s="20" t="n"/>
      <c r="G1517" s="8" t="n"/>
    </row>
    <row r="1518">
      <c r="B1518" s="11" t="n"/>
      <c r="C1518" s="8" t="n"/>
      <c r="D1518" s="8" t="n"/>
      <c r="E1518" s="8" t="n"/>
      <c r="F1518" s="20" t="n"/>
      <c r="G1518" s="8" t="n"/>
    </row>
    <row r="1519">
      <c r="B1519" s="11" t="n"/>
      <c r="C1519" s="8" t="n"/>
      <c r="D1519" s="8" t="n"/>
      <c r="E1519" s="8" t="n"/>
      <c r="F1519" s="20" t="n"/>
      <c r="G1519" s="8" t="n"/>
    </row>
    <row r="1520">
      <c r="B1520" s="11" t="n"/>
      <c r="C1520" s="8" t="n"/>
      <c r="D1520" s="8" t="n"/>
      <c r="E1520" s="8" t="n"/>
      <c r="F1520" s="20" t="n"/>
      <c r="G1520" s="8" t="n"/>
    </row>
    <row r="1521">
      <c r="B1521" s="11" t="n"/>
      <c r="C1521" s="8" t="n"/>
      <c r="D1521" s="8" t="n"/>
      <c r="E1521" s="8" t="n"/>
      <c r="F1521" s="20" t="n"/>
      <c r="G1521" s="8" t="n"/>
    </row>
    <row r="1522">
      <c r="B1522" s="11" t="n"/>
      <c r="C1522" s="8" t="n"/>
      <c r="D1522" s="8" t="n"/>
      <c r="E1522" s="8" t="n"/>
      <c r="F1522" s="20" t="n"/>
      <c r="G1522" s="8" t="n"/>
    </row>
    <row r="1523">
      <c r="B1523" s="11" t="n"/>
      <c r="C1523" s="8" t="n"/>
      <c r="D1523" s="8" t="n"/>
      <c r="E1523" s="8" t="n"/>
      <c r="F1523" s="20" t="n"/>
      <c r="G1523" s="8" t="n"/>
    </row>
    <row r="1524">
      <c r="B1524" s="11" t="n"/>
      <c r="C1524" s="8" t="n"/>
      <c r="D1524" s="8" t="n"/>
      <c r="E1524" s="8" t="n"/>
      <c r="F1524" s="20" t="n"/>
      <c r="G1524" s="8" t="n"/>
    </row>
    <row r="1525">
      <c r="B1525" s="11" t="n"/>
      <c r="C1525" s="8" t="n"/>
      <c r="D1525" s="8" t="n"/>
      <c r="E1525" s="8" t="n"/>
      <c r="F1525" s="20" t="n"/>
      <c r="G1525" s="8" t="n"/>
    </row>
    <row r="1526">
      <c r="B1526" s="11" t="n"/>
      <c r="C1526" s="8" t="n"/>
      <c r="D1526" s="8" t="n"/>
      <c r="E1526" s="8" t="n"/>
      <c r="F1526" s="20" t="n"/>
      <c r="G1526" s="8" t="n"/>
    </row>
    <row r="1527">
      <c r="B1527" s="11" t="n"/>
      <c r="C1527" s="8" t="n"/>
      <c r="D1527" s="8" t="n"/>
      <c r="E1527" s="8" t="n"/>
      <c r="F1527" s="20" t="n"/>
      <c r="G1527" s="8" t="n"/>
    </row>
    <row r="1528">
      <c r="B1528" s="11" t="n"/>
      <c r="C1528" s="8" t="n"/>
      <c r="D1528" s="8" t="n"/>
      <c r="E1528" s="8" t="n"/>
      <c r="F1528" s="20" t="n"/>
      <c r="G1528" s="8" t="n"/>
    </row>
    <row r="1529">
      <c r="B1529" s="11" t="n"/>
      <c r="C1529" s="8" t="n"/>
      <c r="D1529" s="8" t="n"/>
      <c r="E1529" s="8" t="n"/>
      <c r="F1529" s="20" t="n"/>
      <c r="G1529" s="8" t="n"/>
    </row>
    <row r="1530">
      <c r="B1530" s="11" t="n"/>
      <c r="C1530" s="8" t="n"/>
      <c r="D1530" s="8" t="n"/>
      <c r="E1530" s="8" t="n"/>
      <c r="F1530" s="20" t="n"/>
      <c r="G1530" s="8" t="n"/>
    </row>
    <row r="1531">
      <c r="B1531" s="11" t="n"/>
      <c r="C1531" s="8" t="n"/>
      <c r="D1531" s="8" t="n"/>
      <c r="E1531" s="8" t="n"/>
      <c r="F1531" s="20" t="n"/>
      <c r="G1531" s="8" t="n"/>
    </row>
    <row r="1532">
      <c r="B1532" s="11" t="n"/>
      <c r="C1532" s="8" t="n"/>
      <c r="D1532" s="8" t="n"/>
      <c r="E1532" s="8" t="n"/>
      <c r="F1532" s="20" t="n"/>
      <c r="G1532" s="8" t="n"/>
    </row>
    <row r="1533">
      <c r="B1533" s="11" t="n"/>
      <c r="C1533" s="8" t="n"/>
      <c r="D1533" s="8" t="n"/>
      <c r="E1533" s="8" t="n"/>
      <c r="F1533" s="20" t="n"/>
      <c r="G1533" s="8" t="n"/>
    </row>
    <row r="1534">
      <c r="B1534" s="11" t="n"/>
      <c r="C1534" s="8" t="n"/>
      <c r="D1534" s="8" t="n"/>
      <c r="E1534" s="8" t="n"/>
      <c r="F1534" s="20" t="n"/>
      <c r="G1534" s="8" t="n"/>
    </row>
    <row r="1535">
      <c r="B1535" s="11" t="n"/>
      <c r="C1535" s="8" t="n"/>
      <c r="D1535" s="8" t="n"/>
      <c r="E1535" s="8" t="n"/>
      <c r="F1535" s="20" t="n"/>
      <c r="G1535" s="8" t="n"/>
    </row>
    <row r="1536">
      <c r="B1536" s="11" t="n"/>
      <c r="C1536" s="8" t="n"/>
      <c r="D1536" s="8" t="n"/>
      <c r="E1536" s="8" t="n"/>
      <c r="F1536" s="20" t="n"/>
      <c r="G1536" s="8" t="n"/>
    </row>
    <row r="1537">
      <c r="B1537" s="11" t="n"/>
      <c r="C1537" s="8" t="n"/>
      <c r="D1537" s="8" t="n"/>
      <c r="E1537" s="8" t="n"/>
      <c r="F1537" s="20" t="n"/>
      <c r="G1537" s="8" t="n"/>
    </row>
    <row r="1538">
      <c r="B1538" s="11" t="n"/>
      <c r="C1538" s="8" t="n"/>
      <c r="D1538" s="8" t="n"/>
      <c r="E1538" s="8" t="n"/>
      <c r="F1538" s="20" t="n"/>
      <c r="G1538" s="8" t="n"/>
    </row>
    <row r="1539">
      <c r="B1539" s="11" t="n"/>
      <c r="C1539" s="8" t="n"/>
      <c r="D1539" s="8" t="n"/>
      <c r="E1539" s="8" t="n"/>
      <c r="F1539" s="20" t="n"/>
      <c r="G1539" s="8" t="n"/>
    </row>
    <row r="1540">
      <c r="B1540" s="11" t="n"/>
      <c r="C1540" s="8" t="n"/>
      <c r="D1540" s="8" t="n"/>
      <c r="E1540" s="8" t="n"/>
      <c r="F1540" s="20" t="n"/>
      <c r="G1540" s="8" t="n"/>
    </row>
    <row r="1541">
      <c r="B1541" s="11" t="n"/>
      <c r="C1541" s="8" t="n"/>
      <c r="D1541" s="8" t="n"/>
      <c r="E1541" s="8" t="n"/>
      <c r="F1541" s="20" t="n"/>
      <c r="G1541" s="8" t="n"/>
    </row>
    <row r="1542">
      <c r="B1542" s="11" t="n"/>
      <c r="C1542" s="8" t="n"/>
      <c r="D1542" s="8" t="n"/>
      <c r="E1542" s="8" t="n"/>
      <c r="F1542" s="20" t="n"/>
      <c r="G1542" s="8" t="n"/>
    </row>
    <row r="1543">
      <c r="B1543" s="11" t="n"/>
      <c r="C1543" s="8" t="n"/>
      <c r="D1543" s="8" t="n"/>
      <c r="E1543" s="8" t="n"/>
      <c r="F1543" s="20" t="n"/>
      <c r="G1543" s="8" t="n"/>
    </row>
    <row r="1544">
      <c r="B1544" s="11" t="n"/>
      <c r="C1544" s="8" t="n"/>
      <c r="D1544" s="8" t="n"/>
      <c r="E1544" s="8" t="n"/>
      <c r="F1544" s="20" t="n"/>
      <c r="G1544" s="8" t="n"/>
    </row>
    <row r="1545">
      <c r="B1545" s="11" t="n"/>
      <c r="C1545" s="8" t="n"/>
      <c r="D1545" s="8" t="n"/>
      <c r="E1545" s="8" t="n"/>
      <c r="F1545" s="20" t="n"/>
      <c r="G1545" s="8" t="n"/>
    </row>
    <row r="1546">
      <c r="B1546" s="11" t="n"/>
      <c r="C1546" s="8" t="n"/>
      <c r="D1546" s="8" t="n"/>
      <c r="E1546" s="8" t="n"/>
      <c r="F1546" s="20" t="n"/>
      <c r="G1546" s="8" t="n"/>
    </row>
    <row r="1547">
      <c r="B1547" s="11" t="n"/>
      <c r="C1547" s="8" t="n"/>
      <c r="D1547" s="8" t="n"/>
      <c r="E1547" s="8" t="n"/>
      <c r="F1547" s="20" t="n"/>
      <c r="G1547" s="8" t="n"/>
    </row>
    <row r="1548">
      <c r="B1548" s="11" t="n"/>
      <c r="C1548" s="8" t="n"/>
      <c r="D1548" s="8" t="n"/>
      <c r="E1548" s="8" t="n"/>
      <c r="F1548" s="20" t="n"/>
      <c r="G1548" s="8" t="n"/>
    </row>
    <row r="1549">
      <c r="B1549" s="11" t="n"/>
      <c r="C1549" s="8" t="n"/>
      <c r="D1549" s="8" t="n"/>
      <c r="E1549" s="8" t="n"/>
      <c r="F1549" s="20" t="n"/>
      <c r="G1549" s="8" t="n"/>
    </row>
    <row r="1550">
      <c r="B1550" s="11" t="n"/>
      <c r="C1550" s="8" t="n"/>
      <c r="D1550" s="8" t="n"/>
      <c r="E1550" s="8" t="n"/>
      <c r="F1550" s="20" t="n"/>
      <c r="G1550" s="8" t="n"/>
    </row>
    <row r="1551">
      <c r="B1551" s="11" t="n"/>
      <c r="C1551" s="8" t="n"/>
      <c r="D1551" s="8" t="n"/>
      <c r="E1551" s="8" t="n"/>
      <c r="F1551" s="20" t="n"/>
      <c r="G1551" s="8" t="n"/>
    </row>
    <row r="1552">
      <c r="B1552" s="11" t="n"/>
      <c r="C1552" s="8" t="n"/>
      <c r="D1552" s="8" t="n"/>
      <c r="E1552" s="8" t="n"/>
      <c r="F1552" s="20" t="n"/>
      <c r="G1552" s="8" t="n"/>
    </row>
    <row r="1553">
      <c r="B1553" s="11" t="n"/>
      <c r="C1553" s="8" t="n"/>
      <c r="D1553" s="8" t="n"/>
      <c r="E1553" s="8" t="n"/>
      <c r="F1553" s="20" t="n"/>
      <c r="G1553" s="8" t="n"/>
    </row>
    <row r="1554">
      <c r="B1554" s="11" t="n"/>
      <c r="C1554" s="8" t="n"/>
      <c r="D1554" s="8" t="n"/>
      <c r="E1554" s="8" t="n"/>
      <c r="F1554" s="20" t="n"/>
      <c r="G1554" s="8" t="n"/>
    </row>
    <row r="1555">
      <c r="B1555" s="11" t="n"/>
      <c r="C1555" s="8" t="n"/>
      <c r="D1555" s="8" t="n"/>
      <c r="E1555" s="8" t="n"/>
      <c r="F1555" s="20" t="n"/>
      <c r="G1555" s="8" t="n"/>
    </row>
    <row r="1556">
      <c r="B1556" s="11" t="n"/>
      <c r="C1556" s="8" t="n"/>
      <c r="D1556" s="8" t="n"/>
      <c r="E1556" s="8" t="n"/>
      <c r="F1556" s="20" t="n"/>
      <c r="G1556" s="8" t="n"/>
    </row>
    <row r="1557">
      <c r="B1557" s="11" t="n"/>
      <c r="C1557" s="8" t="n"/>
      <c r="D1557" s="8" t="n"/>
      <c r="E1557" s="8" t="n"/>
      <c r="F1557" s="20" t="n"/>
      <c r="G1557" s="8" t="n"/>
    </row>
    <row r="1558">
      <c r="B1558" s="11" t="n"/>
      <c r="C1558" s="8" t="n"/>
      <c r="D1558" s="8" t="n"/>
      <c r="E1558" s="8" t="n"/>
      <c r="F1558" s="20" t="n"/>
      <c r="G1558" s="8" t="n"/>
    </row>
    <row r="1559">
      <c r="B1559" s="11" t="n"/>
      <c r="C1559" s="8" t="n"/>
      <c r="D1559" s="8" t="n"/>
      <c r="E1559" s="8" t="n"/>
      <c r="F1559" s="20" t="n"/>
      <c r="G1559" s="8" t="n"/>
    </row>
    <row r="1560">
      <c r="B1560" s="11" t="n"/>
      <c r="C1560" s="8" t="n"/>
      <c r="D1560" s="8" t="n"/>
      <c r="E1560" s="8" t="n"/>
      <c r="F1560" s="20" t="n"/>
      <c r="G1560" s="8" t="n"/>
    </row>
    <row r="1561">
      <c r="B1561" s="11" t="n"/>
      <c r="C1561" s="8" t="n"/>
      <c r="D1561" s="8" t="n"/>
      <c r="E1561" s="8" t="n"/>
      <c r="F1561" s="20" t="n"/>
      <c r="G1561" s="8" t="n"/>
    </row>
    <row r="1562">
      <c r="B1562" s="11" t="n"/>
      <c r="C1562" s="8" t="n"/>
      <c r="D1562" s="8" t="n"/>
      <c r="E1562" s="8" t="n"/>
      <c r="F1562" s="20" t="n"/>
      <c r="G1562" s="8" t="n"/>
    </row>
    <row r="1563">
      <c r="B1563" s="11" t="n"/>
      <c r="C1563" s="8" t="n"/>
      <c r="D1563" s="8" t="n"/>
      <c r="E1563" s="8" t="n"/>
      <c r="F1563" s="20" t="n"/>
      <c r="G1563" s="8" t="n"/>
    </row>
    <row r="1564">
      <c r="B1564" s="11" t="n"/>
      <c r="C1564" s="8" t="n"/>
      <c r="D1564" s="8" t="n"/>
      <c r="E1564" s="8" t="n"/>
      <c r="F1564" s="20" t="n"/>
      <c r="G1564" s="8" t="n"/>
    </row>
    <row r="1565">
      <c r="B1565" s="11" t="n"/>
      <c r="C1565" s="8" t="n"/>
      <c r="D1565" s="8" t="n"/>
      <c r="E1565" s="8" t="n"/>
      <c r="F1565" s="20" t="n"/>
      <c r="G1565" s="8" t="n"/>
    </row>
    <row r="1566">
      <c r="B1566" s="11" t="n"/>
      <c r="C1566" s="8" t="n"/>
      <c r="D1566" s="8" t="n"/>
      <c r="E1566" s="8" t="n"/>
      <c r="F1566" s="20" t="n"/>
      <c r="G1566" s="8" t="n"/>
    </row>
    <row r="1567">
      <c r="B1567" s="11" t="n"/>
      <c r="C1567" s="8" t="n"/>
      <c r="D1567" s="8" t="n"/>
      <c r="E1567" s="8" t="n"/>
      <c r="F1567" s="20" t="n"/>
      <c r="G1567" s="8" t="n"/>
    </row>
    <row r="1568">
      <c r="B1568" s="11" t="n"/>
      <c r="C1568" s="8" t="n"/>
      <c r="D1568" s="8" t="n"/>
      <c r="E1568" s="8" t="n"/>
      <c r="F1568" s="20" t="n"/>
      <c r="G1568" s="8" t="n"/>
    </row>
    <row r="1569">
      <c r="B1569" s="11" t="n"/>
      <c r="C1569" s="8" t="n"/>
      <c r="D1569" s="8" t="n"/>
      <c r="E1569" s="8" t="n"/>
      <c r="F1569" s="20" t="n"/>
      <c r="G1569" s="8" t="n"/>
    </row>
    <row r="1570">
      <c r="B1570" s="11" t="n"/>
      <c r="C1570" s="8" t="n"/>
      <c r="D1570" s="8" t="n"/>
      <c r="E1570" s="8" t="n"/>
      <c r="F1570" s="20" t="n"/>
      <c r="G1570" s="8" t="n"/>
    </row>
    <row r="1571">
      <c r="B1571" s="11" t="n"/>
      <c r="C1571" s="8" t="n"/>
      <c r="D1571" s="8" t="n"/>
      <c r="E1571" s="8" t="n"/>
      <c r="F1571" s="20" t="n"/>
      <c r="G1571" s="8" t="n"/>
    </row>
    <row r="1572">
      <c r="B1572" s="11" t="n"/>
      <c r="C1572" s="8" t="n"/>
      <c r="D1572" s="8" t="n"/>
      <c r="E1572" s="8" t="n"/>
      <c r="F1572" s="20" t="n"/>
      <c r="G1572" s="8" t="n"/>
    </row>
    <row r="1573">
      <c r="B1573" s="11" t="n"/>
      <c r="C1573" s="8" t="n"/>
      <c r="D1573" s="8" t="n"/>
      <c r="E1573" s="8" t="n"/>
      <c r="F1573" s="20" t="n"/>
      <c r="G1573" s="8" t="n"/>
    </row>
    <row r="1574">
      <c r="B1574" s="11" t="n"/>
      <c r="C1574" s="8" t="n"/>
      <c r="D1574" s="8" t="n"/>
      <c r="E1574" s="8" t="n"/>
      <c r="F1574" s="20" t="n"/>
      <c r="G1574" s="8" t="n"/>
    </row>
    <row r="1575">
      <c r="B1575" s="11" t="n"/>
      <c r="C1575" s="8" t="n"/>
      <c r="D1575" s="8" t="n"/>
      <c r="E1575" s="8" t="n"/>
      <c r="F1575" s="20" t="n"/>
      <c r="G1575" s="8" t="n"/>
    </row>
    <row r="1576">
      <c r="B1576" s="11" t="n"/>
      <c r="C1576" s="8" t="n"/>
      <c r="D1576" s="8" t="n"/>
      <c r="E1576" s="8" t="n"/>
      <c r="F1576" s="20" t="n"/>
      <c r="G1576" s="8" t="n"/>
    </row>
    <row r="1577">
      <c r="B1577" s="11" t="n"/>
      <c r="C1577" s="8" t="n"/>
      <c r="D1577" s="8" t="n"/>
      <c r="E1577" s="8" t="n"/>
      <c r="F1577" s="20" t="n"/>
      <c r="G1577" s="8" t="n"/>
    </row>
    <row r="1578">
      <c r="B1578" s="11" t="n"/>
      <c r="C1578" s="8" t="n"/>
      <c r="D1578" s="8" t="n"/>
      <c r="E1578" s="8" t="n"/>
      <c r="F1578" s="20" t="n"/>
      <c r="G1578" s="8" t="n"/>
    </row>
    <row r="1579">
      <c r="B1579" s="11" t="n"/>
      <c r="C1579" s="8" t="n"/>
      <c r="D1579" s="8" t="n"/>
      <c r="E1579" s="8" t="n"/>
      <c r="F1579" s="20" t="n"/>
      <c r="G1579" s="8" t="n"/>
    </row>
    <row r="1580">
      <c r="B1580" s="11" t="n"/>
      <c r="C1580" s="8" t="n"/>
      <c r="D1580" s="8" t="n"/>
      <c r="E1580" s="8" t="n"/>
      <c r="F1580" s="20" t="n"/>
      <c r="G1580" s="8" t="n"/>
    </row>
    <row r="1581">
      <c r="B1581" s="11" t="n"/>
      <c r="C1581" s="8" t="n"/>
      <c r="D1581" s="8" t="n"/>
      <c r="E1581" s="8" t="n"/>
      <c r="F1581" s="20" t="n"/>
      <c r="G1581" s="8" t="n"/>
    </row>
    <row r="1582">
      <c r="B1582" s="11" t="n"/>
      <c r="C1582" s="8" t="n"/>
      <c r="D1582" s="8" t="n"/>
      <c r="E1582" s="8" t="n"/>
      <c r="F1582" s="20" t="n"/>
      <c r="G1582" s="8" t="n"/>
    </row>
    <row r="1583">
      <c r="B1583" s="11" t="n"/>
      <c r="C1583" s="8" t="n"/>
      <c r="D1583" s="8" t="n"/>
      <c r="E1583" s="8" t="n"/>
      <c r="F1583" s="20" t="n"/>
      <c r="G1583" s="8" t="n"/>
    </row>
    <row r="1584">
      <c r="B1584" s="11" t="n"/>
      <c r="C1584" s="8" t="n"/>
      <c r="D1584" s="8" t="n"/>
      <c r="E1584" s="8" t="n"/>
      <c r="F1584" s="20" t="n"/>
      <c r="G1584" s="8" t="n"/>
    </row>
    <row r="1585">
      <c r="B1585" s="11" t="n"/>
      <c r="C1585" s="8" t="n"/>
      <c r="D1585" s="8" t="n"/>
      <c r="E1585" s="8" t="n"/>
      <c r="F1585" s="20" t="n"/>
      <c r="G1585" s="8" t="n"/>
    </row>
    <row r="1586">
      <c r="B1586" s="11" t="n"/>
      <c r="C1586" s="8" t="n"/>
      <c r="D1586" s="8" t="n"/>
      <c r="E1586" s="8" t="n"/>
      <c r="F1586" s="20" t="n"/>
      <c r="G1586" s="8" t="n"/>
    </row>
    <row r="1587">
      <c r="B1587" s="11" t="n"/>
      <c r="C1587" s="8" t="n"/>
      <c r="D1587" s="8" t="n"/>
      <c r="E1587" s="8" t="n"/>
      <c r="F1587" s="20" t="n"/>
      <c r="G1587" s="8" t="n"/>
    </row>
    <row r="1588">
      <c r="B1588" s="11" t="n"/>
      <c r="C1588" s="8" t="n"/>
      <c r="D1588" s="8" t="n"/>
      <c r="E1588" s="8" t="n"/>
      <c r="F1588" s="20" t="n"/>
      <c r="G1588" s="8" t="n"/>
    </row>
    <row r="1589">
      <c r="B1589" s="11" t="n"/>
      <c r="C1589" s="8" t="n"/>
      <c r="D1589" s="8" t="n"/>
      <c r="E1589" s="8" t="n"/>
      <c r="F1589" s="20" t="n"/>
      <c r="G1589" s="8" t="n"/>
    </row>
    <row r="1590">
      <c r="B1590" s="11" t="n"/>
      <c r="C1590" s="8" t="n"/>
      <c r="D1590" s="8" t="n"/>
      <c r="E1590" s="8" t="n"/>
      <c r="F1590" s="20" t="n"/>
      <c r="G1590" s="8" t="n"/>
    </row>
    <row r="1591">
      <c r="B1591" s="11" t="n"/>
      <c r="C1591" s="8" t="n"/>
      <c r="D1591" s="8" t="n"/>
      <c r="E1591" s="8" t="n"/>
      <c r="F1591" s="20" t="n"/>
      <c r="G1591" s="8" t="n"/>
    </row>
    <row r="1592">
      <c r="B1592" s="11" t="n"/>
      <c r="C1592" s="8" t="n"/>
      <c r="D1592" s="8" t="n"/>
      <c r="E1592" s="8" t="n"/>
      <c r="F1592" s="20" t="n"/>
      <c r="G1592" s="8" t="n"/>
    </row>
    <row r="1593">
      <c r="B1593" s="11" t="n"/>
      <c r="C1593" s="8" t="n"/>
      <c r="D1593" s="8" t="n"/>
      <c r="E1593" s="8" t="n"/>
      <c r="F1593" s="20" t="n"/>
      <c r="G1593" s="8" t="n"/>
    </row>
    <row r="1594">
      <c r="B1594" s="11" t="n"/>
      <c r="C1594" s="8" t="n"/>
      <c r="D1594" s="8" t="n"/>
      <c r="E1594" s="8" t="n"/>
      <c r="F1594" s="20" t="n"/>
      <c r="G1594" s="8" t="n"/>
    </row>
    <row r="1595">
      <c r="B1595" s="11" t="n"/>
      <c r="C1595" s="8" t="n"/>
      <c r="D1595" s="8" t="n"/>
      <c r="E1595" s="8" t="n"/>
      <c r="F1595" s="20" t="n"/>
      <c r="G1595" s="8" t="n"/>
    </row>
    <row r="1596">
      <c r="B1596" s="11" t="n"/>
      <c r="C1596" s="8" t="n"/>
      <c r="D1596" s="8" t="n"/>
      <c r="E1596" s="8" t="n"/>
      <c r="F1596" s="20" t="n"/>
      <c r="G1596" s="8" t="n"/>
    </row>
    <row r="1597">
      <c r="B1597" s="11" t="n"/>
      <c r="C1597" s="8" t="n"/>
      <c r="D1597" s="8" t="n"/>
      <c r="E1597" s="8" t="n"/>
      <c r="F1597" s="20" t="n"/>
      <c r="G1597" s="8" t="n"/>
    </row>
    <row r="1598">
      <c r="B1598" s="11" t="n"/>
      <c r="C1598" s="8" t="n"/>
      <c r="D1598" s="8" t="n"/>
      <c r="E1598" s="8" t="n"/>
      <c r="F1598" s="20" t="n"/>
      <c r="G1598" s="8" t="n"/>
    </row>
    <row r="1599">
      <c r="B1599" s="11" t="n"/>
      <c r="C1599" s="8" t="n"/>
      <c r="D1599" s="8" t="n"/>
      <c r="E1599" s="8" t="n"/>
      <c r="F1599" s="20" t="n"/>
      <c r="G1599" s="8" t="n"/>
    </row>
    <row r="1600">
      <c r="B1600" s="11" t="n"/>
      <c r="C1600" s="8" t="n"/>
      <c r="D1600" s="8" t="n"/>
      <c r="E1600" s="8" t="n"/>
      <c r="F1600" s="20" t="n"/>
      <c r="G1600" s="8" t="n"/>
    </row>
    <row r="1601">
      <c r="B1601" s="11" t="n"/>
      <c r="C1601" s="8" t="n"/>
      <c r="D1601" s="8" t="n"/>
      <c r="E1601" s="8" t="n"/>
      <c r="F1601" s="20" t="n"/>
      <c r="G1601" s="8" t="n"/>
    </row>
    <row r="1602">
      <c r="B1602" s="11" t="n"/>
      <c r="C1602" s="8" t="n"/>
      <c r="D1602" s="8" t="n"/>
      <c r="E1602" s="8" t="n"/>
      <c r="F1602" s="20" t="n"/>
      <c r="G1602" s="8" t="n"/>
    </row>
    <row r="1603">
      <c r="B1603" s="11" t="n"/>
      <c r="C1603" s="8" t="n"/>
      <c r="D1603" s="8" t="n"/>
      <c r="E1603" s="8" t="n"/>
      <c r="F1603" s="20" t="n"/>
      <c r="G1603" s="8" t="n"/>
    </row>
    <row r="1604">
      <c r="B1604" s="11" t="n"/>
      <c r="C1604" s="8" t="n"/>
      <c r="D1604" s="8" t="n"/>
      <c r="E1604" s="8" t="n"/>
      <c r="F1604" s="20" t="n"/>
      <c r="G1604" s="8" t="n"/>
    </row>
    <row r="1605">
      <c r="B1605" s="11" t="n"/>
      <c r="C1605" s="8" t="n"/>
      <c r="D1605" s="8" t="n"/>
      <c r="E1605" s="8" t="n"/>
      <c r="F1605" s="20" t="n"/>
      <c r="G1605" s="8" t="n"/>
    </row>
    <row r="1606">
      <c r="B1606" s="11" t="n"/>
      <c r="C1606" s="8" t="n"/>
      <c r="D1606" s="8" t="n"/>
      <c r="E1606" s="8" t="n"/>
      <c r="F1606" s="20" t="n"/>
      <c r="G1606" s="8" t="n"/>
    </row>
    <row r="1607">
      <c r="B1607" s="11" t="n"/>
      <c r="C1607" s="8" t="n"/>
      <c r="D1607" s="8" t="n"/>
      <c r="E1607" s="8" t="n"/>
      <c r="F1607" s="20" t="n"/>
      <c r="G1607" s="8" t="n"/>
    </row>
    <row r="1608">
      <c r="B1608" s="11" t="n"/>
      <c r="C1608" s="8" t="n"/>
      <c r="D1608" s="8" t="n"/>
      <c r="E1608" s="8" t="n"/>
      <c r="F1608" s="20" t="n"/>
      <c r="G1608" s="8" t="n"/>
    </row>
    <row r="1609">
      <c r="B1609" s="11" t="n"/>
      <c r="C1609" s="8" t="n"/>
      <c r="D1609" s="8" t="n"/>
      <c r="E1609" s="8" t="n"/>
      <c r="F1609" s="20" t="n"/>
      <c r="G1609" s="8" t="n"/>
    </row>
    <row r="1610">
      <c r="B1610" s="11" t="n"/>
      <c r="C1610" s="8" t="n"/>
      <c r="D1610" s="8" t="n"/>
      <c r="E1610" s="8" t="n"/>
      <c r="F1610" s="20" t="n"/>
      <c r="G1610" s="8" t="n"/>
    </row>
    <row r="1611">
      <c r="B1611" s="11" t="n"/>
      <c r="C1611" s="8" t="n"/>
      <c r="D1611" s="8" t="n"/>
      <c r="E1611" s="8" t="n"/>
      <c r="F1611" s="20" t="n"/>
      <c r="G1611" s="8" t="n"/>
    </row>
    <row r="1612">
      <c r="B1612" s="11" t="n"/>
      <c r="C1612" s="8" t="n"/>
      <c r="D1612" s="8" t="n"/>
      <c r="E1612" s="8" t="n"/>
      <c r="F1612" s="20" t="n"/>
      <c r="G1612" s="8" t="n"/>
    </row>
    <row r="1613">
      <c r="B1613" s="11" t="n"/>
      <c r="C1613" s="8" t="n"/>
      <c r="D1613" s="8" t="n"/>
      <c r="E1613" s="8" t="n"/>
      <c r="F1613" s="20" t="n"/>
      <c r="G1613" s="8" t="n"/>
    </row>
    <row r="1614">
      <c r="B1614" s="11" t="n"/>
      <c r="C1614" s="8" t="n"/>
      <c r="D1614" s="8" t="n"/>
      <c r="E1614" s="8" t="n"/>
      <c r="F1614" s="20" t="n"/>
      <c r="G1614" s="8" t="n"/>
    </row>
    <row r="1615">
      <c r="B1615" s="11" t="n"/>
      <c r="C1615" s="8" t="n"/>
      <c r="D1615" s="8" t="n"/>
      <c r="E1615" s="8" t="n"/>
      <c r="F1615" s="20" t="n"/>
      <c r="G1615" s="8" t="n"/>
    </row>
    <row r="1616">
      <c r="B1616" s="11" t="n"/>
      <c r="C1616" s="8" t="n"/>
      <c r="D1616" s="8" t="n"/>
      <c r="E1616" s="8" t="n"/>
      <c r="F1616" s="20" t="n"/>
      <c r="G1616" s="8" t="n"/>
    </row>
    <row r="1617">
      <c r="B1617" s="11" t="n"/>
      <c r="C1617" s="8" t="n"/>
      <c r="D1617" s="8" t="n"/>
      <c r="E1617" s="8" t="n"/>
      <c r="F1617" s="20" t="n"/>
      <c r="G1617" s="8" t="n"/>
    </row>
    <row r="1618">
      <c r="B1618" s="11" t="n"/>
      <c r="C1618" s="8" t="n"/>
      <c r="D1618" s="8" t="n"/>
      <c r="E1618" s="8" t="n"/>
      <c r="F1618" s="20" t="n"/>
      <c r="G1618" s="8" t="n"/>
    </row>
    <row r="1619">
      <c r="B1619" s="11" t="n"/>
      <c r="C1619" s="8" t="n"/>
      <c r="D1619" s="8" t="n"/>
      <c r="E1619" s="8" t="n"/>
      <c r="F1619" s="20" t="n"/>
      <c r="G1619" s="8" t="n"/>
    </row>
    <row r="1620">
      <c r="B1620" s="11" t="n"/>
      <c r="C1620" s="8" t="n"/>
      <c r="D1620" s="8" t="n"/>
      <c r="E1620" s="8" t="n"/>
      <c r="F1620" s="20" t="n"/>
      <c r="G1620" s="8" t="n"/>
    </row>
    <row r="1621">
      <c r="B1621" s="11" t="n"/>
      <c r="C1621" s="8" t="n"/>
      <c r="D1621" s="8" t="n"/>
      <c r="E1621" s="8" t="n"/>
      <c r="F1621" s="20" t="n"/>
      <c r="G1621" s="8" t="n"/>
    </row>
    <row r="1622">
      <c r="B1622" s="11" t="n"/>
      <c r="C1622" s="8" t="n"/>
      <c r="D1622" s="8" t="n"/>
      <c r="E1622" s="8" t="n"/>
      <c r="F1622" s="20" t="n"/>
      <c r="G1622" s="8" t="n"/>
    </row>
    <row r="1623">
      <c r="B1623" s="11" t="n"/>
      <c r="C1623" s="8" t="n"/>
      <c r="D1623" s="8" t="n"/>
      <c r="E1623" s="8" t="n"/>
      <c r="F1623" s="20" t="n"/>
      <c r="G1623" s="8" t="n"/>
    </row>
    <row r="1624">
      <c r="B1624" s="11" t="n"/>
      <c r="C1624" s="8" t="n"/>
      <c r="D1624" s="8" t="n"/>
      <c r="E1624" s="8" t="n"/>
      <c r="F1624" s="20" t="n"/>
      <c r="G1624" s="8" t="n"/>
    </row>
    <row r="1625">
      <c r="B1625" s="11" t="n"/>
      <c r="C1625" s="8" t="n"/>
      <c r="D1625" s="8" t="n"/>
      <c r="E1625" s="8" t="n"/>
      <c r="F1625" s="20" t="n"/>
      <c r="G1625" s="8" t="n"/>
    </row>
    <row r="1626">
      <c r="B1626" s="11" t="n"/>
      <c r="C1626" s="8" t="n"/>
      <c r="D1626" s="8" t="n"/>
      <c r="E1626" s="8" t="n"/>
      <c r="F1626" s="20" t="n"/>
      <c r="G1626" s="8" t="n"/>
    </row>
    <row r="1627">
      <c r="B1627" s="11" t="n"/>
      <c r="C1627" s="8" t="n"/>
      <c r="D1627" s="8" t="n"/>
      <c r="E1627" s="8" t="n"/>
      <c r="F1627" s="20" t="n"/>
      <c r="G1627" s="8" t="n"/>
    </row>
    <row r="1628">
      <c r="B1628" s="11" t="n"/>
      <c r="C1628" s="8" t="n"/>
      <c r="D1628" s="8" t="n"/>
      <c r="E1628" s="8" t="n"/>
      <c r="F1628" s="20" t="n"/>
      <c r="G1628" s="8" t="n"/>
    </row>
    <row r="1629">
      <c r="B1629" s="11" t="n"/>
      <c r="C1629" s="8" t="n"/>
      <c r="D1629" s="8" t="n"/>
      <c r="E1629" s="8" t="n"/>
      <c r="F1629" s="20" t="n"/>
      <c r="G1629" s="8" t="n"/>
    </row>
    <row r="1630">
      <c r="B1630" s="11" t="n"/>
      <c r="C1630" s="8" t="n"/>
      <c r="D1630" s="8" t="n"/>
      <c r="E1630" s="8" t="n"/>
      <c r="F1630" s="20" t="n"/>
      <c r="G1630" s="8" t="n"/>
    </row>
    <row r="1631">
      <c r="B1631" s="11" t="n"/>
      <c r="C1631" s="8" t="n"/>
      <c r="D1631" s="8" t="n"/>
      <c r="E1631" s="8" t="n"/>
      <c r="F1631" s="20" t="n"/>
      <c r="G1631" s="8" t="n"/>
    </row>
    <row r="1632">
      <c r="B1632" s="11" t="n"/>
      <c r="C1632" s="8" t="n"/>
      <c r="D1632" s="8" t="n"/>
      <c r="E1632" s="8" t="n"/>
      <c r="F1632" s="20" t="n"/>
      <c r="G1632" s="8" t="n"/>
    </row>
    <row r="1633">
      <c r="B1633" s="11" t="n"/>
      <c r="C1633" s="8" t="n"/>
      <c r="D1633" s="8" t="n"/>
      <c r="E1633" s="8" t="n"/>
      <c r="F1633" s="20" t="n"/>
      <c r="G1633" s="8" t="n"/>
    </row>
    <row r="1634">
      <c r="B1634" s="11" t="n"/>
      <c r="C1634" s="8" t="n"/>
      <c r="D1634" s="8" t="n"/>
      <c r="E1634" s="8" t="n"/>
      <c r="F1634" s="20" t="n"/>
      <c r="G1634" s="8" t="n"/>
    </row>
    <row r="1635">
      <c r="B1635" s="11" t="n"/>
      <c r="C1635" s="8" t="n"/>
      <c r="D1635" s="8" t="n"/>
      <c r="E1635" s="8" t="n"/>
      <c r="F1635" s="20" t="n"/>
      <c r="G1635" s="8" t="n"/>
    </row>
    <row r="1636">
      <c r="B1636" s="11" t="n"/>
      <c r="C1636" s="8" t="n"/>
      <c r="D1636" s="8" t="n"/>
      <c r="E1636" s="8" t="n"/>
      <c r="F1636" s="20" t="n"/>
      <c r="G1636" s="8" t="n"/>
    </row>
    <row r="1637">
      <c r="B1637" s="11" t="n"/>
      <c r="C1637" s="8" t="n"/>
      <c r="D1637" s="8" t="n"/>
      <c r="E1637" s="8" t="n"/>
      <c r="F1637" s="20" t="n"/>
      <c r="G1637" s="8" t="n"/>
    </row>
    <row r="1638">
      <c r="B1638" s="11" t="n"/>
      <c r="C1638" s="8" t="n"/>
      <c r="D1638" s="8" t="n"/>
      <c r="E1638" s="8" t="n"/>
      <c r="F1638" s="20" t="n"/>
      <c r="G1638" s="8" t="n"/>
    </row>
    <row r="1639">
      <c r="B1639" s="11" t="n"/>
      <c r="C1639" s="8" t="n"/>
      <c r="D1639" s="8" t="n"/>
      <c r="E1639" s="8" t="n"/>
      <c r="F1639" s="20" t="n"/>
      <c r="G1639" s="8" t="n"/>
    </row>
    <row r="1640">
      <c r="B1640" s="11" t="n"/>
      <c r="C1640" s="8" t="n"/>
      <c r="D1640" s="8" t="n"/>
      <c r="E1640" s="8" t="n"/>
      <c r="F1640" s="20" t="n"/>
      <c r="G1640" s="8" t="n"/>
    </row>
    <row r="1641">
      <c r="B1641" s="11" t="n"/>
      <c r="C1641" s="8" t="n"/>
      <c r="D1641" s="8" t="n"/>
      <c r="E1641" s="8" t="n"/>
      <c r="F1641" s="20" t="n"/>
      <c r="G1641" s="8" t="n"/>
    </row>
    <row r="1642">
      <c r="B1642" s="11" t="n"/>
      <c r="C1642" s="8" t="n"/>
      <c r="D1642" s="8" t="n"/>
      <c r="E1642" s="8" t="n"/>
      <c r="F1642" s="20" t="n"/>
      <c r="G1642" s="8" t="n"/>
    </row>
    <row r="1643">
      <c r="B1643" s="11" t="n"/>
      <c r="C1643" s="8" t="n"/>
      <c r="D1643" s="8" t="n"/>
      <c r="E1643" s="8" t="n"/>
      <c r="F1643" s="20" t="n"/>
      <c r="G1643" s="8" t="n"/>
    </row>
    <row r="1644">
      <c r="B1644" s="11" t="n"/>
      <c r="C1644" s="8" t="n"/>
      <c r="D1644" s="8" t="n"/>
      <c r="E1644" s="8" t="n"/>
      <c r="F1644" s="20" t="n"/>
      <c r="G1644" s="8" t="n"/>
    </row>
    <row r="1645">
      <c r="B1645" s="11" t="n"/>
      <c r="C1645" s="8" t="n"/>
      <c r="D1645" s="8" t="n"/>
      <c r="E1645" s="8" t="n"/>
      <c r="F1645" s="20" t="n"/>
      <c r="G1645" s="8" t="n"/>
    </row>
    <row r="1646">
      <c r="B1646" s="11" t="n"/>
      <c r="C1646" s="8" t="n"/>
      <c r="D1646" s="8" t="n"/>
      <c r="E1646" s="8" t="n"/>
      <c r="F1646" s="20" t="n"/>
      <c r="G1646" s="8" t="n"/>
    </row>
    <row r="1647">
      <c r="B1647" s="11" t="n"/>
      <c r="C1647" s="8" t="n"/>
      <c r="D1647" s="8" t="n"/>
      <c r="E1647" s="8" t="n"/>
      <c r="F1647" s="20" t="n"/>
      <c r="G1647" s="8" t="n"/>
    </row>
    <row r="1648">
      <c r="B1648" s="11" t="n"/>
      <c r="C1648" s="8" t="n"/>
      <c r="D1648" s="8" t="n"/>
      <c r="E1648" s="8" t="n"/>
      <c r="F1648" s="20" t="n"/>
      <c r="G1648" s="8" t="n"/>
    </row>
    <row r="1649">
      <c r="B1649" s="11" t="n"/>
      <c r="C1649" s="8" t="n"/>
      <c r="D1649" s="8" t="n"/>
      <c r="E1649" s="8" t="n"/>
      <c r="F1649" s="20" t="n"/>
      <c r="G1649" s="8" t="n"/>
    </row>
    <row r="1650">
      <c r="B1650" s="11" t="n"/>
      <c r="C1650" s="8" t="n"/>
      <c r="D1650" s="8" t="n"/>
      <c r="E1650" s="8" t="n"/>
      <c r="F1650" s="20" t="n"/>
      <c r="G1650" s="8" t="n"/>
    </row>
    <row r="1651">
      <c r="B1651" s="11" t="n"/>
      <c r="C1651" s="8" t="n"/>
      <c r="D1651" s="8" t="n"/>
      <c r="E1651" s="8" t="n"/>
      <c r="F1651" s="20" t="n"/>
      <c r="G1651" s="8" t="n"/>
    </row>
    <row r="1652">
      <c r="B1652" s="11" t="n"/>
      <c r="C1652" s="8" t="n"/>
      <c r="D1652" s="8" t="n"/>
      <c r="E1652" s="8" t="n"/>
      <c r="F1652" s="20" t="n"/>
      <c r="G1652" s="8" t="n"/>
    </row>
    <row r="1653">
      <c r="B1653" s="11" t="n"/>
      <c r="C1653" s="8" t="n"/>
      <c r="D1653" s="8" t="n"/>
      <c r="E1653" s="8" t="n"/>
      <c r="F1653" s="20" t="n"/>
      <c r="G1653" s="8" t="n"/>
    </row>
    <row r="1654">
      <c r="B1654" s="11" t="n"/>
      <c r="C1654" s="8" t="n"/>
      <c r="D1654" s="8" t="n"/>
      <c r="E1654" s="8" t="n"/>
      <c r="F1654" s="20" t="n"/>
      <c r="G1654" s="8" t="n"/>
    </row>
    <row r="1655">
      <c r="B1655" s="11" t="n"/>
      <c r="C1655" s="8" t="n"/>
      <c r="D1655" s="8" t="n"/>
      <c r="E1655" s="8" t="n"/>
      <c r="F1655" s="20" t="n"/>
      <c r="G1655" s="8" t="n"/>
    </row>
    <row r="1656">
      <c r="B1656" s="11" t="n"/>
      <c r="C1656" s="8" t="n"/>
      <c r="D1656" s="8" t="n"/>
      <c r="E1656" s="8" t="n"/>
      <c r="F1656" s="20" t="n"/>
      <c r="G1656" s="8" t="n"/>
    </row>
    <row r="1657">
      <c r="B1657" s="11" t="n"/>
      <c r="C1657" s="8" t="n"/>
      <c r="D1657" s="8" t="n"/>
      <c r="E1657" s="8" t="n"/>
      <c r="F1657" s="20" t="n"/>
      <c r="G1657" s="8" t="n"/>
    </row>
    <row r="1658">
      <c r="B1658" s="11" t="n"/>
      <c r="C1658" s="8" t="n"/>
      <c r="D1658" s="8" t="n"/>
      <c r="E1658" s="8" t="n"/>
      <c r="F1658" s="20" t="n"/>
      <c r="G1658" s="8" t="n"/>
    </row>
    <row r="1659">
      <c r="B1659" s="11" t="n"/>
      <c r="C1659" s="8" t="n"/>
      <c r="D1659" s="8" t="n"/>
      <c r="E1659" s="8" t="n"/>
      <c r="F1659" s="20" t="n"/>
      <c r="G1659" s="8" t="n"/>
    </row>
    <row r="1660">
      <c r="B1660" s="11" t="n"/>
      <c r="C1660" s="8" t="n"/>
      <c r="D1660" s="8" t="n"/>
      <c r="E1660" s="8" t="n"/>
      <c r="F1660" s="20" t="n"/>
      <c r="G1660" s="8" t="n"/>
    </row>
    <row r="1661">
      <c r="B1661" s="11" t="n"/>
      <c r="C1661" s="8" t="n"/>
      <c r="D1661" s="8" t="n"/>
      <c r="E1661" s="8" t="n"/>
      <c r="F1661" s="20" t="n"/>
      <c r="G1661" s="8" t="n"/>
    </row>
    <row r="1662">
      <c r="B1662" s="11" t="n"/>
      <c r="C1662" s="8" t="n"/>
      <c r="D1662" s="8" t="n"/>
      <c r="E1662" s="8" t="n"/>
      <c r="F1662" s="20" t="n"/>
      <c r="G1662" s="8" t="n"/>
    </row>
    <row r="1663">
      <c r="B1663" s="11" t="n"/>
      <c r="C1663" s="8" t="n"/>
      <c r="D1663" s="8" t="n"/>
      <c r="E1663" s="8" t="n"/>
      <c r="F1663" s="20" t="n"/>
      <c r="G1663" s="8" t="n"/>
    </row>
    <row r="1664">
      <c r="B1664" s="11" t="n"/>
      <c r="C1664" s="8" t="n"/>
      <c r="D1664" s="8" t="n"/>
      <c r="E1664" s="8" t="n"/>
      <c r="F1664" s="20" t="n"/>
      <c r="G1664" s="8" t="n"/>
    </row>
    <row r="1665">
      <c r="B1665" s="11" t="n"/>
      <c r="C1665" s="8" t="n"/>
      <c r="D1665" s="8" t="n"/>
      <c r="E1665" s="8" t="n"/>
      <c r="F1665" s="20" t="n"/>
      <c r="G1665" s="8" t="n"/>
    </row>
    <row r="1666">
      <c r="B1666" s="11" t="n"/>
      <c r="C1666" s="8" t="n"/>
      <c r="D1666" s="8" t="n"/>
      <c r="E1666" s="8" t="n"/>
      <c r="F1666" s="20" t="n"/>
      <c r="G1666" s="8" t="n"/>
    </row>
    <row r="1667">
      <c r="B1667" s="11" t="n"/>
      <c r="C1667" s="8" t="n"/>
      <c r="D1667" s="8" t="n"/>
      <c r="E1667" s="8" t="n"/>
      <c r="F1667" s="20" t="n"/>
      <c r="G1667" s="8" t="n"/>
    </row>
    <row r="1668">
      <c r="B1668" s="11" t="n"/>
      <c r="C1668" s="8" t="n"/>
      <c r="D1668" s="8" t="n"/>
      <c r="E1668" s="8" t="n"/>
      <c r="F1668" s="20" t="n"/>
      <c r="G1668" s="8" t="n"/>
    </row>
    <row r="1669">
      <c r="B1669" s="11" t="n"/>
      <c r="C1669" s="8" t="n"/>
      <c r="D1669" s="8" t="n"/>
      <c r="E1669" s="8" t="n"/>
      <c r="F1669" s="20" t="n"/>
      <c r="G1669" s="8" t="n"/>
    </row>
    <row r="1670">
      <c r="B1670" s="11" t="n"/>
      <c r="C1670" s="8" t="n"/>
      <c r="D1670" s="8" t="n"/>
      <c r="E1670" s="8" t="n"/>
      <c r="F1670" s="20" t="n"/>
      <c r="G1670" s="8" t="n"/>
    </row>
    <row r="1671">
      <c r="B1671" s="11" t="n"/>
      <c r="C1671" s="8" t="n"/>
      <c r="D1671" s="8" t="n"/>
      <c r="E1671" s="8" t="n"/>
      <c r="F1671" s="20" t="n"/>
      <c r="G1671" s="8" t="n"/>
    </row>
    <row r="1672">
      <c r="B1672" s="11" t="n"/>
      <c r="C1672" s="8" t="n"/>
      <c r="D1672" s="8" t="n"/>
      <c r="E1672" s="8" t="n"/>
      <c r="F1672" s="20" t="n"/>
      <c r="G1672" s="8" t="n"/>
    </row>
    <row r="1673">
      <c r="B1673" s="11" t="n"/>
      <c r="C1673" s="8" t="n"/>
      <c r="D1673" s="8" t="n"/>
      <c r="E1673" s="8" t="n"/>
      <c r="F1673" s="20" t="n"/>
      <c r="G1673" s="8" t="n"/>
    </row>
    <row r="1674">
      <c r="B1674" s="11" t="n"/>
      <c r="C1674" s="8" t="n"/>
      <c r="D1674" s="8" t="n"/>
      <c r="E1674" s="8" t="n"/>
      <c r="F1674" s="20" t="n"/>
      <c r="G1674" s="8" t="n"/>
    </row>
    <row r="1675">
      <c r="B1675" s="11" t="n"/>
      <c r="C1675" s="8" t="n"/>
      <c r="D1675" s="8" t="n"/>
      <c r="E1675" s="8" t="n"/>
      <c r="F1675" s="20" t="n"/>
      <c r="G1675" s="8" t="n"/>
    </row>
    <row r="1676">
      <c r="B1676" s="11" t="n"/>
      <c r="C1676" s="8" t="n"/>
      <c r="D1676" s="8" t="n"/>
      <c r="E1676" s="8" t="n"/>
      <c r="F1676" s="20" t="n"/>
      <c r="G1676" s="8" t="n"/>
    </row>
    <row r="1677">
      <c r="B1677" s="11" t="n"/>
      <c r="C1677" s="8" t="n"/>
      <c r="D1677" s="8" t="n"/>
      <c r="E1677" s="8" t="n"/>
      <c r="F1677" s="20" t="n"/>
      <c r="G1677" s="8" t="n"/>
    </row>
    <row r="1678">
      <c r="B1678" s="11" t="n"/>
      <c r="C1678" s="8" t="n"/>
      <c r="D1678" s="8" t="n"/>
      <c r="E1678" s="8" t="n"/>
      <c r="F1678" s="20" t="n"/>
      <c r="G1678" s="8" t="n"/>
    </row>
    <row r="1679">
      <c r="B1679" s="11" t="n"/>
      <c r="C1679" s="8" t="n"/>
      <c r="D1679" s="8" t="n"/>
      <c r="E1679" s="8" t="n"/>
      <c r="F1679" s="20" t="n"/>
      <c r="G1679" s="8" t="n"/>
    </row>
    <row r="1680">
      <c r="B1680" s="11" t="n"/>
      <c r="C1680" s="8" t="n"/>
      <c r="D1680" s="8" t="n"/>
      <c r="E1680" s="8" t="n"/>
      <c r="F1680" s="20" t="n"/>
      <c r="G1680" s="8" t="n"/>
    </row>
    <row r="1681">
      <c r="B1681" s="11" t="n"/>
      <c r="C1681" s="8" t="n"/>
      <c r="D1681" s="8" t="n"/>
      <c r="E1681" s="8" t="n"/>
      <c r="F1681" s="20" t="n"/>
      <c r="G1681" s="8" t="n"/>
    </row>
    <row r="1682">
      <c r="B1682" s="11" t="n"/>
      <c r="C1682" s="8" t="n"/>
      <c r="D1682" s="8" t="n"/>
      <c r="E1682" s="8" t="n"/>
      <c r="F1682" s="20" t="n"/>
      <c r="G1682" s="8" t="n"/>
    </row>
    <row r="1683">
      <c r="B1683" s="11" t="n"/>
      <c r="C1683" s="8" t="n"/>
      <c r="D1683" s="8" t="n"/>
      <c r="E1683" s="8" t="n"/>
      <c r="F1683" s="20" t="n"/>
      <c r="G1683" s="8" t="n"/>
    </row>
    <row r="1684">
      <c r="B1684" s="11" t="n"/>
      <c r="C1684" s="8" t="n"/>
      <c r="D1684" s="8" t="n"/>
      <c r="E1684" s="8" t="n"/>
      <c r="F1684" s="20" t="n"/>
      <c r="G1684" s="8" t="n"/>
    </row>
    <row r="1685">
      <c r="B1685" s="11" t="n"/>
      <c r="C1685" s="8" t="n"/>
      <c r="D1685" s="8" t="n"/>
      <c r="E1685" s="8" t="n"/>
      <c r="F1685" s="20" t="n"/>
      <c r="G1685" s="8" t="n"/>
    </row>
    <row r="1686">
      <c r="B1686" s="11" t="n"/>
      <c r="C1686" s="8" t="n"/>
      <c r="D1686" s="8" t="n"/>
      <c r="E1686" s="8" t="n"/>
      <c r="F1686" s="20" t="n"/>
      <c r="G1686" s="8" t="n"/>
    </row>
    <row r="1687">
      <c r="B1687" s="11" t="n"/>
      <c r="C1687" s="8" t="n"/>
      <c r="D1687" s="8" t="n"/>
      <c r="E1687" s="8" t="n"/>
      <c r="F1687" s="20" t="n"/>
      <c r="G1687" s="8" t="n"/>
    </row>
    <row r="1688">
      <c r="B1688" s="11" t="n"/>
      <c r="C1688" s="8" t="n"/>
      <c r="D1688" s="8" t="n"/>
      <c r="E1688" s="8" t="n"/>
      <c r="F1688" s="20" t="n"/>
      <c r="G1688" s="8" t="n"/>
    </row>
    <row r="1689">
      <c r="B1689" s="11" t="n"/>
      <c r="C1689" s="8" t="n"/>
      <c r="D1689" s="8" t="n"/>
      <c r="E1689" s="8" t="n"/>
      <c r="F1689" s="20" t="n"/>
      <c r="G1689" s="8" t="n"/>
    </row>
    <row r="1690">
      <c r="B1690" s="11" t="n"/>
      <c r="C1690" s="8" t="n"/>
      <c r="D1690" s="8" t="n"/>
      <c r="E1690" s="8" t="n"/>
      <c r="F1690" s="20" t="n"/>
      <c r="G1690" s="8" t="n"/>
    </row>
    <row r="1691">
      <c r="B1691" s="11" t="n"/>
      <c r="C1691" s="8" t="n"/>
      <c r="D1691" s="8" t="n"/>
      <c r="E1691" s="8" t="n"/>
      <c r="F1691" s="20" t="n"/>
      <c r="G1691" s="8" t="n"/>
    </row>
    <row r="1692">
      <c r="B1692" s="11" t="n"/>
      <c r="C1692" s="8" t="n"/>
      <c r="D1692" s="8" t="n"/>
      <c r="E1692" s="8" t="n"/>
      <c r="F1692" s="20" t="n"/>
      <c r="G1692" s="8" t="n"/>
    </row>
    <row r="1693">
      <c r="B1693" s="11" t="n"/>
      <c r="C1693" s="8" t="n"/>
      <c r="D1693" s="8" t="n"/>
      <c r="E1693" s="8" t="n"/>
      <c r="F1693" s="20" t="n"/>
      <c r="G1693" s="8" t="n"/>
    </row>
    <row r="1694">
      <c r="B1694" s="11" t="n"/>
      <c r="C1694" s="8" t="n"/>
      <c r="D1694" s="8" t="n"/>
      <c r="E1694" s="8" t="n"/>
      <c r="F1694" s="20" t="n"/>
      <c r="G1694" s="8" t="n"/>
    </row>
    <row r="1695">
      <c r="B1695" s="11" t="n"/>
      <c r="C1695" s="8" t="n"/>
      <c r="D1695" s="8" t="n"/>
      <c r="E1695" s="8" t="n"/>
      <c r="F1695" s="20" t="n"/>
      <c r="G1695" s="8" t="n"/>
    </row>
    <row r="1696">
      <c r="B1696" s="11" t="n"/>
      <c r="C1696" s="8" t="n"/>
      <c r="D1696" s="8" t="n"/>
      <c r="E1696" s="8" t="n"/>
      <c r="F1696" s="20" t="n"/>
      <c r="G1696" s="8" t="n"/>
    </row>
    <row r="1697">
      <c r="B1697" s="11" t="n"/>
      <c r="C1697" s="8" t="n"/>
      <c r="D1697" s="8" t="n"/>
      <c r="E1697" s="8" t="n"/>
      <c r="F1697" s="20" t="n"/>
      <c r="G1697" s="8" t="n"/>
    </row>
    <row r="1698">
      <c r="B1698" s="11" t="n"/>
      <c r="C1698" s="8" t="n"/>
      <c r="D1698" s="8" t="n"/>
      <c r="E1698" s="8" t="n"/>
      <c r="F1698" s="20" t="n"/>
      <c r="G1698" s="8" t="n"/>
    </row>
    <row r="1699">
      <c r="B1699" s="11" t="n"/>
      <c r="C1699" s="8" t="n"/>
      <c r="D1699" s="8" t="n"/>
      <c r="E1699" s="8" t="n"/>
      <c r="F1699" s="20" t="n"/>
      <c r="G1699" s="8" t="n"/>
    </row>
    <row r="1700">
      <c r="B1700" s="11" t="n"/>
      <c r="C1700" s="8" t="n"/>
      <c r="D1700" s="8" t="n"/>
      <c r="E1700" s="8" t="n"/>
      <c r="F1700" s="20" t="n"/>
      <c r="G1700" s="8" t="n"/>
    </row>
    <row r="1701">
      <c r="B1701" s="11" t="n"/>
      <c r="C1701" s="8" t="n"/>
      <c r="D1701" s="8" t="n"/>
      <c r="E1701" s="8" t="n"/>
      <c r="F1701" s="20" t="n"/>
      <c r="G1701" s="8" t="n"/>
    </row>
    <row r="1702">
      <c r="B1702" s="11" t="n"/>
      <c r="C1702" s="8" t="n"/>
      <c r="D1702" s="8" t="n"/>
      <c r="E1702" s="8" t="n"/>
      <c r="F1702" s="20" t="n"/>
      <c r="G1702" s="8" t="n"/>
    </row>
    <row r="1703">
      <c r="B1703" s="11" t="n"/>
      <c r="C1703" s="8" t="n"/>
      <c r="D1703" s="8" t="n"/>
      <c r="E1703" s="8" t="n"/>
      <c r="F1703" s="20" t="n"/>
      <c r="G1703" s="8" t="n"/>
    </row>
    <row r="1704">
      <c r="B1704" s="11" t="n"/>
      <c r="C1704" s="8" t="n"/>
      <c r="D1704" s="8" t="n"/>
      <c r="E1704" s="8" t="n"/>
      <c r="F1704" s="20" t="n"/>
      <c r="G1704" s="8" t="n"/>
    </row>
    <row r="1705">
      <c r="B1705" s="11" t="n"/>
      <c r="C1705" s="8" t="n"/>
      <c r="D1705" s="8" t="n"/>
      <c r="E1705" s="8" t="n"/>
      <c r="F1705" s="20" t="n"/>
      <c r="G1705" s="8" t="n"/>
    </row>
    <row r="1706">
      <c r="B1706" s="11" t="n"/>
      <c r="C1706" s="8" t="n"/>
      <c r="D1706" s="8" t="n"/>
      <c r="E1706" s="8" t="n"/>
      <c r="F1706" s="20" t="n"/>
      <c r="G1706" s="8" t="n"/>
    </row>
    <row r="1707">
      <c r="B1707" s="11" t="n"/>
      <c r="C1707" s="8" t="n"/>
      <c r="D1707" s="8" t="n"/>
      <c r="E1707" s="8" t="n"/>
      <c r="F1707" s="20" t="n"/>
      <c r="G1707" s="8" t="n"/>
    </row>
    <row r="1708">
      <c r="B1708" s="11" t="n"/>
      <c r="C1708" s="8" t="n"/>
      <c r="D1708" s="8" t="n"/>
      <c r="E1708" s="8" t="n"/>
      <c r="F1708" s="20" t="n"/>
      <c r="G1708" s="8" t="n"/>
    </row>
    <row r="1709">
      <c r="B1709" s="11" t="n"/>
      <c r="C1709" s="8" t="n"/>
      <c r="D1709" s="8" t="n"/>
      <c r="E1709" s="8" t="n"/>
      <c r="F1709" s="20" t="n"/>
      <c r="G1709" s="8" t="n"/>
    </row>
    <row r="1710">
      <c r="B1710" s="11" t="n"/>
      <c r="C1710" s="8" t="n"/>
      <c r="D1710" s="8" t="n"/>
      <c r="E1710" s="8" t="n"/>
      <c r="F1710" s="20" t="n"/>
      <c r="G1710" s="8" t="n"/>
    </row>
    <row r="1711">
      <c r="B1711" s="11" t="n"/>
      <c r="C1711" s="8" t="n"/>
      <c r="D1711" s="8" t="n"/>
      <c r="E1711" s="8" t="n"/>
      <c r="F1711" s="20" t="n"/>
      <c r="G1711" s="8" t="n"/>
    </row>
    <row r="1712">
      <c r="B1712" s="11" t="n"/>
      <c r="C1712" s="8" t="n"/>
      <c r="D1712" s="8" t="n"/>
      <c r="E1712" s="8" t="n"/>
      <c r="F1712" s="20" t="n"/>
      <c r="G1712" s="8" t="n"/>
    </row>
    <row r="1713">
      <c r="B1713" s="11" t="n"/>
      <c r="C1713" s="8" t="n"/>
      <c r="D1713" s="8" t="n"/>
      <c r="E1713" s="8" t="n"/>
      <c r="F1713" s="20" t="n"/>
      <c r="G1713" s="8" t="n"/>
    </row>
    <row r="1714">
      <c r="B1714" s="11" t="n"/>
      <c r="C1714" s="8" t="n"/>
      <c r="D1714" s="8" t="n"/>
      <c r="E1714" s="8" t="n"/>
      <c r="F1714" s="20" t="n"/>
      <c r="G1714" s="8" t="n"/>
    </row>
    <row r="1715">
      <c r="B1715" s="11" t="n"/>
      <c r="C1715" s="8" t="n"/>
      <c r="D1715" s="8" t="n"/>
      <c r="E1715" s="8" t="n"/>
      <c r="F1715" s="20" t="n"/>
      <c r="G1715" s="8" t="n"/>
    </row>
    <row r="1716">
      <c r="B1716" s="11" t="n"/>
      <c r="C1716" s="8" t="n"/>
      <c r="D1716" s="8" t="n"/>
      <c r="E1716" s="8" t="n"/>
      <c r="F1716" s="20" t="n"/>
      <c r="G1716" s="8" t="n"/>
    </row>
    <row r="1717">
      <c r="B1717" s="11" t="n"/>
      <c r="C1717" s="8" t="n"/>
      <c r="D1717" s="8" t="n"/>
      <c r="E1717" s="8" t="n"/>
      <c r="F1717" s="20" t="n"/>
      <c r="G1717" s="8" t="n"/>
    </row>
    <row r="1718">
      <c r="B1718" s="11" t="n"/>
      <c r="C1718" s="8" t="n"/>
      <c r="D1718" s="8" t="n"/>
      <c r="E1718" s="8" t="n"/>
      <c r="F1718" s="20" t="n"/>
      <c r="G1718" s="8" t="n"/>
    </row>
    <row r="1719">
      <c r="B1719" s="11" t="n"/>
      <c r="C1719" s="8" t="n"/>
      <c r="D1719" s="8" t="n"/>
      <c r="E1719" s="8" t="n"/>
      <c r="F1719" s="20" t="n"/>
      <c r="G1719" s="8" t="n"/>
    </row>
    <row r="1720">
      <c r="B1720" s="11" t="n"/>
      <c r="C1720" s="8" t="n"/>
      <c r="D1720" s="8" t="n"/>
      <c r="E1720" s="8" t="n"/>
      <c r="F1720" s="20" t="n"/>
      <c r="G1720" s="8" t="n"/>
    </row>
    <row r="1721">
      <c r="B1721" s="11" t="n"/>
      <c r="C1721" s="8" t="n"/>
      <c r="D1721" s="8" t="n"/>
      <c r="E1721" s="8" t="n"/>
      <c r="F1721" s="20" t="n"/>
      <c r="G1721" s="8" t="n"/>
    </row>
    <row r="1722">
      <c r="B1722" s="11" t="n"/>
      <c r="C1722" s="8" t="n"/>
      <c r="D1722" s="8" t="n"/>
      <c r="E1722" s="8" t="n"/>
      <c r="F1722" s="20" t="n"/>
      <c r="G1722" s="8" t="n"/>
    </row>
    <row r="1723">
      <c r="B1723" s="11" t="n"/>
      <c r="C1723" s="8" t="n"/>
      <c r="D1723" s="8" t="n"/>
      <c r="E1723" s="8" t="n"/>
      <c r="F1723" s="20" t="n"/>
      <c r="G1723" s="8" t="n"/>
    </row>
    <row r="1724">
      <c r="B1724" s="11" t="n"/>
      <c r="C1724" s="8" t="n"/>
      <c r="D1724" s="8" t="n"/>
      <c r="E1724" s="8" t="n"/>
      <c r="F1724" s="20" t="n"/>
      <c r="G1724" s="8" t="n"/>
    </row>
    <row r="1725">
      <c r="B1725" s="11" t="n"/>
      <c r="C1725" s="8" t="n"/>
      <c r="D1725" s="8" t="n"/>
      <c r="E1725" s="8" t="n"/>
      <c r="F1725" s="20" t="n"/>
      <c r="G1725" s="8" t="n"/>
    </row>
    <row r="1726">
      <c r="B1726" s="11" t="n"/>
      <c r="C1726" s="8" t="n"/>
      <c r="D1726" s="8" t="n"/>
      <c r="E1726" s="8" t="n"/>
      <c r="F1726" s="20" t="n"/>
      <c r="G1726" s="8" t="n"/>
    </row>
    <row r="1727">
      <c r="B1727" s="11" t="n"/>
      <c r="C1727" s="8" t="n"/>
      <c r="D1727" s="8" t="n"/>
      <c r="E1727" s="8" t="n"/>
      <c r="F1727" s="20" t="n"/>
      <c r="G1727" s="8" t="n"/>
    </row>
    <row r="1728">
      <c r="B1728" s="11" t="n"/>
      <c r="C1728" s="8" t="n"/>
      <c r="D1728" s="8" t="n"/>
      <c r="E1728" s="8" t="n"/>
      <c r="F1728" s="20" t="n"/>
      <c r="G1728" s="8" t="n"/>
    </row>
    <row r="1729">
      <c r="B1729" s="11" t="n"/>
      <c r="C1729" s="8" t="n"/>
      <c r="D1729" s="8" t="n"/>
      <c r="E1729" s="8" t="n"/>
      <c r="F1729" s="20" t="n"/>
      <c r="G1729" s="8" t="n"/>
    </row>
    <row r="1730">
      <c r="B1730" s="11" t="n"/>
      <c r="C1730" s="8" t="n"/>
      <c r="D1730" s="8" t="n"/>
      <c r="E1730" s="8" t="n"/>
      <c r="F1730" s="20" t="n"/>
      <c r="G1730" s="8" t="n"/>
    </row>
    <row r="1731">
      <c r="B1731" s="11" t="n"/>
      <c r="C1731" s="8" t="n"/>
      <c r="D1731" s="8" t="n"/>
      <c r="E1731" s="8" t="n"/>
      <c r="F1731" s="20" t="n"/>
      <c r="G1731" s="8" t="n"/>
    </row>
    <row r="1732">
      <c r="B1732" s="11" t="n"/>
      <c r="C1732" s="8" t="n"/>
      <c r="D1732" s="8" t="n"/>
      <c r="E1732" s="8" t="n"/>
      <c r="F1732" s="20" t="n"/>
      <c r="G1732" s="8" t="n"/>
    </row>
    <row r="1733">
      <c r="B1733" s="11" t="n"/>
      <c r="C1733" s="8" t="n"/>
      <c r="D1733" s="8" t="n"/>
      <c r="E1733" s="8" t="n"/>
      <c r="F1733" s="20" t="n"/>
      <c r="G1733" s="8" t="n"/>
    </row>
    <row r="1734">
      <c r="B1734" s="11" t="n"/>
      <c r="C1734" s="8" t="n"/>
      <c r="D1734" s="8" t="n"/>
      <c r="E1734" s="8" t="n"/>
      <c r="F1734" s="20" t="n"/>
      <c r="G1734" s="8" t="n"/>
    </row>
    <row r="1735">
      <c r="B1735" s="11" t="n"/>
      <c r="C1735" s="8" t="n"/>
      <c r="D1735" s="8" t="n"/>
      <c r="E1735" s="8" t="n"/>
      <c r="F1735" s="20" t="n"/>
      <c r="G1735" s="8" t="n"/>
    </row>
    <row r="1736">
      <c r="B1736" s="11" t="n"/>
      <c r="C1736" s="8" t="n"/>
      <c r="D1736" s="8" t="n"/>
      <c r="E1736" s="8" t="n"/>
      <c r="F1736" s="20" t="n"/>
      <c r="G1736" s="8" t="n"/>
    </row>
    <row r="1737">
      <c r="B1737" s="11" t="n"/>
      <c r="C1737" s="8" t="n"/>
      <c r="D1737" s="8" t="n"/>
      <c r="E1737" s="8" t="n"/>
      <c r="F1737" s="20" t="n"/>
      <c r="G1737" s="8" t="n"/>
    </row>
    <row r="1738">
      <c r="B1738" s="11" t="n"/>
      <c r="C1738" s="8" t="n"/>
      <c r="D1738" s="8" t="n"/>
      <c r="E1738" s="8" t="n"/>
      <c r="F1738" s="20" t="n"/>
      <c r="G1738" s="8" t="n"/>
    </row>
    <row r="1739">
      <c r="B1739" s="11" t="n"/>
      <c r="C1739" s="8" t="n"/>
      <c r="D1739" s="8" t="n"/>
      <c r="E1739" s="8" t="n"/>
      <c r="F1739" s="20" t="n"/>
      <c r="G1739" s="8" t="n"/>
    </row>
    <row r="1740">
      <c r="B1740" s="11" t="n"/>
      <c r="C1740" s="8" t="n"/>
      <c r="D1740" s="8" t="n"/>
      <c r="E1740" s="8" t="n"/>
      <c r="F1740" s="20" t="n"/>
      <c r="G1740" s="8" t="n"/>
    </row>
    <row r="1741">
      <c r="B1741" s="11" t="n"/>
      <c r="C1741" s="8" t="n"/>
      <c r="D1741" s="8" t="n"/>
      <c r="E1741" s="8" t="n"/>
      <c r="F1741" s="20" t="n"/>
      <c r="G1741" s="8" t="n"/>
    </row>
    <row r="1742">
      <c r="B1742" s="11" t="n"/>
      <c r="C1742" s="8" t="n"/>
      <c r="D1742" s="8" t="n"/>
      <c r="E1742" s="8" t="n"/>
      <c r="F1742" s="20" t="n"/>
      <c r="G1742" s="8" t="n"/>
    </row>
    <row r="1743">
      <c r="B1743" s="11" t="n"/>
      <c r="C1743" s="8" t="n"/>
      <c r="D1743" s="8" t="n"/>
      <c r="E1743" s="8" t="n"/>
      <c r="F1743" s="20" t="n"/>
      <c r="G1743" s="8" t="n"/>
    </row>
    <row r="1744">
      <c r="B1744" s="11" t="n"/>
      <c r="C1744" s="8" t="n"/>
      <c r="D1744" s="8" t="n"/>
      <c r="E1744" s="8" t="n"/>
      <c r="F1744" s="20" t="n"/>
      <c r="G1744" s="8" t="n"/>
    </row>
    <row r="1745">
      <c r="B1745" s="11" t="n"/>
      <c r="C1745" s="8" t="n"/>
      <c r="D1745" s="8" t="n"/>
      <c r="E1745" s="8" t="n"/>
      <c r="F1745" s="20" t="n"/>
      <c r="G1745" s="8" t="n"/>
    </row>
    <row r="1746">
      <c r="B1746" s="11" t="n"/>
      <c r="C1746" s="8" t="n"/>
      <c r="D1746" s="8" t="n"/>
      <c r="E1746" s="8" t="n"/>
      <c r="F1746" s="20" t="n"/>
      <c r="G1746" s="8" t="n"/>
    </row>
    <row r="1747">
      <c r="B1747" s="11" t="n"/>
      <c r="C1747" s="8" t="n"/>
      <c r="D1747" s="8" t="n"/>
      <c r="E1747" s="8" t="n"/>
      <c r="F1747" s="20" t="n"/>
      <c r="G1747" s="8" t="n"/>
    </row>
    <row r="1748">
      <c r="B1748" s="11" t="n"/>
      <c r="C1748" s="8" t="n"/>
      <c r="D1748" s="8" t="n"/>
      <c r="E1748" s="8" t="n"/>
      <c r="F1748" s="20" t="n"/>
      <c r="G1748" s="8" t="n"/>
    </row>
    <row r="1749">
      <c r="B1749" s="11" t="n"/>
      <c r="C1749" s="8" t="n"/>
      <c r="D1749" s="8" t="n"/>
      <c r="E1749" s="8" t="n"/>
      <c r="F1749" s="20" t="n"/>
      <c r="G1749" s="8" t="n"/>
    </row>
    <row r="1750">
      <c r="B1750" s="11" t="n"/>
      <c r="C1750" s="8" t="n"/>
      <c r="D1750" s="8" t="n"/>
      <c r="E1750" s="8" t="n"/>
      <c r="F1750" s="20" t="n"/>
      <c r="G1750" s="8" t="n"/>
    </row>
    <row r="1751">
      <c r="B1751" s="11" t="n"/>
      <c r="C1751" s="8" t="n"/>
      <c r="D1751" s="8" t="n"/>
      <c r="E1751" s="8" t="n"/>
      <c r="F1751" s="20" t="n"/>
      <c r="G1751" s="8" t="n"/>
    </row>
    <row r="1752">
      <c r="B1752" s="11" t="n"/>
      <c r="C1752" s="8" t="n"/>
      <c r="D1752" s="8" t="n"/>
      <c r="E1752" s="8" t="n"/>
      <c r="F1752" s="20" t="n"/>
      <c r="G1752" s="8" t="n"/>
    </row>
    <row r="1753">
      <c r="B1753" s="11" t="n"/>
      <c r="C1753" s="8" t="n"/>
      <c r="D1753" s="8" t="n"/>
      <c r="E1753" s="8" t="n"/>
      <c r="F1753" s="20" t="n"/>
      <c r="G1753" s="8" t="n"/>
    </row>
    <row r="1754">
      <c r="B1754" s="11" t="n"/>
      <c r="C1754" s="8" t="n"/>
      <c r="D1754" s="8" t="n"/>
      <c r="E1754" s="8" t="n"/>
      <c r="F1754" s="20" t="n"/>
      <c r="G1754" s="8" t="n"/>
    </row>
    <row r="1755">
      <c r="B1755" s="11" t="n"/>
      <c r="C1755" s="8" t="n"/>
      <c r="D1755" s="8" t="n"/>
      <c r="E1755" s="8" t="n"/>
      <c r="F1755" s="20" t="n"/>
      <c r="G1755" s="8" t="n"/>
    </row>
    <row r="1756">
      <c r="B1756" s="11" t="n"/>
      <c r="C1756" s="8" t="n"/>
      <c r="D1756" s="8" t="n"/>
      <c r="E1756" s="8" t="n"/>
      <c r="F1756" s="20" t="n"/>
      <c r="G1756" s="8" t="n"/>
    </row>
    <row r="1757">
      <c r="B1757" s="11" t="n"/>
      <c r="C1757" s="8" t="n"/>
      <c r="D1757" s="8" t="n"/>
      <c r="E1757" s="8" t="n"/>
      <c r="F1757" s="20" t="n"/>
      <c r="G1757" s="8" t="n"/>
    </row>
    <row r="1758">
      <c r="B1758" s="11" t="n"/>
      <c r="C1758" s="8" t="n"/>
      <c r="D1758" s="8" t="n"/>
      <c r="E1758" s="8" t="n"/>
      <c r="F1758" s="20" t="n"/>
      <c r="G1758" s="8" t="n"/>
    </row>
    <row r="1759">
      <c r="B1759" s="11" t="n"/>
      <c r="C1759" s="8" t="n"/>
      <c r="D1759" s="8" t="n"/>
      <c r="E1759" s="8" t="n"/>
      <c r="F1759" s="20" t="n"/>
      <c r="G1759" s="8" t="n"/>
    </row>
    <row r="1760">
      <c r="B1760" s="11" t="n"/>
      <c r="C1760" s="8" t="n"/>
      <c r="D1760" s="8" t="n"/>
      <c r="E1760" s="8" t="n"/>
      <c r="F1760" s="20" t="n"/>
      <c r="G1760" s="8" t="n"/>
    </row>
    <row r="1761">
      <c r="B1761" s="11" t="n"/>
      <c r="C1761" s="8" t="n"/>
      <c r="D1761" s="8" t="n"/>
      <c r="E1761" s="8" t="n"/>
      <c r="F1761" s="20" t="n"/>
      <c r="G1761" s="8" t="n"/>
    </row>
    <row r="1762">
      <c r="B1762" s="11" t="n"/>
      <c r="C1762" s="8" t="n"/>
      <c r="D1762" s="8" t="n"/>
      <c r="E1762" s="8" t="n"/>
      <c r="F1762" s="20" t="n"/>
      <c r="G1762" s="8" t="n"/>
    </row>
    <row r="1763">
      <c r="B1763" s="11" t="n"/>
      <c r="C1763" s="8" t="n"/>
      <c r="D1763" s="8" t="n"/>
      <c r="E1763" s="8" t="n"/>
      <c r="F1763" s="20" t="n"/>
      <c r="G1763" s="8" t="n"/>
    </row>
    <row r="1764">
      <c r="B1764" s="11" t="n"/>
      <c r="C1764" s="8" t="n"/>
      <c r="D1764" s="8" t="n"/>
      <c r="E1764" s="8" t="n"/>
      <c r="F1764" s="20" t="n"/>
      <c r="G1764" s="8" t="n"/>
    </row>
    <row r="1765">
      <c r="B1765" s="11" t="n"/>
      <c r="C1765" s="8" t="n"/>
      <c r="D1765" s="8" t="n"/>
      <c r="E1765" s="8" t="n"/>
      <c r="F1765" s="20" t="n"/>
      <c r="G1765" s="8" t="n"/>
    </row>
    <row r="1766">
      <c r="B1766" s="11" t="n"/>
      <c r="C1766" s="8" t="n"/>
      <c r="D1766" s="8" t="n"/>
      <c r="E1766" s="8" t="n"/>
      <c r="F1766" s="20" t="n"/>
      <c r="G1766" s="8" t="n"/>
    </row>
    <row r="1767">
      <c r="B1767" s="11" t="n"/>
      <c r="C1767" s="8" t="n"/>
      <c r="D1767" s="8" t="n"/>
      <c r="E1767" s="8" t="n"/>
      <c r="F1767" s="20" t="n"/>
      <c r="G1767" s="8" t="n"/>
    </row>
    <row r="1768">
      <c r="B1768" s="11" t="n"/>
      <c r="C1768" s="8" t="n"/>
      <c r="D1768" s="8" t="n"/>
      <c r="E1768" s="8" t="n"/>
      <c r="F1768" s="20" t="n"/>
      <c r="G1768" s="8" t="n"/>
    </row>
    <row r="1769">
      <c r="B1769" s="11" t="n"/>
      <c r="C1769" s="8" t="n"/>
      <c r="D1769" s="8" t="n"/>
      <c r="E1769" s="8" t="n"/>
      <c r="F1769" s="20" t="n"/>
      <c r="G1769" s="8" t="n"/>
    </row>
    <row r="1770">
      <c r="B1770" s="11" t="n"/>
      <c r="C1770" s="8" t="n"/>
      <c r="D1770" s="8" t="n"/>
      <c r="E1770" s="8" t="n"/>
      <c r="F1770" s="20" t="n"/>
      <c r="G1770" s="8" t="n"/>
    </row>
    <row r="1771">
      <c r="B1771" s="11" t="n"/>
      <c r="C1771" s="8" t="n"/>
      <c r="D1771" s="8" t="n"/>
      <c r="E1771" s="8" t="n"/>
      <c r="F1771" s="20" t="n"/>
      <c r="G1771" s="8" t="n"/>
    </row>
    <row r="1772">
      <c r="B1772" s="11" t="n"/>
      <c r="C1772" s="8" t="n"/>
      <c r="D1772" s="8" t="n"/>
      <c r="E1772" s="8" t="n"/>
      <c r="F1772" s="20" t="n"/>
      <c r="G1772" s="8" t="n"/>
    </row>
    <row r="1773">
      <c r="B1773" s="11" t="n"/>
      <c r="C1773" s="8" t="n"/>
      <c r="D1773" s="8" t="n"/>
      <c r="E1773" s="8" t="n"/>
      <c r="F1773" s="20" t="n"/>
      <c r="G1773" s="8" t="n"/>
    </row>
    <row r="1774">
      <c r="B1774" s="11" t="n"/>
      <c r="C1774" s="8" t="n"/>
      <c r="D1774" s="8" t="n"/>
      <c r="E1774" s="8" t="n"/>
      <c r="F1774" s="20" t="n"/>
      <c r="G1774" s="8" t="n"/>
    </row>
    <row r="1775">
      <c r="B1775" s="11" t="n"/>
      <c r="C1775" s="8" t="n"/>
      <c r="D1775" s="8" t="n"/>
      <c r="E1775" s="8" t="n"/>
      <c r="F1775" s="20" t="n"/>
      <c r="G1775" s="8" t="n"/>
    </row>
    <row r="1776">
      <c r="B1776" s="11" t="n"/>
      <c r="C1776" s="8" t="n"/>
      <c r="D1776" s="8" t="n"/>
      <c r="E1776" s="8" t="n"/>
      <c r="F1776" s="20" t="n"/>
      <c r="G1776" s="8" t="n"/>
    </row>
    <row r="1777">
      <c r="B1777" s="11" t="n"/>
      <c r="C1777" s="8" t="n"/>
      <c r="D1777" s="8" t="n"/>
      <c r="E1777" s="8" t="n"/>
      <c r="F1777" s="20" t="n"/>
      <c r="G1777" s="8" t="n"/>
    </row>
    <row r="1778">
      <c r="B1778" s="11" t="n"/>
      <c r="C1778" s="8" t="n"/>
      <c r="D1778" s="8" t="n"/>
      <c r="E1778" s="8" t="n"/>
      <c r="F1778" s="20" t="n"/>
      <c r="G1778" s="8" t="n"/>
    </row>
    <row r="1779">
      <c r="B1779" s="11" t="n"/>
      <c r="C1779" s="8" t="n"/>
      <c r="D1779" s="8" t="n"/>
      <c r="E1779" s="8" t="n"/>
      <c r="F1779" s="20" t="n"/>
      <c r="G1779" s="8" t="n"/>
    </row>
    <row r="1780">
      <c r="B1780" s="11" t="n"/>
      <c r="C1780" s="8" t="n"/>
      <c r="D1780" s="8" t="n"/>
      <c r="E1780" s="8" t="n"/>
      <c r="F1780" s="20" t="n"/>
      <c r="G1780" s="8" t="n"/>
    </row>
    <row r="1781">
      <c r="B1781" s="11" t="n"/>
      <c r="C1781" s="8" t="n"/>
      <c r="D1781" s="8" t="n"/>
      <c r="E1781" s="8" t="n"/>
      <c r="F1781" s="20" t="n"/>
      <c r="G1781" s="8" t="n"/>
    </row>
    <row r="1782">
      <c r="B1782" s="11" t="n"/>
      <c r="C1782" s="8" t="n"/>
      <c r="D1782" s="8" t="n"/>
      <c r="E1782" s="8" t="n"/>
      <c r="F1782" s="20" t="n"/>
      <c r="G1782" s="8" t="n"/>
    </row>
    <row r="1783">
      <c r="B1783" s="11" t="n"/>
      <c r="C1783" s="8" t="n"/>
      <c r="D1783" s="8" t="n"/>
      <c r="E1783" s="8" t="n"/>
      <c r="F1783" s="20" t="n"/>
      <c r="G1783" s="8" t="n"/>
    </row>
    <row r="1784">
      <c r="B1784" s="11" t="n"/>
      <c r="C1784" s="8" t="n"/>
      <c r="D1784" s="8" t="n"/>
      <c r="E1784" s="8" t="n"/>
      <c r="F1784" s="20" t="n"/>
      <c r="G1784" s="8" t="n"/>
    </row>
    <row r="1785">
      <c r="B1785" s="11" t="n"/>
      <c r="C1785" s="8" t="n"/>
      <c r="D1785" s="8" t="n"/>
      <c r="E1785" s="8" t="n"/>
      <c r="F1785" s="20" t="n"/>
      <c r="G1785" s="8" t="n"/>
    </row>
    <row r="1786">
      <c r="B1786" s="11" t="n"/>
      <c r="C1786" s="8" t="n"/>
      <c r="D1786" s="8" t="n"/>
      <c r="E1786" s="8" t="n"/>
      <c r="F1786" s="20" t="n"/>
      <c r="G1786" s="8" t="n"/>
    </row>
    <row r="1787">
      <c r="B1787" s="11" t="n"/>
      <c r="C1787" s="8" t="n"/>
      <c r="D1787" s="8" t="n"/>
      <c r="E1787" s="8" t="n"/>
      <c r="F1787" s="20" t="n"/>
      <c r="G1787" s="8" t="n"/>
    </row>
    <row r="1788">
      <c r="B1788" s="11" t="n"/>
      <c r="C1788" s="8" t="n"/>
      <c r="D1788" s="8" t="n"/>
      <c r="E1788" s="8" t="n"/>
      <c r="F1788" s="20" t="n"/>
      <c r="G1788" s="8" t="n"/>
    </row>
    <row r="1789">
      <c r="B1789" s="11" t="n"/>
      <c r="C1789" s="8" t="n"/>
      <c r="D1789" s="8" t="n"/>
      <c r="E1789" s="8" t="n"/>
      <c r="F1789" s="20" t="n"/>
      <c r="G1789" s="8" t="n"/>
    </row>
    <row r="1790">
      <c r="B1790" s="11" t="n"/>
      <c r="C1790" s="8" t="n"/>
      <c r="D1790" s="8" t="n"/>
      <c r="E1790" s="8" t="n"/>
      <c r="F1790" s="20" t="n"/>
      <c r="G1790" s="8" t="n"/>
    </row>
    <row r="1791">
      <c r="B1791" s="11" t="n"/>
      <c r="C1791" s="8" t="n"/>
      <c r="D1791" s="8" t="n"/>
      <c r="E1791" s="8" t="n"/>
      <c r="F1791" s="20" t="n"/>
      <c r="G1791" s="8" t="n"/>
    </row>
    <row r="1792">
      <c r="B1792" s="11" t="n"/>
      <c r="C1792" s="8" t="n"/>
      <c r="D1792" s="8" t="n"/>
      <c r="E1792" s="8" t="n"/>
      <c r="F1792" s="20" t="n"/>
      <c r="G1792" s="8" t="n"/>
    </row>
    <row r="1793">
      <c r="B1793" s="11" t="n"/>
      <c r="C1793" s="8" t="n"/>
      <c r="D1793" s="8" t="n"/>
      <c r="E1793" s="8" t="n"/>
      <c r="F1793" s="20" t="n"/>
      <c r="G1793" s="8" t="n"/>
    </row>
    <row r="1794">
      <c r="B1794" s="11" t="n"/>
      <c r="C1794" s="8" t="n"/>
      <c r="D1794" s="8" t="n"/>
      <c r="E1794" s="8" t="n"/>
      <c r="F1794" s="20" t="n"/>
      <c r="G1794" s="8" t="n"/>
    </row>
    <row r="1795">
      <c r="B1795" s="11" t="n"/>
      <c r="C1795" s="8" t="n"/>
      <c r="D1795" s="8" t="n"/>
      <c r="E1795" s="8" t="n"/>
      <c r="F1795" s="20" t="n"/>
      <c r="G1795" s="8" t="n"/>
    </row>
    <row r="1796">
      <c r="B1796" s="11" t="n"/>
      <c r="C1796" s="8" t="n"/>
      <c r="D1796" s="8" t="n"/>
      <c r="E1796" s="8" t="n"/>
      <c r="F1796" s="20" t="n"/>
      <c r="G1796" s="8" t="n"/>
    </row>
    <row r="1797">
      <c r="B1797" s="11" t="n"/>
      <c r="C1797" s="8" t="n"/>
      <c r="D1797" s="8" t="n"/>
      <c r="E1797" s="8" t="n"/>
      <c r="F1797" s="20" t="n"/>
      <c r="G1797" s="8" t="n"/>
    </row>
    <row r="1798">
      <c r="B1798" s="11" t="n"/>
      <c r="C1798" s="8" t="n"/>
      <c r="D1798" s="8" t="n"/>
      <c r="E1798" s="8" t="n"/>
      <c r="F1798" s="20" t="n"/>
      <c r="G1798" s="8" t="n"/>
    </row>
    <row r="1799">
      <c r="B1799" s="11" t="n"/>
      <c r="C1799" s="8" t="n"/>
      <c r="D1799" s="8" t="n"/>
      <c r="E1799" s="8" t="n"/>
      <c r="F1799" s="20" t="n"/>
      <c r="G1799" s="8" t="n"/>
    </row>
    <row r="1800">
      <c r="B1800" s="11" t="n"/>
      <c r="C1800" s="8" t="n"/>
      <c r="D1800" s="8" t="n"/>
      <c r="E1800" s="8" t="n"/>
      <c r="F1800" s="20" t="n"/>
      <c r="G1800" s="8" t="n"/>
    </row>
    <row r="1801">
      <c r="B1801" s="11" t="n"/>
      <c r="C1801" s="8" t="n"/>
      <c r="D1801" s="8" t="n"/>
      <c r="E1801" s="8" t="n"/>
      <c r="F1801" s="20" t="n"/>
      <c r="G1801" s="8" t="n"/>
    </row>
    <row r="1802">
      <c r="B1802" s="11" t="n"/>
      <c r="C1802" s="8" t="n"/>
      <c r="D1802" s="8" t="n"/>
      <c r="E1802" s="8" t="n"/>
      <c r="F1802" s="20" t="n"/>
      <c r="G1802" s="8" t="n"/>
    </row>
    <row r="1803">
      <c r="B1803" s="11" t="n"/>
      <c r="C1803" s="8" t="n"/>
      <c r="D1803" s="8" t="n"/>
      <c r="E1803" s="8" t="n"/>
      <c r="F1803" s="20" t="n"/>
      <c r="G1803" s="8" t="n"/>
    </row>
    <row r="1804">
      <c r="B1804" s="11" t="n"/>
      <c r="C1804" s="8" t="n"/>
      <c r="D1804" s="8" t="n"/>
      <c r="E1804" s="8" t="n"/>
      <c r="F1804" s="20" t="n"/>
      <c r="G1804" s="8" t="n"/>
    </row>
    <row r="1805">
      <c r="B1805" s="11" t="n"/>
      <c r="C1805" s="8" t="n"/>
      <c r="D1805" s="8" t="n"/>
      <c r="E1805" s="8" t="n"/>
      <c r="F1805" s="20" t="n"/>
      <c r="G1805" s="8" t="n"/>
    </row>
    <row r="1806">
      <c r="B1806" s="11" t="n"/>
      <c r="C1806" s="8" t="n"/>
      <c r="D1806" s="8" t="n"/>
      <c r="E1806" s="8" t="n"/>
      <c r="F1806" s="20" t="n"/>
      <c r="G1806" s="8" t="n"/>
    </row>
    <row r="1807">
      <c r="B1807" s="11" t="n"/>
      <c r="C1807" s="8" t="n"/>
      <c r="D1807" s="8" t="n"/>
      <c r="E1807" s="8" t="n"/>
      <c r="F1807" s="20" t="n"/>
      <c r="G1807" s="8" t="n"/>
    </row>
    <row r="1808">
      <c r="B1808" s="11" t="n"/>
      <c r="C1808" s="8" t="n"/>
      <c r="D1808" s="8" t="n"/>
      <c r="E1808" s="8" t="n"/>
      <c r="F1808" s="20" t="n"/>
      <c r="G1808" s="8" t="n"/>
    </row>
    <row r="1809">
      <c r="B1809" s="11" t="n"/>
      <c r="C1809" s="8" t="n"/>
      <c r="D1809" s="8" t="n"/>
      <c r="E1809" s="8" t="n"/>
      <c r="F1809" s="20" t="n"/>
      <c r="G1809" s="8" t="n"/>
    </row>
    <row r="1810">
      <c r="B1810" s="11" t="n"/>
      <c r="C1810" s="8" t="n"/>
      <c r="D1810" s="8" t="n"/>
      <c r="E1810" s="8" t="n"/>
      <c r="F1810" s="20" t="n"/>
      <c r="G1810" s="8" t="n"/>
    </row>
    <row r="1811">
      <c r="B1811" s="11" t="n"/>
      <c r="C1811" s="8" t="n"/>
      <c r="D1811" s="8" t="n"/>
      <c r="E1811" s="8" t="n"/>
      <c r="F1811" s="20" t="n"/>
      <c r="G1811" s="8" t="n"/>
    </row>
    <row r="1812">
      <c r="B1812" s="11" t="n"/>
      <c r="C1812" s="8" t="n"/>
      <c r="D1812" s="8" t="n"/>
      <c r="E1812" s="8" t="n"/>
      <c r="F1812" s="20" t="n"/>
      <c r="G1812" s="8" t="n"/>
    </row>
    <row r="1813">
      <c r="B1813" s="11" t="n"/>
      <c r="C1813" s="8" t="n"/>
      <c r="D1813" s="8" t="n"/>
      <c r="E1813" s="8" t="n"/>
      <c r="F1813" s="20" t="n"/>
      <c r="G1813" s="8" t="n"/>
    </row>
    <row r="1814">
      <c r="B1814" s="11" t="n"/>
      <c r="C1814" s="8" t="n"/>
      <c r="D1814" s="8" t="n"/>
      <c r="E1814" s="8" t="n"/>
      <c r="F1814" s="20" t="n"/>
      <c r="G1814" s="8" t="n"/>
    </row>
    <row r="1815">
      <c r="B1815" s="11" t="n"/>
      <c r="C1815" s="8" t="n"/>
      <c r="D1815" s="8" t="n"/>
      <c r="E1815" s="8" t="n"/>
      <c r="F1815" s="20" t="n"/>
      <c r="G1815" s="8" t="n"/>
    </row>
    <row r="1816">
      <c r="B1816" s="11" t="n"/>
      <c r="C1816" s="8" t="n"/>
      <c r="D1816" s="8" t="n"/>
      <c r="E1816" s="8" t="n"/>
      <c r="F1816" s="20" t="n"/>
      <c r="G1816" s="8" t="n"/>
    </row>
    <row r="1817">
      <c r="B1817" s="11" t="n"/>
      <c r="C1817" s="8" t="n"/>
      <c r="D1817" s="8" t="n"/>
      <c r="E1817" s="8" t="n"/>
      <c r="F1817" s="20" t="n"/>
      <c r="G1817" s="8" t="n"/>
    </row>
    <row r="1818">
      <c r="B1818" s="11" t="n"/>
      <c r="C1818" s="8" t="n"/>
      <c r="D1818" s="8" t="n"/>
      <c r="E1818" s="8" t="n"/>
      <c r="F1818" s="20" t="n"/>
      <c r="G1818" s="8" t="n"/>
    </row>
    <row r="1819">
      <c r="B1819" s="11" t="n"/>
      <c r="C1819" s="8" t="n"/>
      <c r="D1819" s="8" t="n"/>
      <c r="E1819" s="8" t="n"/>
      <c r="F1819" s="20" t="n"/>
      <c r="G1819" s="8" t="n"/>
    </row>
    <row r="1820">
      <c r="B1820" s="11" t="n"/>
      <c r="C1820" s="8" t="n"/>
      <c r="D1820" s="8" t="n"/>
      <c r="E1820" s="8" t="n"/>
      <c r="F1820" s="20" t="n"/>
      <c r="G1820" s="8" t="n"/>
    </row>
    <row r="1821">
      <c r="B1821" s="11" t="n"/>
      <c r="C1821" s="8" t="n"/>
      <c r="D1821" s="8" t="n"/>
      <c r="E1821" s="8" t="n"/>
      <c r="F1821" s="20" t="n"/>
      <c r="G1821" s="8" t="n"/>
    </row>
    <row r="1822">
      <c r="B1822" s="11" t="n"/>
      <c r="C1822" s="8" t="n"/>
      <c r="D1822" s="8" t="n"/>
      <c r="E1822" s="8" t="n"/>
      <c r="F1822" s="20" t="n"/>
      <c r="G1822" s="8" t="n"/>
    </row>
    <row r="1823">
      <c r="B1823" s="11" t="n"/>
      <c r="C1823" s="8" t="n"/>
      <c r="D1823" s="8" t="n"/>
      <c r="E1823" s="8" t="n"/>
      <c r="F1823" s="20" t="n"/>
      <c r="G1823" s="8" t="n"/>
    </row>
    <row r="1824">
      <c r="B1824" s="11" t="n"/>
      <c r="C1824" s="8" t="n"/>
      <c r="D1824" s="8" t="n"/>
      <c r="E1824" s="8" t="n"/>
      <c r="F1824" s="20" t="n"/>
      <c r="G1824" s="8" t="n"/>
    </row>
    <row r="1825">
      <c r="B1825" s="11" t="n"/>
      <c r="C1825" s="8" t="n"/>
      <c r="D1825" s="8" t="n"/>
      <c r="E1825" s="8" t="n"/>
      <c r="F1825" s="20" t="n"/>
      <c r="G1825" s="8" t="n"/>
    </row>
    <row r="1826">
      <c r="B1826" s="11" t="n"/>
      <c r="C1826" s="8" t="n"/>
      <c r="D1826" s="8" t="n"/>
      <c r="E1826" s="8" t="n"/>
      <c r="F1826" s="20" t="n"/>
      <c r="G1826" s="8" t="n"/>
    </row>
    <row r="1827">
      <c r="B1827" s="11" t="n"/>
      <c r="C1827" s="8" t="n"/>
      <c r="D1827" s="8" t="n"/>
      <c r="E1827" s="8" t="n"/>
      <c r="F1827" s="20" t="n"/>
      <c r="G1827" s="8" t="n"/>
    </row>
    <row r="1828">
      <c r="B1828" s="11" t="n"/>
      <c r="C1828" s="8" t="n"/>
      <c r="D1828" s="8" t="n"/>
      <c r="E1828" s="8" t="n"/>
      <c r="F1828" s="20" t="n"/>
      <c r="G1828" s="8" t="n"/>
    </row>
    <row r="1829">
      <c r="B1829" s="11" t="n"/>
      <c r="C1829" s="8" t="n"/>
      <c r="D1829" s="8" t="n"/>
      <c r="E1829" s="8" t="n"/>
      <c r="F1829" s="20" t="n"/>
      <c r="G1829" s="8" t="n"/>
    </row>
    <row r="1830">
      <c r="B1830" s="11" t="n"/>
      <c r="C1830" s="8" t="n"/>
      <c r="D1830" s="8" t="n"/>
      <c r="E1830" s="8" t="n"/>
      <c r="F1830" s="20" t="n"/>
      <c r="G1830" s="8" t="n"/>
    </row>
    <row r="1831">
      <c r="B1831" s="11" t="n"/>
      <c r="C1831" s="8" t="n"/>
      <c r="D1831" s="8" t="n"/>
      <c r="E1831" s="8" t="n"/>
      <c r="F1831" s="20" t="n"/>
      <c r="G1831" s="8" t="n"/>
    </row>
    <row r="1832">
      <c r="B1832" s="11" t="n"/>
      <c r="C1832" s="8" t="n"/>
      <c r="D1832" s="8" t="n"/>
      <c r="E1832" s="8" t="n"/>
      <c r="F1832" s="20" t="n"/>
      <c r="G1832" s="8" t="n"/>
    </row>
    <row r="1833">
      <c r="B1833" s="11" t="n"/>
      <c r="C1833" s="8" t="n"/>
      <c r="D1833" s="8" t="n"/>
      <c r="E1833" s="8" t="n"/>
      <c r="F1833" s="20" t="n"/>
      <c r="G1833" s="8" t="n"/>
    </row>
    <row r="1834">
      <c r="B1834" s="11" t="n"/>
      <c r="C1834" s="8" t="n"/>
      <c r="D1834" s="8" t="n"/>
      <c r="E1834" s="8" t="n"/>
      <c r="F1834" s="20" t="n"/>
      <c r="G1834" s="8" t="n"/>
    </row>
    <row r="1835">
      <c r="B1835" s="11" t="n"/>
      <c r="C1835" s="8" t="n"/>
      <c r="D1835" s="8" t="n"/>
      <c r="E1835" s="8" t="n"/>
      <c r="F1835" s="20" t="n"/>
      <c r="G1835" s="8" t="n"/>
    </row>
    <row r="1836">
      <c r="B1836" s="11" t="n"/>
      <c r="C1836" s="8" t="n"/>
      <c r="D1836" s="8" t="n"/>
      <c r="E1836" s="8" t="n"/>
      <c r="F1836" s="20" t="n"/>
      <c r="G1836" s="8" t="n"/>
    </row>
    <row r="1837">
      <c r="B1837" s="11" t="n"/>
      <c r="C1837" s="8" t="n"/>
      <c r="D1837" s="8" t="n"/>
      <c r="E1837" s="8" t="n"/>
      <c r="F1837" s="20" t="n"/>
      <c r="G1837" s="8" t="n"/>
    </row>
    <row r="1838">
      <c r="B1838" s="11" t="n"/>
      <c r="C1838" s="8" t="n"/>
      <c r="D1838" s="8" t="n"/>
      <c r="E1838" s="8" t="n"/>
      <c r="F1838" s="20" t="n"/>
      <c r="G1838" s="8" t="n"/>
    </row>
    <row r="1839">
      <c r="B1839" s="11" t="n"/>
      <c r="C1839" s="8" t="n"/>
      <c r="D1839" s="8" t="n"/>
      <c r="E1839" s="8" t="n"/>
      <c r="F1839" s="20" t="n"/>
      <c r="G1839" s="8" t="n"/>
    </row>
    <row r="1840">
      <c r="B1840" s="11" t="n"/>
      <c r="C1840" s="8" t="n"/>
      <c r="D1840" s="8" t="n"/>
      <c r="E1840" s="8" t="n"/>
      <c r="F1840" s="20" t="n"/>
      <c r="G1840" s="8" t="n"/>
    </row>
    <row r="1841">
      <c r="B1841" s="11" t="n"/>
      <c r="C1841" s="8" t="n"/>
      <c r="D1841" s="8" t="n"/>
      <c r="E1841" s="8" t="n"/>
      <c r="F1841" s="20" t="n"/>
      <c r="G1841" s="8" t="n"/>
    </row>
    <row r="1842">
      <c r="B1842" s="11" t="n"/>
      <c r="C1842" s="8" t="n"/>
      <c r="D1842" s="8" t="n"/>
      <c r="E1842" s="8" t="n"/>
      <c r="F1842" s="20" t="n"/>
      <c r="G1842" s="8" t="n"/>
    </row>
    <row r="1843">
      <c r="B1843" s="11" t="n"/>
      <c r="C1843" s="8" t="n"/>
      <c r="D1843" s="8" t="n"/>
      <c r="E1843" s="8" t="n"/>
      <c r="F1843" s="20" t="n"/>
      <c r="G1843" s="8" t="n"/>
    </row>
    <row r="1844">
      <c r="B1844" s="11" t="n"/>
      <c r="C1844" s="8" t="n"/>
      <c r="D1844" s="8" t="n"/>
      <c r="E1844" s="8" t="n"/>
      <c r="F1844" s="20" t="n"/>
      <c r="G1844" s="8" t="n"/>
    </row>
    <row r="1845">
      <c r="B1845" s="11" t="n"/>
      <c r="C1845" s="8" t="n"/>
      <c r="D1845" s="8" t="n"/>
      <c r="E1845" s="8" t="n"/>
      <c r="F1845" s="20" t="n"/>
      <c r="G1845" s="8" t="n"/>
    </row>
    <row r="1846">
      <c r="B1846" s="11" t="n"/>
      <c r="C1846" s="8" t="n"/>
      <c r="D1846" s="8" t="n"/>
      <c r="E1846" s="8" t="n"/>
      <c r="F1846" s="20" t="n"/>
      <c r="G1846" s="8" t="n"/>
    </row>
    <row r="1847">
      <c r="B1847" s="11" t="n"/>
      <c r="C1847" s="8" t="n"/>
      <c r="D1847" s="8" t="n"/>
      <c r="E1847" s="8" t="n"/>
      <c r="F1847" s="20" t="n"/>
      <c r="G1847" s="8" t="n"/>
    </row>
    <row r="1848">
      <c r="B1848" s="11" t="n"/>
      <c r="C1848" s="8" t="n"/>
      <c r="D1848" s="8" t="n"/>
      <c r="E1848" s="8" t="n"/>
      <c r="F1848" s="20" t="n"/>
      <c r="G1848" s="8" t="n"/>
    </row>
    <row r="1849">
      <c r="B1849" s="11" t="n"/>
      <c r="C1849" s="8" t="n"/>
      <c r="D1849" s="8" t="n"/>
      <c r="E1849" s="8" t="n"/>
      <c r="F1849" s="20" t="n"/>
      <c r="G1849" s="8" t="n"/>
    </row>
    <row r="1850">
      <c r="B1850" s="11" t="n"/>
      <c r="C1850" s="8" t="n"/>
      <c r="D1850" s="8" t="n"/>
      <c r="E1850" s="8" t="n"/>
      <c r="F1850" s="20" t="n"/>
      <c r="G1850" s="8" t="n"/>
    </row>
    <row r="1851">
      <c r="B1851" s="11" t="n"/>
      <c r="C1851" s="8" t="n"/>
      <c r="D1851" s="8" t="n"/>
      <c r="E1851" s="8" t="n"/>
      <c r="F1851" s="20" t="n"/>
      <c r="G1851" s="8" t="n"/>
    </row>
    <row r="1852">
      <c r="B1852" s="11" t="n"/>
      <c r="C1852" s="8" t="n"/>
      <c r="D1852" s="8" t="n"/>
      <c r="E1852" s="8" t="n"/>
      <c r="F1852" s="20" t="n"/>
      <c r="G1852" s="8" t="n"/>
    </row>
    <row r="1853">
      <c r="B1853" s="11" t="n"/>
      <c r="C1853" s="8" t="n"/>
      <c r="D1853" s="8" t="n"/>
      <c r="E1853" s="8" t="n"/>
      <c r="F1853" s="20" t="n"/>
      <c r="G1853" s="8" t="n"/>
    </row>
    <row r="1854">
      <c r="B1854" s="11" t="n"/>
      <c r="C1854" s="8" t="n"/>
      <c r="D1854" s="8" t="n"/>
      <c r="E1854" s="8" t="n"/>
      <c r="F1854" s="20" t="n"/>
      <c r="G1854" s="8" t="n"/>
    </row>
    <row r="1855">
      <c r="B1855" s="11" t="n"/>
      <c r="C1855" s="8" t="n"/>
      <c r="D1855" s="8" t="n"/>
      <c r="E1855" s="8" t="n"/>
      <c r="F1855" s="20" t="n"/>
      <c r="G1855" s="8" t="n"/>
    </row>
    <row r="1856">
      <c r="B1856" s="11" t="n"/>
      <c r="C1856" s="8" t="n"/>
      <c r="D1856" s="8" t="n"/>
      <c r="E1856" s="8" t="n"/>
      <c r="F1856" s="20" t="n"/>
      <c r="G1856" s="8" t="n"/>
    </row>
    <row r="1857">
      <c r="B1857" s="11" t="n"/>
      <c r="C1857" s="8" t="n"/>
      <c r="D1857" s="8" t="n"/>
      <c r="E1857" s="8" t="n"/>
      <c r="F1857" s="20" t="n"/>
      <c r="G1857" s="8" t="n"/>
    </row>
    <row r="1858">
      <c r="B1858" s="11" t="n"/>
      <c r="C1858" s="8" t="n"/>
      <c r="D1858" s="8" t="n"/>
      <c r="E1858" s="8" t="n"/>
      <c r="F1858" s="20" t="n"/>
      <c r="G1858" s="8" t="n"/>
    </row>
    <row r="1859">
      <c r="B1859" s="11" t="n"/>
      <c r="C1859" s="8" t="n"/>
      <c r="D1859" s="8" t="n"/>
      <c r="E1859" s="8" t="n"/>
      <c r="F1859" s="20" t="n"/>
      <c r="G1859" s="8" t="n"/>
    </row>
    <row r="1860">
      <c r="B1860" s="11" t="n"/>
      <c r="C1860" s="8" t="n"/>
      <c r="D1860" s="8" t="n"/>
      <c r="E1860" s="8" t="n"/>
      <c r="F1860" s="20" t="n"/>
      <c r="G1860" s="8" t="n"/>
    </row>
    <row r="1861">
      <c r="B1861" s="11" t="n"/>
      <c r="C1861" s="8" t="n"/>
      <c r="D1861" s="8" t="n"/>
      <c r="E1861" s="8" t="n"/>
      <c r="F1861" s="20" t="n"/>
      <c r="G1861" s="8" t="n"/>
    </row>
    <row r="1862">
      <c r="B1862" s="11" t="n"/>
      <c r="C1862" s="8" t="n"/>
      <c r="D1862" s="8" t="n"/>
      <c r="E1862" s="8" t="n"/>
      <c r="F1862" s="20" t="n"/>
      <c r="G1862" s="8" t="n"/>
    </row>
    <row r="1863">
      <c r="B1863" s="11" t="n"/>
      <c r="C1863" s="8" t="n"/>
      <c r="D1863" s="8" t="n"/>
      <c r="E1863" s="8" t="n"/>
      <c r="F1863" s="20" t="n"/>
      <c r="G1863" s="8" t="n"/>
    </row>
    <row r="1864">
      <c r="B1864" s="11" t="n"/>
      <c r="C1864" s="8" t="n"/>
      <c r="D1864" s="8" t="n"/>
      <c r="E1864" s="8" t="n"/>
      <c r="F1864" s="20" t="n"/>
      <c r="G1864" s="8" t="n"/>
    </row>
    <row r="1865">
      <c r="B1865" s="11" t="n"/>
      <c r="C1865" s="8" t="n"/>
      <c r="D1865" s="8" t="n"/>
      <c r="E1865" s="8" t="n"/>
      <c r="F1865" s="20" t="n"/>
      <c r="G1865" s="8" t="n"/>
    </row>
    <row r="1866">
      <c r="B1866" s="11" t="n"/>
      <c r="C1866" s="8" t="n"/>
      <c r="D1866" s="8" t="n"/>
      <c r="E1866" s="8" t="n"/>
      <c r="F1866" s="20" t="n"/>
      <c r="G1866" s="8" t="n"/>
    </row>
    <row r="1867">
      <c r="B1867" s="11" t="n"/>
      <c r="C1867" s="8" t="n"/>
      <c r="D1867" s="8" t="n"/>
      <c r="E1867" s="8" t="n"/>
      <c r="F1867" s="20" t="n"/>
      <c r="G1867" s="8" t="n"/>
    </row>
    <row r="1868">
      <c r="B1868" s="11" t="n"/>
      <c r="C1868" s="8" t="n"/>
      <c r="D1868" s="8" t="n"/>
      <c r="E1868" s="8" t="n"/>
      <c r="F1868" s="20" t="n"/>
      <c r="G1868" s="8" t="n"/>
    </row>
    <row r="1869">
      <c r="B1869" s="11" t="n"/>
      <c r="C1869" s="8" t="n"/>
      <c r="D1869" s="8" t="n"/>
      <c r="E1869" s="8" t="n"/>
      <c r="F1869" s="20" t="n"/>
      <c r="G1869" s="8" t="n"/>
    </row>
    <row r="1870">
      <c r="B1870" s="11" t="n"/>
      <c r="C1870" s="8" t="n"/>
      <c r="D1870" s="8" t="n"/>
      <c r="E1870" s="8" t="n"/>
      <c r="F1870" s="20" t="n"/>
      <c r="G1870" s="8" t="n"/>
    </row>
    <row r="1871">
      <c r="B1871" s="11" t="n"/>
      <c r="C1871" s="8" t="n"/>
      <c r="D1871" s="8" t="n"/>
      <c r="E1871" s="8" t="n"/>
      <c r="F1871" s="20" t="n"/>
      <c r="G1871" s="8" t="n"/>
    </row>
    <row r="1872">
      <c r="B1872" s="11" t="n"/>
      <c r="C1872" s="8" t="n"/>
      <c r="D1872" s="8" t="n"/>
      <c r="E1872" s="8" t="n"/>
      <c r="F1872" s="20" t="n"/>
      <c r="G1872" s="8" t="n"/>
    </row>
    <row r="1873">
      <c r="B1873" s="11" t="n"/>
      <c r="C1873" s="8" t="n"/>
      <c r="D1873" s="8" t="n"/>
      <c r="E1873" s="8" t="n"/>
      <c r="F1873" s="20" t="n"/>
      <c r="G1873" s="8" t="n"/>
    </row>
    <row r="1874">
      <c r="B1874" s="11" t="n"/>
      <c r="C1874" s="8" t="n"/>
      <c r="D1874" s="8" t="n"/>
      <c r="E1874" s="8" t="n"/>
      <c r="F1874" s="20" t="n"/>
      <c r="G1874" s="8" t="n"/>
    </row>
    <row r="1875">
      <c r="B1875" s="11" t="n"/>
      <c r="C1875" s="8" t="n"/>
      <c r="D1875" s="8" t="n"/>
      <c r="E1875" s="8" t="n"/>
      <c r="F1875" s="20" t="n"/>
      <c r="G1875" s="8" t="n"/>
    </row>
    <row r="1876">
      <c r="B1876" s="11" t="n"/>
      <c r="C1876" s="8" t="n"/>
      <c r="D1876" s="8" t="n"/>
      <c r="E1876" s="8" t="n"/>
      <c r="F1876" s="20" t="n"/>
      <c r="G1876" s="8" t="n"/>
    </row>
    <row r="1877">
      <c r="B1877" s="11" t="n"/>
      <c r="C1877" s="8" t="n"/>
      <c r="D1877" s="8" t="n"/>
      <c r="E1877" s="8" t="n"/>
      <c r="F1877" s="20" t="n"/>
      <c r="G1877" s="8" t="n"/>
    </row>
    <row r="1878">
      <c r="B1878" s="11" t="n"/>
      <c r="C1878" s="8" t="n"/>
      <c r="D1878" s="8" t="n"/>
      <c r="E1878" s="8" t="n"/>
      <c r="F1878" s="20" t="n"/>
      <c r="G1878" s="8" t="n"/>
    </row>
    <row r="1879">
      <c r="B1879" s="11" t="n"/>
      <c r="C1879" s="8" t="n"/>
      <c r="D1879" s="8" t="n"/>
      <c r="E1879" s="8" t="n"/>
      <c r="F1879" s="20" t="n"/>
      <c r="G1879" s="8" t="n"/>
    </row>
    <row r="1880">
      <c r="B1880" s="11" t="n"/>
      <c r="C1880" s="8" t="n"/>
      <c r="D1880" s="8" t="n"/>
      <c r="E1880" s="8" t="n"/>
      <c r="F1880" s="20" t="n"/>
      <c r="G1880" s="8" t="n"/>
    </row>
    <row r="1881">
      <c r="B1881" s="11" t="n"/>
      <c r="C1881" s="8" t="n"/>
      <c r="D1881" s="8" t="n"/>
      <c r="E1881" s="8" t="n"/>
      <c r="F1881" s="20" t="n"/>
      <c r="G1881" s="8" t="n"/>
    </row>
    <row r="1882">
      <c r="B1882" s="11" t="n"/>
      <c r="C1882" s="8" t="n"/>
      <c r="D1882" s="8" t="n"/>
      <c r="E1882" s="8" t="n"/>
      <c r="F1882" s="20" t="n"/>
      <c r="G1882" s="8" t="n"/>
    </row>
    <row r="1883">
      <c r="B1883" s="11" t="n"/>
      <c r="C1883" s="8" t="n"/>
      <c r="D1883" s="8" t="n"/>
      <c r="E1883" s="8" t="n"/>
      <c r="F1883" s="20" t="n"/>
      <c r="G1883" s="8" t="n"/>
    </row>
    <row r="1884">
      <c r="B1884" s="11" t="n"/>
      <c r="C1884" s="8" t="n"/>
      <c r="D1884" s="8" t="n"/>
      <c r="E1884" s="8" t="n"/>
      <c r="F1884" s="20" t="n"/>
      <c r="G1884" s="8" t="n"/>
    </row>
    <row r="1885">
      <c r="B1885" s="11" t="n"/>
      <c r="C1885" s="8" t="n"/>
      <c r="D1885" s="8" t="n"/>
      <c r="E1885" s="8" t="n"/>
      <c r="F1885" s="20" t="n"/>
      <c r="G1885" s="8" t="n"/>
    </row>
    <row r="1886">
      <c r="B1886" s="11" t="n"/>
      <c r="C1886" s="8" t="n"/>
      <c r="D1886" s="8" t="n"/>
      <c r="E1886" s="8" t="n"/>
      <c r="F1886" s="20" t="n"/>
      <c r="G1886" s="8" t="n"/>
    </row>
    <row r="1887">
      <c r="B1887" s="11" t="n"/>
      <c r="C1887" s="8" t="n"/>
      <c r="D1887" s="8" t="n"/>
      <c r="E1887" s="8" t="n"/>
      <c r="F1887" s="20" t="n"/>
      <c r="G1887" s="8" t="n"/>
    </row>
    <row r="1888">
      <c r="B1888" s="11" t="n"/>
      <c r="C1888" s="8" t="n"/>
      <c r="D1888" s="8" t="n"/>
      <c r="E1888" s="8" t="n"/>
      <c r="F1888" s="20" t="n"/>
      <c r="G1888" s="8" t="n"/>
    </row>
    <row r="1889">
      <c r="B1889" s="11" t="n"/>
      <c r="C1889" s="8" t="n"/>
      <c r="D1889" s="8" t="n"/>
      <c r="E1889" s="8" t="n"/>
      <c r="F1889" s="20" t="n"/>
      <c r="G1889" s="8" t="n"/>
    </row>
    <row r="1890">
      <c r="B1890" s="11" t="n"/>
      <c r="C1890" s="8" t="n"/>
      <c r="D1890" s="8" t="n"/>
      <c r="E1890" s="8" t="n"/>
      <c r="F1890" s="20" t="n"/>
      <c r="G1890" s="8" t="n"/>
    </row>
    <row r="1891">
      <c r="B1891" s="11" t="n"/>
      <c r="C1891" s="8" t="n"/>
      <c r="D1891" s="8" t="n"/>
      <c r="E1891" s="8" t="n"/>
      <c r="F1891" s="20" t="n"/>
      <c r="G1891" s="8" t="n"/>
    </row>
    <row r="1892">
      <c r="B1892" s="11" t="n"/>
      <c r="C1892" s="8" t="n"/>
      <c r="D1892" s="8" t="n"/>
      <c r="E1892" s="8" t="n"/>
      <c r="F1892" s="20" t="n"/>
      <c r="G1892" s="8" t="n"/>
    </row>
    <row r="1893">
      <c r="B1893" s="11" t="n"/>
      <c r="C1893" s="8" t="n"/>
      <c r="D1893" s="8" t="n"/>
      <c r="E1893" s="8" t="n"/>
      <c r="F1893" s="20" t="n"/>
      <c r="G1893" s="8" t="n"/>
    </row>
    <row r="1894">
      <c r="B1894" s="11" t="n"/>
      <c r="C1894" s="8" t="n"/>
      <c r="D1894" s="8" t="n"/>
      <c r="E1894" s="8" t="n"/>
      <c r="F1894" s="20" t="n"/>
      <c r="G1894" s="8" t="n"/>
    </row>
    <row r="1895">
      <c r="B1895" s="11" t="n"/>
      <c r="C1895" s="8" t="n"/>
      <c r="D1895" s="8" t="n"/>
      <c r="E1895" s="8" t="n"/>
      <c r="F1895" s="20" t="n"/>
      <c r="G1895" s="8" t="n"/>
    </row>
    <row r="1896">
      <c r="B1896" s="11" t="n"/>
      <c r="C1896" s="8" t="n"/>
      <c r="D1896" s="8" t="n"/>
      <c r="E1896" s="8" t="n"/>
      <c r="F1896" s="20" t="n"/>
      <c r="G1896" s="8" t="n"/>
    </row>
    <row r="1897">
      <c r="B1897" s="11" t="n"/>
      <c r="C1897" s="8" t="n"/>
      <c r="D1897" s="8" t="n"/>
      <c r="E1897" s="8" t="n"/>
      <c r="F1897" s="20" t="n"/>
      <c r="G1897" s="8" t="n"/>
    </row>
    <row r="1898">
      <c r="B1898" s="11" t="n"/>
      <c r="C1898" s="8" t="n"/>
      <c r="D1898" s="8" t="n"/>
      <c r="E1898" s="8" t="n"/>
      <c r="F1898" s="20" t="n"/>
      <c r="G1898" s="8" t="n"/>
    </row>
    <row r="1899">
      <c r="B1899" s="11" t="n"/>
      <c r="C1899" s="8" t="n"/>
      <c r="D1899" s="8" t="n"/>
      <c r="E1899" s="8" t="n"/>
      <c r="F1899" s="20" t="n"/>
      <c r="G1899" s="8" t="n"/>
    </row>
    <row r="1900">
      <c r="B1900" s="11" t="n"/>
      <c r="C1900" s="8" t="n"/>
      <c r="D1900" s="8" t="n"/>
      <c r="E1900" s="8" t="n"/>
      <c r="F1900" s="20" t="n"/>
      <c r="G1900" s="8" t="n"/>
    </row>
    <row r="1901">
      <c r="B1901" s="11" t="n"/>
      <c r="C1901" s="8" t="n"/>
      <c r="D1901" s="8" t="n"/>
      <c r="E1901" s="8" t="n"/>
      <c r="F1901" s="20" t="n"/>
      <c r="G1901" s="8" t="n"/>
    </row>
    <row r="1902">
      <c r="B1902" s="11" t="n"/>
      <c r="C1902" s="8" t="n"/>
      <c r="D1902" s="8" t="n"/>
      <c r="E1902" s="8" t="n"/>
      <c r="F1902" s="20" t="n"/>
      <c r="G1902" s="8" t="n"/>
    </row>
    <row r="1903">
      <c r="B1903" s="11" t="n"/>
      <c r="C1903" s="8" t="n"/>
      <c r="D1903" s="8" t="n"/>
      <c r="E1903" s="8" t="n"/>
      <c r="F1903" s="20" t="n"/>
      <c r="G1903" s="8" t="n"/>
    </row>
    <row r="1904">
      <c r="B1904" s="11" t="n"/>
      <c r="C1904" s="8" t="n"/>
      <c r="D1904" s="8" t="n"/>
      <c r="E1904" s="8" t="n"/>
      <c r="F1904" s="20" t="n"/>
      <c r="G1904" s="8" t="n"/>
    </row>
    <row r="1905">
      <c r="B1905" s="11" t="n"/>
      <c r="C1905" s="8" t="n"/>
      <c r="D1905" s="8" t="n"/>
      <c r="E1905" s="8" t="n"/>
      <c r="F1905" s="20" t="n"/>
      <c r="G1905" s="8" t="n"/>
    </row>
    <row r="1906">
      <c r="B1906" s="11" t="n"/>
      <c r="C1906" s="8" t="n"/>
      <c r="D1906" s="8" t="n"/>
      <c r="E1906" s="8" t="n"/>
      <c r="F1906" s="20" t="n"/>
      <c r="G1906" s="8" t="n"/>
    </row>
    <row r="1907">
      <c r="B1907" s="11" t="n"/>
      <c r="C1907" s="8" t="n"/>
      <c r="D1907" s="8" t="n"/>
      <c r="E1907" s="8" t="n"/>
      <c r="F1907" s="20" t="n"/>
      <c r="G1907" s="8" t="n"/>
    </row>
    <row r="1908">
      <c r="B1908" s="11" t="n"/>
      <c r="C1908" s="8" t="n"/>
      <c r="D1908" s="8" t="n"/>
      <c r="E1908" s="8" t="n"/>
      <c r="F1908" s="20" t="n"/>
      <c r="G1908" s="8" t="n"/>
    </row>
    <row r="1909">
      <c r="B1909" s="11" t="n"/>
      <c r="C1909" s="8" t="n"/>
      <c r="D1909" s="8" t="n"/>
      <c r="E1909" s="8" t="n"/>
      <c r="F1909" s="20" t="n"/>
      <c r="G1909" s="8" t="n"/>
    </row>
    <row r="1910">
      <c r="B1910" s="11" t="n"/>
      <c r="C1910" s="8" t="n"/>
      <c r="D1910" s="8" t="n"/>
      <c r="E1910" s="8" t="n"/>
      <c r="F1910" s="20" t="n"/>
      <c r="G1910" s="8" t="n"/>
    </row>
    <row r="1911">
      <c r="B1911" s="11" t="n"/>
      <c r="C1911" s="8" t="n"/>
      <c r="D1911" s="8" t="n"/>
      <c r="E1911" s="8" t="n"/>
      <c r="F1911" s="20" t="n"/>
      <c r="G1911" s="8" t="n"/>
    </row>
    <row r="1912">
      <c r="B1912" s="11" t="n"/>
      <c r="C1912" s="8" t="n"/>
      <c r="D1912" s="8" t="n"/>
      <c r="E1912" s="8" t="n"/>
      <c r="F1912" s="20" t="n"/>
      <c r="G1912" s="8" t="n"/>
    </row>
    <row r="1913">
      <c r="B1913" s="11" t="n"/>
      <c r="C1913" s="8" t="n"/>
      <c r="D1913" s="8" t="n"/>
      <c r="E1913" s="8" t="n"/>
      <c r="F1913" s="20" t="n"/>
      <c r="G1913" s="8" t="n"/>
    </row>
    <row r="1914">
      <c r="B1914" s="11" t="n"/>
      <c r="C1914" s="8" t="n"/>
      <c r="D1914" s="8" t="n"/>
      <c r="E1914" s="8" t="n"/>
      <c r="F1914" s="20" t="n"/>
      <c r="G1914" s="8" t="n"/>
    </row>
    <row r="1915">
      <c r="B1915" s="11" t="n"/>
      <c r="C1915" s="8" t="n"/>
      <c r="D1915" s="8" t="n"/>
      <c r="E1915" s="8" t="n"/>
      <c r="F1915" s="20" t="n"/>
      <c r="G1915" s="8" t="n"/>
    </row>
    <row r="1916">
      <c r="B1916" s="11" t="n"/>
      <c r="C1916" s="8" t="n"/>
      <c r="D1916" s="8" t="n"/>
      <c r="E1916" s="8" t="n"/>
      <c r="F1916" s="20" t="n"/>
      <c r="G1916" s="8" t="n"/>
    </row>
    <row r="1917">
      <c r="B1917" s="11" t="n"/>
      <c r="C1917" s="8" t="n"/>
      <c r="D1917" s="8" t="n"/>
      <c r="E1917" s="8" t="n"/>
      <c r="F1917" s="20" t="n"/>
      <c r="G1917" s="8" t="n"/>
    </row>
    <row r="1918">
      <c r="B1918" s="11" t="n"/>
      <c r="C1918" s="8" t="n"/>
      <c r="D1918" s="8" t="n"/>
      <c r="E1918" s="8" t="n"/>
      <c r="F1918" s="20" t="n"/>
      <c r="G1918" s="8" t="n"/>
    </row>
    <row r="1919">
      <c r="B1919" s="11" t="n"/>
      <c r="C1919" s="8" t="n"/>
      <c r="D1919" s="8" t="n"/>
      <c r="E1919" s="8" t="n"/>
      <c r="F1919" s="20" t="n"/>
      <c r="G1919" s="8" t="n"/>
    </row>
    <row r="1920">
      <c r="B1920" s="11" t="n"/>
      <c r="C1920" s="8" t="n"/>
      <c r="D1920" s="8" t="n"/>
      <c r="E1920" s="8" t="n"/>
      <c r="F1920" s="20" t="n"/>
      <c r="G1920" s="8" t="n"/>
    </row>
    <row r="1921">
      <c r="B1921" s="11" t="n"/>
      <c r="C1921" s="8" t="n"/>
      <c r="D1921" s="8" t="n"/>
      <c r="E1921" s="8" t="n"/>
      <c r="F1921" s="20" t="n"/>
      <c r="G1921" s="8" t="n"/>
    </row>
    <row r="1922">
      <c r="B1922" s="11" t="n"/>
      <c r="C1922" s="8" t="n"/>
      <c r="D1922" s="8" t="n"/>
      <c r="E1922" s="8" t="n"/>
      <c r="F1922" s="20" t="n"/>
      <c r="G1922" s="8" t="n"/>
    </row>
    <row r="1923">
      <c r="B1923" s="11" t="n"/>
      <c r="C1923" s="8" t="n"/>
      <c r="D1923" s="8" t="n"/>
      <c r="E1923" s="8" t="n"/>
      <c r="F1923" s="20" t="n"/>
      <c r="G1923" s="8" t="n"/>
    </row>
    <row r="1924">
      <c r="B1924" s="11" t="n"/>
      <c r="C1924" s="8" t="n"/>
      <c r="D1924" s="8" t="n"/>
      <c r="E1924" s="8" t="n"/>
      <c r="F1924" s="20" t="n"/>
      <c r="G1924" s="8" t="n"/>
    </row>
    <row r="1925">
      <c r="B1925" s="11" t="n"/>
      <c r="C1925" s="8" t="n"/>
      <c r="D1925" s="8" t="n"/>
      <c r="E1925" s="8" t="n"/>
      <c r="F1925" s="20" t="n"/>
      <c r="G1925" s="8" t="n"/>
    </row>
    <row r="1926">
      <c r="B1926" s="11" t="n"/>
      <c r="C1926" s="8" t="n"/>
      <c r="D1926" s="8" t="n"/>
      <c r="E1926" s="8" t="n"/>
      <c r="F1926" s="20" t="n"/>
      <c r="G1926" s="8" t="n"/>
    </row>
    <row r="1927">
      <c r="B1927" s="11" t="n"/>
      <c r="C1927" s="8" t="n"/>
      <c r="D1927" s="8" t="n"/>
      <c r="E1927" s="8" t="n"/>
      <c r="F1927" s="20" t="n"/>
      <c r="G1927" s="8" t="n"/>
    </row>
    <row r="1928">
      <c r="B1928" s="11" t="n"/>
      <c r="C1928" s="8" t="n"/>
      <c r="D1928" s="8" t="n"/>
      <c r="E1928" s="8" t="n"/>
      <c r="F1928" s="20" t="n"/>
      <c r="G1928" s="8" t="n"/>
    </row>
    <row r="1929">
      <c r="B1929" s="11" t="n"/>
      <c r="C1929" s="8" t="n"/>
      <c r="D1929" s="8" t="n"/>
      <c r="E1929" s="8" t="n"/>
      <c r="F1929" s="20" t="n"/>
      <c r="G1929" s="8" t="n"/>
    </row>
    <row r="1930">
      <c r="B1930" s="11" t="n"/>
      <c r="C1930" s="8" t="n"/>
      <c r="D1930" s="8" t="n"/>
      <c r="E1930" s="8" t="n"/>
      <c r="F1930" s="20" t="n"/>
      <c r="G1930" s="8" t="n"/>
    </row>
    <row r="1931">
      <c r="B1931" s="11" t="n"/>
      <c r="C1931" s="8" t="n"/>
      <c r="D1931" s="8" t="n"/>
      <c r="E1931" s="8" t="n"/>
      <c r="F1931" s="20" t="n"/>
      <c r="G1931" s="8" t="n"/>
    </row>
    <row r="1932">
      <c r="B1932" s="11" t="n"/>
      <c r="C1932" s="8" t="n"/>
      <c r="D1932" s="8" t="n"/>
      <c r="E1932" s="8" t="n"/>
      <c r="F1932" s="20" t="n"/>
      <c r="G1932" s="8" t="n"/>
    </row>
    <row r="1933">
      <c r="B1933" s="11" t="n"/>
      <c r="C1933" s="8" t="n"/>
      <c r="D1933" s="8" t="n"/>
      <c r="E1933" s="8" t="n"/>
      <c r="F1933" s="20" t="n"/>
      <c r="G1933" s="8" t="n"/>
    </row>
    <row r="1934">
      <c r="B1934" s="11" t="n"/>
      <c r="C1934" s="8" t="n"/>
      <c r="D1934" s="8" t="n"/>
      <c r="E1934" s="8" t="n"/>
      <c r="F1934" s="20" t="n"/>
      <c r="G1934" s="8" t="n"/>
    </row>
    <row r="1935">
      <c r="B1935" s="11" t="n"/>
      <c r="C1935" s="8" t="n"/>
      <c r="D1935" s="8" t="n"/>
      <c r="E1935" s="8" t="n"/>
      <c r="F1935" s="20" t="n"/>
      <c r="G1935" s="8" t="n"/>
    </row>
    <row r="1936">
      <c r="B1936" s="11" t="n"/>
      <c r="C1936" s="8" t="n"/>
      <c r="D1936" s="8" t="n"/>
      <c r="E1936" s="8" t="n"/>
      <c r="F1936" s="20" t="n"/>
      <c r="G1936" s="8" t="n"/>
    </row>
    <row r="1937">
      <c r="B1937" s="11" t="n"/>
      <c r="C1937" s="8" t="n"/>
      <c r="D1937" s="8" t="n"/>
      <c r="E1937" s="8" t="n"/>
      <c r="F1937" s="20" t="n"/>
      <c r="G1937" s="8" t="n"/>
    </row>
    <row r="1938">
      <c r="B1938" s="11" t="n"/>
      <c r="C1938" s="8" t="n"/>
      <c r="D1938" s="8" t="n"/>
      <c r="E1938" s="8" t="n"/>
      <c r="F1938" s="20" t="n"/>
      <c r="G1938" s="8" t="n"/>
    </row>
    <row r="1939">
      <c r="B1939" s="11" t="n"/>
      <c r="C1939" s="8" t="n"/>
      <c r="D1939" s="8" t="n"/>
      <c r="E1939" s="8" t="n"/>
      <c r="F1939" s="20" t="n"/>
      <c r="G1939" s="8" t="n"/>
    </row>
    <row r="1940">
      <c r="B1940" s="11" t="n"/>
      <c r="C1940" s="8" t="n"/>
      <c r="D1940" s="8" t="n"/>
      <c r="E1940" s="8" t="n"/>
      <c r="F1940" s="20" t="n"/>
      <c r="G1940" s="8" t="n"/>
    </row>
    <row r="1941">
      <c r="B1941" s="11" t="n"/>
      <c r="C1941" s="8" t="n"/>
      <c r="D1941" s="8" t="n"/>
      <c r="E1941" s="8" t="n"/>
      <c r="F1941" s="20" t="n"/>
      <c r="G1941" s="8" t="n"/>
    </row>
    <row r="1942">
      <c r="B1942" s="11" t="n"/>
      <c r="C1942" s="8" t="n"/>
      <c r="D1942" s="8" t="n"/>
      <c r="E1942" s="8" t="n"/>
      <c r="F1942" s="20" t="n"/>
      <c r="G1942" s="8" t="n"/>
    </row>
    <row r="1943">
      <c r="B1943" s="11" t="n"/>
      <c r="C1943" s="8" t="n"/>
      <c r="D1943" s="8" t="n"/>
      <c r="E1943" s="8" t="n"/>
      <c r="F1943" s="20" t="n"/>
      <c r="G1943" s="8" t="n"/>
    </row>
    <row r="1944">
      <c r="B1944" s="11" t="n"/>
      <c r="C1944" s="8" t="n"/>
      <c r="D1944" s="8" t="n"/>
      <c r="E1944" s="8" t="n"/>
      <c r="F1944" s="20" t="n"/>
      <c r="G1944" s="8" t="n"/>
    </row>
    <row r="1945">
      <c r="B1945" s="11" t="n"/>
      <c r="C1945" s="8" t="n"/>
      <c r="D1945" s="8" t="n"/>
      <c r="E1945" s="8" t="n"/>
      <c r="F1945" s="20" t="n"/>
      <c r="G1945" s="8" t="n"/>
    </row>
    <row r="1946">
      <c r="B1946" s="11" t="n"/>
      <c r="C1946" s="8" t="n"/>
      <c r="D1946" s="8" t="n"/>
      <c r="E1946" s="8" t="n"/>
      <c r="F1946" s="20" t="n"/>
      <c r="G1946" s="8" t="n"/>
    </row>
    <row r="1947">
      <c r="B1947" s="11" t="n"/>
      <c r="C1947" s="8" t="n"/>
      <c r="D1947" s="8" t="n"/>
      <c r="E1947" s="8" t="n"/>
      <c r="F1947" s="20" t="n"/>
      <c r="G1947" s="8" t="n"/>
    </row>
    <row r="1948">
      <c r="B1948" s="11" t="n"/>
      <c r="C1948" s="8" t="n"/>
      <c r="D1948" s="8" t="n"/>
      <c r="E1948" s="8" t="n"/>
      <c r="F1948" s="20" t="n"/>
      <c r="G1948" s="8" t="n"/>
    </row>
    <row r="1949">
      <c r="B1949" s="11" t="n"/>
      <c r="C1949" s="8" t="n"/>
      <c r="D1949" s="8" t="n"/>
      <c r="E1949" s="8" t="n"/>
      <c r="F1949" s="20" t="n"/>
      <c r="G1949" s="8" t="n"/>
    </row>
    <row r="1950">
      <c r="B1950" s="11" t="n"/>
      <c r="C1950" s="8" t="n"/>
      <c r="D1950" s="8" t="n"/>
      <c r="E1950" s="8" t="n"/>
      <c r="F1950" s="20" t="n"/>
      <c r="G1950" s="8" t="n"/>
    </row>
    <row r="1951">
      <c r="B1951" s="11" t="n"/>
      <c r="C1951" s="8" t="n"/>
      <c r="D1951" s="8" t="n"/>
      <c r="E1951" s="8" t="n"/>
      <c r="F1951" s="20" t="n"/>
      <c r="G1951" s="8" t="n"/>
    </row>
    <row r="1952">
      <c r="B1952" s="11" t="n"/>
      <c r="C1952" s="8" t="n"/>
      <c r="D1952" s="8" t="n"/>
      <c r="E1952" s="8" t="n"/>
      <c r="F1952" s="20" t="n"/>
      <c r="G1952" s="8" t="n"/>
    </row>
    <row r="1953">
      <c r="B1953" s="11" t="n"/>
      <c r="C1953" s="8" t="n"/>
      <c r="D1953" s="8" t="n"/>
      <c r="E1953" s="8" t="n"/>
      <c r="F1953" s="20" t="n"/>
      <c r="G1953" s="8" t="n"/>
    </row>
    <row r="1954">
      <c r="B1954" s="11" t="n"/>
      <c r="C1954" s="8" t="n"/>
      <c r="D1954" s="8" t="n"/>
      <c r="E1954" s="8" t="n"/>
      <c r="F1954" s="20" t="n"/>
      <c r="G1954" s="8" t="n"/>
    </row>
    <row r="1955">
      <c r="B1955" s="11" t="n"/>
      <c r="C1955" s="8" t="n"/>
      <c r="D1955" s="8" t="n"/>
      <c r="E1955" s="8" t="n"/>
      <c r="F1955" s="20" t="n"/>
      <c r="G1955" s="8" t="n"/>
    </row>
    <row r="1956">
      <c r="B1956" s="11" t="n"/>
      <c r="C1956" s="8" t="n"/>
      <c r="D1956" s="8" t="n"/>
      <c r="E1956" s="8" t="n"/>
      <c r="F1956" s="20" t="n"/>
      <c r="G1956" s="8" t="n"/>
    </row>
    <row r="1957">
      <c r="B1957" s="11" t="n"/>
      <c r="C1957" s="8" t="n"/>
      <c r="D1957" s="8" t="n"/>
      <c r="E1957" s="8" t="n"/>
      <c r="F1957" s="20" t="n"/>
      <c r="G1957" s="8" t="n"/>
    </row>
    <row r="1958">
      <c r="B1958" s="11" t="n"/>
      <c r="C1958" s="8" t="n"/>
      <c r="D1958" s="8" t="n"/>
      <c r="E1958" s="8" t="n"/>
      <c r="F1958" s="20" t="n"/>
      <c r="G1958" s="8" t="n"/>
    </row>
    <row r="1959">
      <c r="B1959" s="11" t="n"/>
      <c r="C1959" s="8" t="n"/>
      <c r="D1959" s="8" t="n"/>
      <c r="E1959" s="8" t="n"/>
      <c r="F1959" s="20" t="n"/>
      <c r="G1959" s="8" t="n"/>
    </row>
    <row r="1960">
      <c r="B1960" s="11" t="n"/>
      <c r="C1960" s="8" t="n"/>
      <c r="D1960" s="8" t="n"/>
      <c r="E1960" s="8" t="n"/>
      <c r="F1960" s="20" t="n"/>
      <c r="G1960" s="8" t="n"/>
    </row>
    <row r="1961">
      <c r="B1961" s="11" t="n"/>
      <c r="C1961" s="8" t="n"/>
      <c r="D1961" s="8" t="n"/>
      <c r="E1961" s="8" t="n"/>
      <c r="F1961" s="20" t="n"/>
      <c r="G1961" s="8" t="n"/>
    </row>
    <row r="1962">
      <c r="B1962" s="11" t="n"/>
      <c r="C1962" s="8" t="n"/>
      <c r="D1962" s="8" t="n"/>
      <c r="E1962" s="8" t="n"/>
      <c r="F1962" s="20" t="n"/>
      <c r="G1962" s="8" t="n"/>
    </row>
    <row r="1963">
      <c r="B1963" s="11" t="n"/>
      <c r="C1963" s="8" t="n"/>
      <c r="D1963" s="8" t="n"/>
      <c r="E1963" s="8" t="n"/>
      <c r="F1963" s="20" t="n"/>
      <c r="G1963" s="8" t="n"/>
    </row>
    <row r="1964">
      <c r="B1964" s="11" t="n"/>
      <c r="C1964" s="8" t="n"/>
      <c r="D1964" s="8" t="n"/>
      <c r="E1964" s="8" t="n"/>
      <c r="F1964" s="20" t="n"/>
      <c r="G1964" s="8" t="n"/>
    </row>
    <row r="1965">
      <c r="B1965" s="11" t="n"/>
      <c r="C1965" s="8" t="n"/>
      <c r="D1965" s="8" t="n"/>
      <c r="E1965" s="8" t="n"/>
      <c r="F1965" s="20" t="n"/>
      <c r="G1965" s="8" t="n"/>
    </row>
    <row r="1966">
      <c r="B1966" s="11" t="n"/>
      <c r="C1966" s="8" t="n"/>
      <c r="D1966" s="8" t="n"/>
      <c r="E1966" s="8" t="n"/>
      <c r="F1966" s="20" t="n"/>
      <c r="G1966" s="8" t="n"/>
    </row>
    <row r="1967">
      <c r="B1967" s="11" t="n"/>
      <c r="C1967" s="8" t="n"/>
      <c r="D1967" s="8" t="n"/>
      <c r="E1967" s="8" t="n"/>
      <c r="F1967" s="20" t="n"/>
      <c r="G1967" s="8" t="n"/>
    </row>
    <row r="1968">
      <c r="B1968" s="11" t="n"/>
      <c r="C1968" s="8" t="n"/>
      <c r="D1968" s="8" t="n"/>
      <c r="E1968" s="8" t="n"/>
      <c r="F1968" s="20" t="n"/>
      <c r="G1968" s="8" t="n"/>
    </row>
    <row r="1969">
      <c r="B1969" s="11" t="n"/>
      <c r="C1969" s="8" t="n"/>
      <c r="D1969" s="8" t="n"/>
      <c r="E1969" s="8" t="n"/>
      <c r="F1969" s="20" t="n"/>
      <c r="G1969" s="8" t="n"/>
    </row>
    <row r="1970">
      <c r="B1970" s="11" t="n"/>
      <c r="C1970" s="8" t="n"/>
      <c r="D1970" s="8" t="n"/>
      <c r="E1970" s="8" t="n"/>
      <c r="F1970" s="20" t="n"/>
      <c r="G1970" s="8" t="n"/>
    </row>
    <row r="1971">
      <c r="B1971" s="11" t="n"/>
      <c r="C1971" s="8" t="n"/>
      <c r="D1971" s="8" t="n"/>
      <c r="E1971" s="8" t="n"/>
      <c r="F1971" s="20" t="n"/>
      <c r="G1971" s="8" t="n"/>
    </row>
    <row r="1972">
      <c r="B1972" s="11" t="n"/>
      <c r="C1972" s="8" t="n"/>
      <c r="D1972" s="8" t="n"/>
      <c r="E1972" s="8" t="n"/>
      <c r="F1972" s="20" t="n"/>
      <c r="G1972" s="8" t="n"/>
    </row>
    <row r="1973">
      <c r="B1973" s="11" t="n"/>
      <c r="C1973" s="8" t="n"/>
      <c r="D1973" s="8" t="n"/>
      <c r="E1973" s="8" t="n"/>
      <c r="F1973" s="20" t="n"/>
      <c r="G1973" s="8" t="n"/>
    </row>
    <row r="1974">
      <c r="B1974" s="11" t="n"/>
      <c r="C1974" s="8" t="n"/>
      <c r="D1974" s="8" t="n"/>
      <c r="E1974" s="8" t="n"/>
      <c r="F1974" s="20" t="n"/>
      <c r="G1974" s="8" t="n"/>
    </row>
    <row r="1975">
      <c r="B1975" s="11" t="n"/>
      <c r="C1975" s="8" t="n"/>
      <c r="D1975" s="8" t="n"/>
      <c r="E1975" s="8" t="n"/>
      <c r="F1975" s="20" t="n"/>
      <c r="G1975" s="8" t="n"/>
    </row>
    <row r="1976">
      <c r="B1976" s="11" t="n"/>
      <c r="C1976" s="8" t="n"/>
      <c r="D1976" s="8" t="n"/>
      <c r="E1976" s="8" t="n"/>
      <c r="F1976" s="20" t="n"/>
      <c r="G1976" s="8" t="n"/>
    </row>
    <row r="1977">
      <c r="B1977" s="11" t="n"/>
      <c r="C1977" s="8" t="n"/>
      <c r="D1977" s="8" t="n"/>
      <c r="E1977" s="8" t="n"/>
      <c r="F1977" s="20" t="n"/>
      <c r="G1977" s="8" t="n"/>
    </row>
    <row r="1978">
      <c r="B1978" s="11" t="n"/>
      <c r="C1978" s="8" t="n"/>
      <c r="D1978" s="8" t="n"/>
      <c r="E1978" s="8" t="n"/>
      <c r="F1978" s="20" t="n"/>
      <c r="G1978" s="8" t="n"/>
    </row>
    <row r="1979">
      <c r="B1979" s="11" t="n"/>
      <c r="C1979" s="8" t="n"/>
      <c r="D1979" s="8" t="n"/>
      <c r="E1979" s="8" t="n"/>
      <c r="F1979" s="20" t="n"/>
      <c r="G1979" s="8" t="n"/>
    </row>
    <row r="1980">
      <c r="B1980" s="11" t="n"/>
      <c r="C1980" s="8" t="n"/>
      <c r="D1980" s="8" t="n"/>
      <c r="E1980" s="8" t="n"/>
      <c r="F1980" s="20" t="n"/>
      <c r="G1980" s="8" t="n"/>
    </row>
    <row r="1981">
      <c r="B1981" s="11" t="n"/>
      <c r="C1981" s="8" t="n"/>
      <c r="D1981" s="8" t="n"/>
      <c r="E1981" s="8" t="n"/>
      <c r="F1981" s="20" t="n"/>
      <c r="G1981" s="8" t="n"/>
    </row>
    <row r="1982">
      <c r="B1982" s="11" t="n"/>
      <c r="C1982" s="8" t="n"/>
      <c r="D1982" s="8" t="n"/>
      <c r="E1982" s="8" t="n"/>
      <c r="F1982" s="20" t="n"/>
      <c r="G1982" s="8" t="n"/>
    </row>
    <row r="1983">
      <c r="B1983" s="11" t="n"/>
      <c r="C1983" s="8" t="n"/>
      <c r="D1983" s="8" t="n"/>
      <c r="E1983" s="8" t="n"/>
      <c r="F1983" s="20" t="n"/>
      <c r="G1983" s="8" t="n"/>
    </row>
    <row r="1984">
      <c r="B1984" s="11" t="n"/>
      <c r="C1984" s="8" t="n"/>
      <c r="D1984" s="8" t="n"/>
      <c r="E1984" s="8" t="n"/>
      <c r="F1984" s="20" t="n"/>
      <c r="G1984" s="8" t="n"/>
    </row>
    <row r="1985">
      <c r="B1985" s="11" t="n"/>
      <c r="C1985" s="8" t="n"/>
      <c r="D1985" s="8" t="n"/>
      <c r="E1985" s="8" t="n"/>
      <c r="F1985" s="20" t="n"/>
      <c r="G1985" s="8" t="n"/>
    </row>
    <row r="1986">
      <c r="B1986" s="11" t="n"/>
      <c r="C1986" s="8" t="n"/>
      <c r="D1986" s="8" t="n"/>
      <c r="E1986" s="8" t="n"/>
      <c r="F1986" s="20" t="n"/>
      <c r="G1986" s="8" t="n"/>
    </row>
    <row r="1987">
      <c r="B1987" s="11" t="n"/>
      <c r="C1987" s="8" t="n"/>
      <c r="D1987" s="8" t="n"/>
      <c r="E1987" s="8" t="n"/>
      <c r="F1987" s="20" t="n"/>
      <c r="G1987" s="8" t="n"/>
    </row>
    <row r="1988">
      <c r="B1988" s="11" t="n"/>
      <c r="C1988" s="8" t="n"/>
      <c r="D1988" s="8" t="n"/>
      <c r="E1988" s="8" t="n"/>
      <c r="F1988" s="20" t="n"/>
      <c r="G1988" s="8" t="n"/>
    </row>
    <row r="1989">
      <c r="B1989" s="11" t="n"/>
      <c r="C1989" s="8" t="n"/>
      <c r="D1989" s="8" t="n"/>
      <c r="E1989" s="8" t="n"/>
      <c r="F1989" s="20" t="n"/>
      <c r="G1989" s="8" t="n"/>
    </row>
    <row r="1990">
      <c r="B1990" s="11" t="n"/>
      <c r="C1990" s="8" t="n"/>
      <c r="D1990" s="8" t="n"/>
      <c r="E1990" s="8" t="n"/>
      <c r="F1990" s="20" t="n"/>
      <c r="G1990" s="8" t="n"/>
    </row>
    <row r="1991">
      <c r="B1991" s="11" t="n"/>
      <c r="C1991" s="8" t="n"/>
      <c r="D1991" s="8" t="n"/>
      <c r="E1991" s="8" t="n"/>
      <c r="F1991" s="20" t="n"/>
      <c r="G1991" s="8" t="n"/>
    </row>
    <row r="1992">
      <c r="B1992" s="11" t="n"/>
      <c r="C1992" s="8" t="n"/>
      <c r="D1992" s="8" t="n"/>
      <c r="E1992" s="8" t="n"/>
      <c r="F1992" s="20" t="n"/>
      <c r="G1992" s="8" t="n"/>
    </row>
    <row r="1993">
      <c r="B1993" s="11" t="n"/>
      <c r="C1993" s="8" t="n"/>
      <c r="D1993" s="8" t="n"/>
      <c r="E1993" s="8" t="n"/>
      <c r="F1993" s="20" t="n"/>
      <c r="G1993" s="8" t="n"/>
    </row>
    <row r="1994">
      <c r="B1994" s="11" t="n"/>
      <c r="C1994" s="8" t="n"/>
      <c r="D1994" s="8" t="n"/>
      <c r="E1994" s="8" t="n"/>
      <c r="F1994" s="20" t="n"/>
      <c r="G1994" s="8" t="n"/>
    </row>
    <row r="1995">
      <c r="B1995" s="11" t="n"/>
      <c r="C1995" s="8" t="n"/>
      <c r="D1995" s="8" t="n"/>
      <c r="E1995" s="8" t="n"/>
      <c r="F1995" s="20" t="n"/>
      <c r="G1995" s="8" t="n"/>
    </row>
    <row r="1996">
      <c r="B1996" s="11" t="n"/>
      <c r="C1996" s="8" t="n"/>
      <c r="D1996" s="8" t="n"/>
      <c r="E1996" s="8" t="n"/>
      <c r="F1996" s="20" t="n"/>
      <c r="G1996" s="8" t="n"/>
    </row>
    <row r="1997">
      <c r="B1997" s="11" t="n"/>
      <c r="C1997" s="8" t="n"/>
      <c r="D1997" s="8" t="n"/>
      <c r="E1997" s="8" t="n"/>
      <c r="F1997" s="20" t="n"/>
      <c r="G1997" s="8" t="n"/>
    </row>
    <row r="1998">
      <c r="B1998" s="11" t="n"/>
      <c r="C1998" s="8" t="n"/>
      <c r="D1998" s="8" t="n"/>
      <c r="E1998" s="8" t="n"/>
      <c r="F1998" s="20" t="n"/>
      <c r="G1998" s="8" t="n"/>
    </row>
    <row r="1999">
      <c r="B1999" s="11" t="n"/>
      <c r="C1999" s="8" t="n"/>
      <c r="D1999" s="8" t="n"/>
      <c r="E1999" s="8" t="n"/>
      <c r="F1999" s="20" t="n"/>
      <c r="G1999" s="8" t="n"/>
    </row>
    <row r="2000">
      <c r="B2000" s="11" t="n"/>
      <c r="C2000" s="8" t="n"/>
      <c r="D2000" s="8" t="n"/>
      <c r="E2000" s="8" t="n"/>
      <c r="F2000" s="20" t="n"/>
      <c r="G2000" s="8" t="n"/>
    </row>
    <row r="2001">
      <c r="B2001" s="11" t="n"/>
      <c r="C2001" s="8" t="n"/>
      <c r="D2001" s="8" t="n"/>
      <c r="E2001" s="8" t="n"/>
      <c r="F2001" s="20" t="n"/>
      <c r="G2001" s="8" t="n"/>
    </row>
    <row r="2002">
      <c r="B2002" s="11" t="n"/>
      <c r="C2002" s="8" t="n"/>
      <c r="D2002" s="8" t="n"/>
      <c r="E2002" s="8" t="n"/>
      <c r="F2002" s="20" t="n"/>
      <c r="G2002" s="8" t="n"/>
    </row>
    <row r="2003">
      <c r="B2003" s="11" t="n"/>
      <c r="C2003" s="8" t="n"/>
      <c r="D2003" s="8" t="n"/>
      <c r="E2003" s="8" t="n"/>
      <c r="F2003" s="20" t="n"/>
      <c r="G2003" s="8" t="n"/>
    </row>
    <row r="2004">
      <c r="B2004" s="11" t="n"/>
      <c r="C2004" s="8" t="n"/>
      <c r="D2004" s="8" t="n"/>
      <c r="E2004" s="8" t="n"/>
      <c r="F2004" s="20" t="n"/>
      <c r="G2004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B4:G2004"/>
  <dataValidations count="1">
    <dataValidation sqref="E5:E2004" showDropDown="0" showInputMessage="0" showErrorMessage="0" allowBlank="1" type="list">
      <formula1>=Settings!$G$4:$G$17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2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30" customWidth="1" min="3" max="3"/>
    <col width="11" customWidth="1" min="4" max="4"/>
    <col width="13" customWidth="1" min="5" max="5"/>
    <col width="15" customWidth="1" min="6" max="6"/>
    <col width="15" customWidth="1" min="7" max="7"/>
    <col width="14" customWidth="1" min="8" max="8"/>
    <col width="13" customWidth="1" min="9" max="9"/>
    <col width="13" customWidth="1" min="10" max="10"/>
  </cols>
  <sheetData>
    <row r="1">
      <c r="B1" s="1" t="inlineStr">
        <is>
          <t>Profit per Product</t>
        </is>
      </c>
    </row>
    <row r="2">
      <c r="B2" s="2" t="inlineStr">
        <is>
          <t>Which products earn their keep. Nothing to type here.</t>
        </is>
      </c>
    </row>
    <row r="4" ht="30" customHeight="1">
      <c r="B4" s="13" t="inlineStr">
        <is>
          <t>SKU</t>
        </is>
      </c>
      <c r="C4" s="13" t="inlineStr">
        <is>
          <t>Product</t>
        </is>
      </c>
      <c r="D4" s="13" t="inlineStr">
        <is>
          <t>Units sold</t>
        </is>
      </c>
      <c r="E4" s="13" t="inlineStr">
        <is>
          <t>Revenue £</t>
        </is>
      </c>
      <c r="F4" s="13" t="inlineStr">
        <is>
          <t>Fees and VAT £</t>
        </is>
      </c>
      <c r="G4" s="13" t="inlineStr">
        <is>
          <t>Cost of goods £</t>
        </is>
      </c>
      <c r="H4" s="13" t="inlineStr">
        <is>
          <t>Postage paid £</t>
        </is>
      </c>
      <c r="I4" s="13" t="inlineStr">
        <is>
          <t>Profit £</t>
        </is>
      </c>
      <c r="J4" s="13" t="inlineStr">
        <is>
          <t>Profit margin</t>
        </is>
      </c>
    </row>
    <row r="5">
      <c r="B5">
        <f>IF(Products!B5="","",Products!B5)</f>
        <v/>
      </c>
      <c r="C5">
        <f>IF(B5="","",Products!C5)</f>
        <v/>
      </c>
      <c r="D5">
        <f>IF(B5="","",SUMIFS(Sales!$E$5:$E$2004,Sales!$D$5:$D$2004,B5))</f>
        <v/>
      </c>
      <c r="E5" s="22">
        <f>IF(B5="","",SUMIFS(Sales!$J$5:$J$2004,Sales!$D$5:$D$2004,B5))</f>
        <v/>
      </c>
      <c r="F5" s="22">
        <f>IF(B5="","",SUMIFS(Sales!$K$5:$K$2004,Sales!$D$5:$D$2004,B5)+SUMIFS(Sales!$L$5:$L$2004,Sales!$D$5:$D$2004,B5))</f>
        <v/>
      </c>
      <c r="G5" s="22">
        <f>IF(B5="","",SUMIFS(Sales!$M$5:$M$2004,Sales!$D$5:$D$2004,B5))</f>
        <v/>
      </c>
      <c r="H5" s="22">
        <f>IF(B5="","",SUMIFS(Sales!$I$5:$I$2004,Sales!$D$5:$D$2004,B5))</f>
        <v/>
      </c>
      <c r="I5" s="22">
        <f>IF(B5="","",E5-F5-G5-H5)</f>
        <v/>
      </c>
      <c r="J5" s="23">
        <f>IF(B5="","",IF(E5=0,"",I5/E5))</f>
        <v/>
      </c>
    </row>
    <row r="6">
      <c r="B6">
        <f>IF(Products!B6="","",Products!B6)</f>
        <v/>
      </c>
      <c r="C6">
        <f>IF(B6="","",Products!C6)</f>
        <v/>
      </c>
      <c r="D6">
        <f>IF(B6="","",SUMIFS(Sales!$E$5:$E$2004,Sales!$D$5:$D$2004,B6))</f>
        <v/>
      </c>
      <c r="E6" s="22">
        <f>IF(B6="","",SUMIFS(Sales!$J$5:$J$2004,Sales!$D$5:$D$2004,B6))</f>
        <v/>
      </c>
      <c r="F6" s="22">
        <f>IF(B6="","",SUMIFS(Sales!$K$5:$K$2004,Sales!$D$5:$D$2004,B6)+SUMIFS(Sales!$L$5:$L$2004,Sales!$D$5:$D$2004,B6))</f>
        <v/>
      </c>
      <c r="G6" s="22">
        <f>IF(B6="","",SUMIFS(Sales!$M$5:$M$2004,Sales!$D$5:$D$2004,B6))</f>
        <v/>
      </c>
      <c r="H6" s="22">
        <f>IF(B6="","",SUMIFS(Sales!$I$5:$I$2004,Sales!$D$5:$D$2004,B6))</f>
        <v/>
      </c>
      <c r="I6" s="22">
        <f>IF(B6="","",E6-F6-G6-H6)</f>
        <v/>
      </c>
      <c r="J6" s="23">
        <f>IF(B6="","",IF(E6=0,"",I6/E6))</f>
        <v/>
      </c>
    </row>
    <row r="7">
      <c r="B7">
        <f>IF(Products!B7="","",Products!B7)</f>
        <v/>
      </c>
      <c r="C7">
        <f>IF(B7="","",Products!C7)</f>
        <v/>
      </c>
      <c r="D7">
        <f>IF(B7="","",SUMIFS(Sales!$E$5:$E$2004,Sales!$D$5:$D$2004,B7))</f>
        <v/>
      </c>
      <c r="E7" s="22">
        <f>IF(B7="","",SUMIFS(Sales!$J$5:$J$2004,Sales!$D$5:$D$2004,B7))</f>
        <v/>
      </c>
      <c r="F7" s="22">
        <f>IF(B7="","",SUMIFS(Sales!$K$5:$K$2004,Sales!$D$5:$D$2004,B7)+SUMIFS(Sales!$L$5:$L$2004,Sales!$D$5:$D$2004,B7))</f>
        <v/>
      </c>
      <c r="G7" s="22">
        <f>IF(B7="","",SUMIFS(Sales!$M$5:$M$2004,Sales!$D$5:$D$2004,B7))</f>
        <v/>
      </c>
      <c r="H7" s="22">
        <f>IF(B7="","",SUMIFS(Sales!$I$5:$I$2004,Sales!$D$5:$D$2004,B7))</f>
        <v/>
      </c>
      <c r="I7" s="22">
        <f>IF(B7="","",E7-F7-G7-H7)</f>
        <v/>
      </c>
      <c r="J7" s="23">
        <f>IF(B7="","",IF(E7=0,"",I7/E7))</f>
        <v/>
      </c>
    </row>
    <row r="8">
      <c r="B8">
        <f>IF(Products!B8="","",Products!B8)</f>
        <v/>
      </c>
      <c r="C8">
        <f>IF(B8="","",Products!C8)</f>
        <v/>
      </c>
      <c r="D8">
        <f>IF(B8="","",SUMIFS(Sales!$E$5:$E$2004,Sales!$D$5:$D$2004,B8))</f>
        <v/>
      </c>
      <c r="E8" s="22">
        <f>IF(B8="","",SUMIFS(Sales!$J$5:$J$2004,Sales!$D$5:$D$2004,B8))</f>
        <v/>
      </c>
      <c r="F8" s="22">
        <f>IF(B8="","",SUMIFS(Sales!$K$5:$K$2004,Sales!$D$5:$D$2004,B8)+SUMIFS(Sales!$L$5:$L$2004,Sales!$D$5:$D$2004,B8))</f>
        <v/>
      </c>
      <c r="G8" s="22">
        <f>IF(B8="","",SUMIFS(Sales!$M$5:$M$2004,Sales!$D$5:$D$2004,B8))</f>
        <v/>
      </c>
      <c r="H8" s="22">
        <f>IF(B8="","",SUMIFS(Sales!$I$5:$I$2004,Sales!$D$5:$D$2004,B8))</f>
        <v/>
      </c>
      <c r="I8" s="22">
        <f>IF(B8="","",E8-F8-G8-H8)</f>
        <v/>
      </c>
      <c r="J8" s="23">
        <f>IF(B8="","",IF(E8=0,"",I8/E8))</f>
        <v/>
      </c>
    </row>
    <row r="9">
      <c r="B9">
        <f>IF(Products!B9="","",Products!B9)</f>
        <v/>
      </c>
      <c r="C9">
        <f>IF(B9="","",Products!C9)</f>
        <v/>
      </c>
      <c r="D9">
        <f>IF(B9="","",SUMIFS(Sales!$E$5:$E$2004,Sales!$D$5:$D$2004,B9))</f>
        <v/>
      </c>
      <c r="E9" s="22">
        <f>IF(B9="","",SUMIFS(Sales!$J$5:$J$2004,Sales!$D$5:$D$2004,B9))</f>
        <v/>
      </c>
      <c r="F9" s="22">
        <f>IF(B9="","",SUMIFS(Sales!$K$5:$K$2004,Sales!$D$5:$D$2004,B9)+SUMIFS(Sales!$L$5:$L$2004,Sales!$D$5:$D$2004,B9))</f>
        <v/>
      </c>
      <c r="G9" s="22">
        <f>IF(B9="","",SUMIFS(Sales!$M$5:$M$2004,Sales!$D$5:$D$2004,B9))</f>
        <v/>
      </c>
      <c r="H9" s="22">
        <f>IF(B9="","",SUMIFS(Sales!$I$5:$I$2004,Sales!$D$5:$D$2004,B9))</f>
        <v/>
      </c>
      <c r="I9" s="22">
        <f>IF(B9="","",E9-F9-G9-H9)</f>
        <v/>
      </c>
      <c r="J9" s="23">
        <f>IF(B9="","",IF(E9=0,"",I9/E9))</f>
        <v/>
      </c>
    </row>
    <row r="10">
      <c r="B10">
        <f>IF(Products!B10="","",Products!B10)</f>
        <v/>
      </c>
      <c r="C10">
        <f>IF(B10="","",Products!C10)</f>
        <v/>
      </c>
      <c r="D10">
        <f>IF(B10="","",SUMIFS(Sales!$E$5:$E$2004,Sales!$D$5:$D$2004,B10))</f>
        <v/>
      </c>
      <c r="E10" s="22">
        <f>IF(B10="","",SUMIFS(Sales!$J$5:$J$2004,Sales!$D$5:$D$2004,B10))</f>
        <v/>
      </c>
      <c r="F10" s="22">
        <f>IF(B10="","",SUMIFS(Sales!$K$5:$K$2004,Sales!$D$5:$D$2004,B10)+SUMIFS(Sales!$L$5:$L$2004,Sales!$D$5:$D$2004,B10))</f>
        <v/>
      </c>
      <c r="G10" s="22">
        <f>IF(B10="","",SUMIFS(Sales!$M$5:$M$2004,Sales!$D$5:$D$2004,B10))</f>
        <v/>
      </c>
      <c r="H10" s="22">
        <f>IF(B10="","",SUMIFS(Sales!$I$5:$I$2004,Sales!$D$5:$D$2004,B10))</f>
        <v/>
      </c>
      <c r="I10" s="22">
        <f>IF(B10="","",E10-F10-G10-H10)</f>
        <v/>
      </c>
      <c r="J10" s="23">
        <f>IF(B10="","",IF(E10=0,"",I10/E10))</f>
        <v/>
      </c>
    </row>
    <row r="11">
      <c r="B11">
        <f>IF(Products!B11="","",Products!B11)</f>
        <v/>
      </c>
      <c r="C11">
        <f>IF(B11="","",Products!C11)</f>
        <v/>
      </c>
      <c r="D11">
        <f>IF(B11="","",SUMIFS(Sales!$E$5:$E$2004,Sales!$D$5:$D$2004,B11))</f>
        <v/>
      </c>
      <c r="E11" s="22">
        <f>IF(B11="","",SUMIFS(Sales!$J$5:$J$2004,Sales!$D$5:$D$2004,B11))</f>
        <v/>
      </c>
      <c r="F11" s="22">
        <f>IF(B11="","",SUMIFS(Sales!$K$5:$K$2004,Sales!$D$5:$D$2004,B11)+SUMIFS(Sales!$L$5:$L$2004,Sales!$D$5:$D$2004,B11))</f>
        <v/>
      </c>
      <c r="G11" s="22">
        <f>IF(B11="","",SUMIFS(Sales!$M$5:$M$2004,Sales!$D$5:$D$2004,B11))</f>
        <v/>
      </c>
      <c r="H11" s="22">
        <f>IF(B11="","",SUMIFS(Sales!$I$5:$I$2004,Sales!$D$5:$D$2004,B11))</f>
        <v/>
      </c>
      <c r="I11" s="22">
        <f>IF(B11="","",E11-F11-G11-H11)</f>
        <v/>
      </c>
      <c r="J11" s="23">
        <f>IF(B11="","",IF(E11=0,"",I11/E11))</f>
        <v/>
      </c>
    </row>
    <row r="12">
      <c r="B12">
        <f>IF(Products!B12="","",Products!B12)</f>
        <v/>
      </c>
      <c r="C12">
        <f>IF(B12="","",Products!C12)</f>
        <v/>
      </c>
      <c r="D12">
        <f>IF(B12="","",SUMIFS(Sales!$E$5:$E$2004,Sales!$D$5:$D$2004,B12))</f>
        <v/>
      </c>
      <c r="E12" s="22">
        <f>IF(B12="","",SUMIFS(Sales!$J$5:$J$2004,Sales!$D$5:$D$2004,B12))</f>
        <v/>
      </c>
      <c r="F12" s="22">
        <f>IF(B12="","",SUMIFS(Sales!$K$5:$K$2004,Sales!$D$5:$D$2004,B12)+SUMIFS(Sales!$L$5:$L$2004,Sales!$D$5:$D$2004,B12))</f>
        <v/>
      </c>
      <c r="G12" s="22">
        <f>IF(B12="","",SUMIFS(Sales!$M$5:$M$2004,Sales!$D$5:$D$2004,B12))</f>
        <v/>
      </c>
      <c r="H12" s="22">
        <f>IF(B12="","",SUMIFS(Sales!$I$5:$I$2004,Sales!$D$5:$D$2004,B12))</f>
        <v/>
      </c>
      <c r="I12" s="22">
        <f>IF(B12="","",E12-F12-G12-H12)</f>
        <v/>
      </c>
      <c r="J12" s="23">
        <f>IF(B12="","",IF(E12=0,"",I12/E12))</f>
        <v/>
      </c>
    </row>
    <row r="13">
      <c r="B13">
        <f>IF(Products!B13="","",Products!B13)</f>
        <v/>
      </c>
      <c r="C13">
        <f>IF(B13="","",Products!C13)</f>
        <v/>
      </c>
      <c r="D13">
        <f>IF(B13="","",SUMIFS(Sales!$E$5:$E$2004,Sales!$D$5:$D$2004,B13))</f>
        <v/>
      </c>
      <c r="E13" s="22">
        <f>IF(B13="","",SUMIFS(Sales!$J$5:$J$2004,Sales!$D$5:$D$2004,B13))</f>
        <v/>
      </c>
      <c r="F13" s="22">
        <f>IF(B13="","",SUMIFS(Sales!$K$5:$K$2004,Sales!$D$5:$D$2004,B13)+SUMIFS(Sales!$L$5:$L$2004,Sales!$D$5:$D$2004,B13))</f>
        <v/>
      </c>
      <c r="G13" s="22">
        <f>IF(B13="","",SUMIFS(Sales!$M$5:$M$2004,Sales!$D$5:$D$2004,B13))</f>
        <v/>
      </c>
      <c r="H13" s="22">
        <f>IF(B13="","",SUMIFS(Sales!$I$5:$I$2004,Sales!$D$5:$D$2004,B13))</f>
        <v/>
      </c>
      <c r="I13" s="22">
        <f>IF(B13="","",E13-F13-G13-H13)</f>
        <v/>
      </c>
      <c r="J13" s="23">
        <f>IF(B13="","",IF(E13=0,"",I13/E13))</f>
        <v/>
      </c>
    </row>
    <row r="14">
      <c r="B14">
        <f>IF(Products!B14="","",Products!B14)</f>
        <v/>
      </c>
      <c r="C14">
        <f>IF(B14="","",Products!C14)</f>
        <v/>
      </c>
      <c r="D14">
        <f>IF(B14="","",SUMIFS(Sales!$E$5:$E$2004,Sales!$D$5:$D$2004,B14))</f>
        <v/>
      </c>
      <c r="E14" s="22">
        <f>IF(B14="","",SUMIFS(Sales!$J$5:$J$2004,Sales!$D$5:$D$2004,B14))</f>
        <v/>
      </c>
      <c r="F14" s="22">
        <f>IF(B14="","",SUMIFS(Sales!$K$5:$K$2004,Sales!$D$5:$D$2004,B14)+SUMIFS(Sales!$L$5:$L$2004,Sales!$D$5:$D$2004,B14))</f>
        <v/>
      </c>
      <c r="G14" s="22">
        <f>IF(B14="","",SUMIFS(Sales!$M$5:$M$2004,Sales!$D$5:$D$2004,B14))</f>
        <v/>
      </c>
      <c r="H14" s="22">
        <f>IF(B14="","",SUMIFS(Sales!$I$5:$I$2004,Sales!$D$5:$D$2004,B14))</f>
        <v/>
      </c>
      <c r="I14" s="22">
        <f>IF(B14="","",E14-F14-G14-H14)</f>
        <v/>
      </c>
      <c r="J14" s="23">
        <f>IF(B14="","",IF(E14=0,"",I14/E14))</f>
        <v/>
      </c>
    </row>
    <row r="15">
      <c r="B15">
        <f>IF(Products!B15="","",Products!B15)</f>
        <v/>
      </c>
      <c r="C15">
        <f>IF(B15="","",Products!C15)</f>
        <v/>
      </c>
      <c r="D15">
        <f>IF(B15="","",SUMIFS(Sales!$E$5:$E$2004,Sales!$D$5:$D$2004,B15))</f>
        <v/>
      </c>
      <c r="E15" s="22">
        <f>IF(B15="","",SUMIFS(Sales!$J$5:$J$2004,Sales!$D$5:$D$2004,B15))</f>
        <v/>
      </c>
      <c r="F15" s="22">
        <f>IF(B15="","",SUMIFS(Sales!$K$5:$K$2004,Sales!$D$5:$D$2004,B15)+SUMIFS(Sales!$L$5:$L$2004,Sales!$D$5:$D$2004,B15))</f>
        <v/>
      </c>
      <c r="G15" s="22">
        <f>IF(B15="","",SUMIFS(Sales!$M$5:$M$2004,Sales!$D$5:$D$2004,B15))</f>
        <v/>
      </c>
      <c r="H15" s="22">
        <f>IF(B15="","",SUMIFS(Sales!$I$5:$I$2004,Sales!$D$5:$D$2004,B15))</f>
        <v/>
      </c>
      <c r="I15" s="22">
        <f>IF(B15="","",E15-F15-G15-H15)</f>
        <v/>
      </c>
      <c r="J15" s="23">
        <f>IF(B15="","",IF(E15=0,"",I15/E15))</f>
        <v/>
      </c>
    </row>
    <row r="16">
      <c r="B16">
        <f>IF(Products!B16="","",Products!B16)</f>
        <v/>
      </c>
      <c r="C16">
        <f>IF(B16="","",Products!C16)</f>
        <v/>
      </c>
      <c r="D16">
        <f>IF(B16="","",SUMIFS(Sales!$E$5:$E$2004,Sales!$D$5:$D$2004,B16))</f>
        <v/>
      </c>
      <c r="E16" s="22">
        <f>IF(B16="","",SUMIFS(Sales!$J$5:$J$2004,Sales!$D$5:$D$2004,B16))</f>
        <v/>
      </c>
      <c r="F16" s="22">
        <f>IF(B16="","",SUMIFS(Sales!$K$5:$K$2004,Sales!$D$5:$D$2004,B16)+SUMIFS(Sales!$L$5:$L$2004,Sales!$D$5:$D$2004,B16))</f>
        <v/>
      </c>
      <c r="G16" s="22">
        <f>IF(B16="","",SUMIFS(Sales!$M$5:$M$2004,Sales!$D$5:$D$2004,B16))</f>
        <v/>
      </c>
      <c r="H16" s="22">
        <f>IF(B16="","",SUMIFS(Sales!$I$5:$I$2004,Sales!$D$5:$D$2004,B16))</f>
        <v/>
      </c>
      <c r="I16" s="22">
        <f>IF(B16="","",E16-F16-G16-H16)</f>
        <v/>
      </c>
      <c r="J16" s="23">
        <f>IF(B16="","",IF(E16=0,"",I16/E16))</f>
        <v/>
      </c>
    </row>
    <row r="17">
      <c r="B17">
        <f>IF(Products!B17="","",Products!B17)</f>
        <v/>
      </c>
      <c r="C17">
        <f>IF(B17="","",Products!C17)</f>
        <v/>
      </c>
      <c r="D17">
        <f>IF(B17="","",SUMIFS(Sales!$E$5:$E$2004,Sales!$D$5:$D$2004,B17))</f>
        <v/>
      </c>
      <c r="E17" s="22">
        <f>IF(B17="","",SUMIFS(Sales!$J$5:$J$2004,Sales!$D$5:$D$2004,B17))</f>
        <v/>
      </c>
      <c r="F17" s="22">
        <f>IF(B17="","",SUMIFS(Sales!$K$5:$K$2004,Sales!$D$5:$D$2004,B17)+SUMIFS(Sales!$L$5:$L$2004,Sales!$D$5:$D$2004,B17))</f>
        <v/>
      </c>
      <c r="G17" s="22">
        <f>IF(B17="","",SUMIFS(Sales!$M$5:$M$2004,Sales!$D$5:$D$2004,B17))</f>
        <v/>
      </c>
      <c r="H17" s="22">
        <f>IF(B17="","",SUMIFS(Sales!$I$5:$I$2004,Sales!$D$5:$D$2004,B17))</f>
        <v/>
      </c>
      <c r="I17" s="22">
        <f>IF(B17="","",E17-F17-G17-H17)</f>
        <v/>
      </c>
      <c r="J17" s="23">
        <f>IF(B17="","",IF(E17=0,"",I17/E17))</f>
        <v/>
      </c>
    </row>
    <row r="18">
      <c r="B18">
        <f>IF(Products!B18="","",Products!B18)</f>
        <v/>
      </c>
      <c r="C18">
        <f>IF(B18="","",Products!C18)</f>
        <v/>
      </c>
      <c r="D18">
        <f>IF(B18="","",SUMIFS(Sales!$E$5:$E$2004,Sales!$D$5:$D$2004,B18))</f>
        <v/>
      </c>
      <c r="E18" s="22">
        <f>IF(B18="","",SUMIFS(Sales!$J$5:$J$2004,Sales!$D$5:$D$2004,B18))</f>
        <v/>
      </c>
      <c r="F18" s="22">
        <f>IF(B18="","",SUMIFS(Sales!$K$5:$K$2004,Sales!$D$5:$D$2004,B18)+SUMIFS(Sales!$L$5:$L$2004,Sales!$D$5:$D$2004,B18))</f>
        <v/>
      </c>
      <c r="G18" s="22">
        <f>IF(B18="","",SUMIFS(Sales!$M$5:$M$2004,Sales!$D$5:$D$2004,B18))</f>
        <v/>
      </c>
      <c r="H18" s="22">
        <f>IF(B18="","",SUMIFS(Sales!$I$5:$I$2004,Sales!$D$5:$D$2004,B18))</f>
        <v/>
      </c>
      <c r="I18" s="22">
        <f>IF(B18="","",E18-F18-G18-H18)</f>
        <v/>
      </c>
      <c r="J18" s="23">
        <f>IF(B18="","",IF(E18=0,"",I18/E18))</f>
        <v/>
      </c>
    </row>
    <row r="19">
      <c r="B19">
        <f>IF(Products!B19="","",Products!B19)</f>
        <v/>
      </c>
      <c r="C19">
        <f>IF(B19="","",Products!C19)</f>
        <v/>
      </c>
      <c r="D19">
        <f>IF(B19="","",SUMIFS(Sales!$E$5:$E$2004,Sales!$D$5:$D$2004,B19))</f>
        <v/>
      </c>
      <c r="E19" s="22">
        <f>IF(B19="","",SUMIFS(Sales!$J$5:$J$2004,Sales!$D$5:$D$2004,B19))</f>
        <v/>
      </c>
      <c r="F19" s="22">
        <f>IF(B19="","",SUMIFS(Sales!$K$5:$K$2004,Sales!$D$5:$D$2004,B19)+SUMIFS(Sales!$L$5:$L$2004,Sales!$D$5:$D$2004,B19))</f>
        <v/>
      </c>
      <c r="G19" s="22">
        <f>IF(B19="","",SUMIFS(Sales!$M$5:$M$2004,Sales!$D$5:$D$2004,B19))</f>
        <v/>
      </c>
      <c r="H19" s="22">
        <f>IF(B19="","",SUMIFS(Sales!$I$5:$I$2004,Sales!$D$5:$D$2004,B19))</f>
        <v/>
      </c>
      <c r="I19" s="22">
        <f>IF(B19="","",E19-F19-G19-H19)</f>
        <v/>
      </c>
      <c r="J19" s="23">
        <f>IF(B19="","",IF(E19=0,"",I19/E19))</f>
        <v/>
      </c>
    </row>
    <row r="20">
      <c r="B20">
        <f>IF(Products!B20="","",Products!B20)</f>
        <v/>
      </c>
      <c r="C20">
        <f>IF(B20="","",Products!C20)</f>
        <v/>
      </c>
      <c r="D20">
        <f>IF(B20="","",SUMIFS(Sales!$E$5:$E$2004,Sales!$D$5:$D$2004,B20))</f>
        <v/>
      </c>
      <c r="E20" s="22">
        <f>IF(B20="","",SUMIFS(Sales!$J$5:$J$2004,Sales!$D$5:$D$2004,B20))</f>
        <v/>
      </c>
      <c r="F20" s="22">
        <f>IF(B20="","",SUMIFS(Sales!$K$5:$K$2004,Sales!$D$5:$D$2004,B20)+SUMIFS(Sales!$L$5:$L$2004,Sales!$D$5:$D$2004,B20))</f>
        <v/>
      </c>
      <c r="G20" s="22">
        <f>IF(B20="","",SUMIFS(Sales!$M$5:$M$2004,Sales!$D$5:$D$2004,B20))</f>
        <v/>
      </c>
      <c r="H20" s="22">
        <f>IF(B20="","",SUMIFS(Sales!$I$5:$I$2004,Sales!$D$5:$D$2004,B20))</f>
        <v/>
      </c>
      <c r="I20" s="22">
        <f>IF(B20="","",E20-F20-G20-H20)</f>
        <v/>
      </c>
      <c r="J20" s="23">
        <f>IF(B20="","",IF(E20=0,"",I20/E20))</f>
        <v/>
      </c>
    </row>
    <row r="21">
      <c r="B21">
        <f>IF(Products!B21="","",Products!B21)</f>
        <v/>
      </c>
      <c r="C21">
        <f>IF(B21="","",Products!C21)</f>
        <v/>
      </c>
      <c r="D21">
        <f>IF(B21="","",SUMIFS(Sales!$E$5:$E$2004,Sales!$D$5:$D$2004,B21))</f>
        <v/>
      </c>
      <c r="E21" s="22">
        <f>IF(B21="","",SUMIFS(Sales!$J$5:$J$2004,Sales!$D$5:$D$2004,B21))</f>
        <v/>
      </c>
      <c r="F21" s="22">
        <f>IF(B21="","",SUMIFS(Sales!$K$5:$K$2004,Sales!$D$5:$D$2004,B21)+SUMIFS(Sales!$L$5:$L$2004,Sales!$D$5:$D$2004,B21))</f>
        <v/>
      </c>
      <c r="G21" s="22">
        <f>IF(B21="","",SUMIFS(Sales!$M$5:$M$2004,Sales!$D$5:$D$2004,B21))</f>
        <v/>
      </c>
      <c r="H21" s="22">
        <f>IF(B21="","",SUMIFS(Sales!$I$5:$I$2004,Sales!$D$5:$D$2004,B21))</f>
        <v/>
      </c>
      <c r="I21" s="22">
        <f>IF(B21="","",E21-F21-G21-H21)</f>
        <v/>
      </c>
      <c r="J21" s="23">
        <f>IF(B21="","",IF(E21=0,"",I21/E21))</f>
        <v/>
      </c>
    </row>
    <row r="22">
      <c r="B22">
        <f>IF(Products!B22="","",Products!B22)</f>
        <v/>
      </c>
      <c r="C22">
        <f>IF(B22="","",Products!C22)</f>
        <v/>
      </c>
      <c r="D22">
        <f>IF(B22="","",SUMIFS(Sales!$E$5:$E$2004,Sales!$D$5:$D$2004,B22))</f>
        <v/>
      </c>
      <c r="E22" s="22">
        <f>IF(B22="","",SUMIFS(Sales!$J$5:$J$2004,Sales!$D$5:$D$2004,B22))</f>
        <v/>
      </c>
      <c r="F22" s="22">
        <f>IF(B22="","",SUMIFS(Sales!$K$5:$K$2004,Sales!$D$5:$D$2004,B22)+SUMIFS(Sales!$L$5:$L$2004,Sales!$D$5:$D$2004,B22))</f>
        <v/>
      </c>
      <c r="G22" s="22">
        <f>IF(B22="","",SUMIFS(Sales!$M$5:$M$2004,Sales!$D$5:$D$2004,B22))</f>
        <v/>
      </c>
      <c r="H22" s="22">
        <f>IF(B22="","",SUMIFS(Sales!$I$5:$I$2004,Sales!$D$5:$D$2004,B22))</f>
        <v/>
      </c>
      <c r="I22" s="22">
        <f>IF(B22="","",E22-F22-G22-H22)</f>
        <v/>
      </c>
      <c r="J22" s="23">
        <f>IF(B22="","",IF(E22=0,"",I22/E22))</f>
        <v/>
      </c>
    </row>
    <row r="23">
      <c r="B23">
        <f>IF(Products!B23="","",Products!B23)</f>
        <v/>
      </c>
      <c r="C23">
        <f>IF(B23="","",Products!C23)</f>
        <v/>
      </c>
      <c r="D23">
        <f>IF(B23="","",SUMIFS(Sales!$E$5:$E$2004,Sales!$D$5:$D$2004,B23))</f>
        <v/>
      </c>
      <c r="E23" s="22">
        <f>IF(B23="","",SUMIFS(Sales!$J$5:$J$2004,Sales!$D$5:$D$2004,B23))</f>
        <v/>
      </c>
      <c r="F23" s="22">
        <f>IF(B23="","",SUMIFS(Sales!$K$5:$K$2004,Sales!$D$5:$D$2004,B23)+SUMIFS(Sales!$L$5:$L$2004,Sales!$D$5:$D$2004,B23))</f>
        <v/>
      </c>
      <c r="G23" s="22">
        <f>IF(B23="","",SUMIFS(Sales!$M$5:$M$2004,Sales!$D$5:$D$2004,B23))</f>
        <v/>
      </c>
      <c r="H23" s="22">
        <f>IF(B23="","",SUMIFS(Sales!$I$5:$I$2004,Sales!$D$5:$D$2004,B23))</f>
        <v/>
      </c>
      <c r="I23" s="22">
        <f>IF(B23="","",E23-F23-G23-H23)</f>
        <v/>
      </c>
      <c r="J23" s="23">
        <f>IF(B23="","",IF(E23=0,"",I23/E23))</f>
        <v/>
      </c>
    </row>
    <row r="24">
      <c r="B24">
        <f>IF(Products!B24="","",Products!B24)</f>
        <v/>
      </c>
      <c r="C24">
        <f>IF(B24="","",Products!C24)</f>
        <v/>
      </c>
      <c r="D24">
        <f>IF(B24="","",SUMIFS(Sales!$E$5:$E$2004,Sales!$D$5:$D$2004,B24))</f>
        <v/>
      </c>
      <c r="E24" s="22">
        <f>IF(B24="","",SUMIFS(Sales!$J$5:$J$2004,Sales!$D$5:$D$2004,B24))</f>
        <v/>
      </c>
      <c r="F24" s="22">
        <f>IF(B24="","",SUMIFS(Sales!$K$5:$K$2004,Sales!$D$5:$D$2004,B24)+SUMIFS(Sales!$L$5:$L$2004,Sales!$D$5:$D$2004,B24))</f>
        <v/>
      </c>
      <c r="G24" s="22">
        <f>IF(B24="","",SUMIFS(Sales!$M$5:$M$2004,Sales!$D$5:$D$2004,B24))</f>
        <v/>
      </c>
      <c r="H24" s="22">
        <f>IF(B24="","",SUMIFS(Sales!$I$5:$I$2004,Sales!$D$5:$D$2004,B24))</f>
        <v/>
      </c>
      <c r="I24" s="22">
        <f>IF(B24="","",E24-F24-G24-H24)</f>
        <v/>
      </c>
      <c r="J24" s="23">
        <f>IF(B24="","",IF(E24=0,"",I24/E24))</f>
        <v/>
      </c>
    </row>
    <row r="25">
      <c r="B25">
        <f>IF(Products!B25="","",Products!B25)</f>
        <v/>
      </c>
      <c r="C25">
        <f>IF(B25="","",Products!C25)</f>
        <v/>
      </c>
      <c r="D25">
        <f>IF(B25="","",SUMIFS(Sales!$E$5:$E$2004,Sales!$D$5:$D$2004,B25))</f>
        <v/>
      </c>
      <c r="E25" s="22">
        <f>IF(B25="","",SUMIFS(Sales!$J$5:$J$2004,Sales!$D$5:$D$2004,B25))</f>
        <v/>
      </c>
      <c r="F25" s="22">
        <f>IF(B25="","",SUMIFS(Sales!$K$5:$K$2004,Sales!$D$5:$D$2004,B25)+SUMIFS(Sales!$L$5:$L$2004,Sales!$D$5:$D$2004,B25))</f>
        <v/>
      </c>
      <c r="G25" s="22">
        <f>IF(B25="","",SUMIFS(Sales!$M$5:$M$2004,Sales!$D$5:$D$2004,B25))</f>
        <v/>
      </c>
      <c r="H25" s="22">
        <f>IF(B25="","",SUMIFS(Sales!$I$5:$I$2004,Sales!$D$5:$D$2004,B25))</f>
        <v/>
      </c>
      <c r="I25" s="22">
        <f>IF(B25="","",E25-F25-G25-H25)</f>
        <v/>
      </c>
      <c r="J25" s="23">
        <f>IF(B25="","",IF(E25=0,"",I25/E25))</f>
        <v/>
      </c>
    </row>
    <row r="26">
      <c r="B26">
        <f>IF(Products!B26="","",Products!B26)</f>
        <v/>
      </c>
      <c r="C26">
        <f>IF(B26="","",Products!C26)</f>
        <v/>
      </c>
      <c r="D26">
        <f>IF(B26="","",SUMIFS(Sales!$E$5:$E$2004,Sales!$D$5:$D$2004,B26))</f>
        <v/>
      </c>
      <c r="E26" s="22">
        <f>IF(B26="","",SUMIFS(Sales!$J$5:$J$2004,Sales!$D$5:$D$2004,B26))</f>
        <v/>
      </c>
      <c r="F26" s="22">
        <f>IF(B26="","",SUMIFS(Sales!$K$5:$K$2004,Sales!$D$5:$D$2004,B26)+SUMIFS(Sales!$L$5:$L$2004,Sales!$D$5:$D$2004,B26))</f>
        <v/>
      </c>
      <c r="G26" s="22">
        <f>IF(B26="","",SUMIFS(Sales!$M$5:$M$2004,Sales!$D$5:$D$2004,B26))</f>
        <v/>
      </c>
      <c r="H26" s="22">
        <f>IF(B26="","",SUMIFS(Sales!$I$5:$I$2004,Sales!$D$5:$D$2004,B26))</f>
        <v/>
      </c>
      <c r="I26" s="22">
        <f>IF(B26="","",E26-F26-G26-H26)</f>
        <v/>
      </c>
      <c r="J26" s="23">
        <f>IF(B26="","",IF(E26=0,"",I26/E26))</f>
        <v/>
      </c>
    </row>
    <row r="27">
      <c r="B27">
        <f>IF(Products!B27="","",Products!B27)</f>
        <v/>
      </c>
      <c r="C27">
        <f>IF(B27="","",Products!C27)</f>
        <v/>
      </c>
      <c r="D27">
        <f>IF(B27="","",SUMIFS(Sales!$E$5:$E$2004,Sales!$D$5:$D$2004,B27))</f>
        <v/>
      </c>
      <c r="E27" s="22">
        <f>IF(B27="","",SUMIFS(Sales!$J$5:$J$2004,Sales!$D$5:$D$2004,B27))</f>
        <v/>
      </c>
      <c r="F27" s="22">
        <f>IF(B27="","",SUMIFS(Sales!$K$5:$K$2004,Sales!$D$5:$D$2004,B27)+SUMIFS(Sales!$L$5:$L$2004,Sales!$D$5:$D$2004,B27))</f>
        <v/>
      </c>
      <c r="G27" s="22">
        <f>IF(B27="","",SUMIFS(Sales!$M$5:$M$2004,Sales!$D$5:$D$2004,B27))</f>
        <v/>
      </c>
      <c r="H27" s="22">
        <f>IF(B27="","",SUMIFS(Sales!$I$5:$I$2004,Sales!$D$5:$D$2004,B27))</f>
        <v/>
      </c>
      <c r="I27" s="22">
        <f>IF(B27="","",E27-F27-G27-H27)</f>
        <v/>
      </c>
      <c r="J27" s="23">
        <f>IF(B27="","",IF(E27=0,"",I27/E27))</f>
        <v/>
      </c>
    </row>
    <row r="28">
      <c r="B28">
        <f>IF(Products!B28="","",Products!B28)</f>
        <v/>
      </c>
      <c r="C28">
        <f>IF(B28="","",Products!C28)</f>
        <v/>
      </c>
      <c r="D28">
        <f>IF(B28="","",SUMIFS(Sales!$E$5:$E$2004,Sales!$D$5:$D$2004,B28))</f>
        <v/>
      </c>
      <c r="E28" s="22">
        <f>IF(B28="","",SUMIFS(Sales!$J$5:$J$2004,Sales!$D$5:$D$2004,B28))</f>
        <v/>
      </c>
      <c r="F28" s="22">
        <f>IF(B28="","",SUMIFS(Sales!$K$5:$K$2004,Sales!$D$5:$D$2004,B28)+SUMIFS(Sales!$L$5:$L$2004,Sales!$D$5:$D$2004,B28))</f>
        <v/>
      </c>
      <c r="G28" s="22">
        <f>IF(B28="","",SUMIFS(Sales!$M$5:$M$2004,Sales!$D$5:$D$2004,B28))</f>
        <v/>
      </c>
      <c r="H28" s="22">
        <f>IF(B28="","",SUMIFS(Sales!$I$5:$I$2004,Sales!$D$5:$D$2004,B28))</f>
        <v/>
      </c>
      <c r="I28" s="22">
        <f>IF(B28="","",E28-F28-G28-H28)</f>
        <v/>
      </c>
      <c r="J28" s="23">
        <f>IF(B28="","",IF(E28=0,"",I28/E28))</f>
        <v/>
      </c>
    </row>
    <row r="29">
      <c r="B29">
        <f>IF(Products!B29="","",Products!B29)</f>
        <v/>
      </c>
      <c r="C29">
        <f>IF(B29="","",Products!C29)</f>
        <v/>
      </c>
      <c r="D29">
        <f>IF(B29="","",SUMIFS(Sales!$E$5:$E$2004,Sales!$D$5:$D$2004,B29))</f>
        <v/>
      </c>
      <c r="E29" s="22">
        <f>IF(B29="","",SUMIFS(Sales!$J$5:$J$2004,Sales!$D$5:$D$2004,B29))</f>
        <v/>
      </c>
      <c r="F29" s="22">
        <f>IF(B29="","",SUMIFS(Sales!$K$5:$K$2004,Sales!$D$5:$D$2004,B29)+SUMIFS(Sales!$L$5:$L$2004,Sales!$D$5:$D$2004,B29))</f>
        <v/>
      </c>
      <c r="G29" s="22">
        <f>IF(B29="","",SUMIFS(Sales!$M$5:$M$2004,Sales!$D$5:$D$2004,B29))</f>
        <v/>
      </c>
      <c r="H29" s="22">
        <f>IF(B29="","",SUMIFS(Sales!$I$5:$I$2004,Sales!$D$5:$D$2004,B29))</f>
        <v/>
      </c>
      <c r="I29" s="22">
        <f>IF(B29="","",E29-F29-G29-H29)</f>
        <v/>
      </c>
      <c r="J29" s="23">
        <f>IF(B29="","",IF(E29=0,"",I29/E29))</f>
        <v/>
      </c>
    </row>
    <row r="30">
      <c r="B30">
        <f>IF(Products!B30="","",Products!B30)</f>
        <v/>
      </c>
      <c r="C30">
        <f>IF(B30="","",Products!C30)</f>
        <v/>
      </c>
      <c r="D30">
        <f>IF(B30="","",SUMIFS(Sales!$E$5:$E$2004,Sales!$D$5:$D$2004,B30))</f>
        <v/>
      </c>
      <c r="E30" s="22">
        <f>IF(B30="","",SUMIFS(Sales!$J$5:$J$2004,Sales!$D$5:$D$2004,B30))</f>
        <v/>
      </c>
      <c r="F30" s="22">
        <f>IF(B30="","",SUMIFS(Sales!$K$5:$K$2004,Sales!$D$5:$D$2004,B30)+SUMIFS(Sales!$L$5:$L$2004,Sales!$D$5:$D$2004,B30))</f>
        <v/>
      </c>
      <c r="G30" s="22">
        <f>IF(B30="","",SUMIFS(Sales!$M$5:$M$2004,Sales!$D$5:$D$2004,B30))</f>
        <v/>
      </c>
      <c r="H30" s="22">
        <f>IF(B30="","",SUMIFS(Sales!$I$5:$I$2004,Sales!$D$5:$D$2004,B30))</f>
        <v/>
      </c>
      <c r="I30" s="22">
        <f>IF(B30="","",E30-F30-G30-H30)</f>
        <v/>
      </c>
      <c r="J30" s="23">
        <f>IF(B30="","",IF(E30=0,"",I30/E30))</f>
        <v/>
      </c>
    </row>
    <row r="31">
      <c r="B31">
        <f>IF(Products!B31="","",Products!B31)</f>
        <v/>
      </c>
      <c r="C31">
        <f>IF(B31="","",Products!C31)</f>
        <v/>
      </c>
      <c r="D31">
        <f>IF(B31="","",SUMIFS(Sales!$E$5:$E$2004,Sales!$D$5:$D$2004,B31))</f>
        <v/>
      </c>
      <c r="E31" s="22">
        <f>IF(B31="","",SUMIFS(Sales!$J$5:$J$2004,Sales!$D$5:$D$2004,B31))</f>
        <v/>
      </c>
      <c r="F31" s="22">
        <f>IF(B31="","",SUMIFS(Sales!$K$5:$K$2004,Sales!$D$5:$D$2004,B31)+SUMIFS(Sales!$L$5:$L$2004,Sales!$D$5:$D$2004,B31))</f>
        <v/>
      </c>
      <c r="G31" s="22">
        <f>IF(B31="","",SUMIFS(Sales!$M$5:$M$2004,Sales!$D$5:$D$2004,B31))</f>
        <v/>
      </c>
      <c r="H31" s="22">
        <f>IF(B31="","",SUMIFS(Sales!$I$5:$I$2004,Sales!$D$5:$D$2004,B31))</f>
        <v/>
      </c>
      <c r="I31" s="22">
        <f>IF(B31="","",E31-F31-G31-H31)</f>
        <v/>
      </c>
      <c r="J31" s="23">
        <f>IF(B31="","",IF(E31=0,"",I31/E31))</f>
        <v/>
      </c>
    </row>
    <row r="32">
      <c r="B32">
        <f>IF(Products!B32="","",Products!B32)</f>
        <v/>
      </c>
      <c r="C32">
        <f>IF(B32="","",Products!C32)</f>
        <v/>
      </c>
      <c r="D32">
        <f>IF(B32="","",SUMIFS(Sales!$E$5:$E$2004,Sales!$D$5:$D$2004,B32))</f>
        <v/>
      </c>
      <c r="E32" s="22">
        <f>IF(B32="","",SUMIFS(Sales!$J$5:$J$2004,Sales!$D$5:$D$2004,B32))</f>
        <v/>
      </c>
      <c r="F32" s="22">
        <f>IF(B32="","",SUMIFS(Sales!$K$5:$K$2004,Sales!$D$5:$D$2004,B32)+SUMIFS(Sales!$L$5:$L$2004,Sales!$D$5:$D$2004,B32))</f>
        <v/>
      </c>
      <c r="G32" s="22">
        <f>IF(B32="","",SUMIFS(Sales!$M$5:$M$2004,Sales!$D$5:$D$2004,B32))</f>
        <v/>
      </c>
      <c r="H32" s="22">
        <f>IF(B32="","",SUMIFS(Sales!$I$5:$I$2004,Sales!$D$5:$D$2004,B32))</f>
        <v/>
      </c>
      <c r="I32" s="22">
        <f>IF(B32="","",E32-F32-G32-H32)</f>
        <v/>
      </c>
      <c r="J32" s="23">
        <f>IF(B32="","",IF(E32=0,"",I32/E32))</f>
        <v/>
      </c>
    </row>
    <row r="33">
      <c r="B33">
        <f>IF(Products!B33="","",Products!B33)</f>
        <v/>
      </c>
      <c r="C33">
        <f>IF(B33="","",Products!C33)</f>
        <v/>
      </c>
      <c r="D33">
        <f>IF(B33="","",SUMIFS(Sales!$E$5:$E$2004,Sales!$D$5:$D$2004,B33))</f>
        <v/>
      </c>
      <c r="E33" s="22">
        <f>IF(B33="","",SUMIFS(Sales!$J$5:$J$2004,Sales!$D$5:$D$2004,B33))</f>
        <v/>
      </c>
      <c r="F33" s="22">
        <f>IF(B33="","",SUMIFS(Sales!$K$5:$K$2004,Sales!$D$5:$D$2004,B33)+SUMIFS(Sales!$L$5:$L$2004,Sales!$D$5:$D$2004,B33))</f>
        <v/>
      </c>
      <c r="G33" s="22">
        <f>IF(B33="","",SUMIFS(Sales!$M$5:$M$2004,Sales!$D$5:$D$2004,B33))</f>
        <v/>
      </c>
      <c r="H33" s="22">
        <f>IF(B33="","",SUMIFS(Sales!$I$5:$I$2004,Sales!$D$5:$D$2004,B33))</f>
        <v/>
      </c>
      <c r="I33" s="22">
        <f>IF(B33="","",E33-F33-G33-H33)</f>
        <v/>
      </c>
      <c r="J33" s="23">
        <f>IF(B33="","",IF(E33=0,"",I33/E33))</f>
        <v/>
      </c>
    </row>
    <row r="34">
      <c r="B34">
        <f>IF(Products!B34="","",Products!B34)</f>
        <v/>
      </c>
      <c r="C34">
        <f>IF(B34="","",Products!C34)</f>
        <v/>
      </c>
      <c r="D34">
        <f>IF(B34="","",SUMIFS(Sales!$E$5:$E$2004,Sales!$D$5:$D$2004,B34))</f>
        <v/>
      </c>
      <c r="E34" s="22">
        <f>IF(B34="","",SUMIFS(Sales!$J$5:$J$2004,Sales!$D$5:$D$2004,B34))</f>
        <v/>
      </c>
      <c r="F34" s="22">
        <f>IF(B34="","",SUMIFS(Sales!$K$5:$K$2004,Sales!$D$5:$D$2004,B34)+SUMIFS(Sales!$L$5:$L$2004,Sales!$D$5:$D$2004,B34))</f>
        <v/>
      </c>
      <c r="G34" s="22">
        <f>IF(B34="","",SUMIFS(Sales!$M$5:$M$2004,Sales!$D$5:$D$2004,B34))</f>
        <v/>
      </c>
      <c r="H34" s="22">
        <f>IF(B34="","",SUMIFS(Sales!$I$5:$I$2004,Sales!$D$5:$D$2004,B34))</f>
        <v/>
      </c>
      <c r="I34" s="22">
        <f>IF(B34="","",E34-F34-G34-H34)</f>
        <v/>
      </c>
      <c r="J34" s="23">
        <f>IF(B34="","",IF(E34=0,"",I34/E34))</f>
        <v/>
      </c>
    </row>
    <row r="35">
      <c r="B35">
        <f>IF(Products!B35="","",Products!B35)</f>
        <v/>
      </c>
      <c r="C35">
        <f>IF(B35="","",Products!C35)</f>
        <v/>
      </c>
      <c r="D35">
        <f>IF(B35="","",SUMIFS(Sales!$E$5:$E$2004,Sales!$D$5:$D$2004,B35))</f>
        <v/>
      </c>
      <c r="E35" s="22">
        <f>IF(B35="","",SUMIFS(Sales!$J$5:$J$2004,Sales!$D$5:$D$2004,B35))</f>
        <v/>
      </c>
      <c r="F35" s="22">
        <f>IF(B35="","",SUMIFS(Sales!$K$5:$K$2004,Sales!$D$5:$D$2004,B35)+SUMIFS(Sales!$L$5:$L$2004,Sales!$D$5:$D$2004,B35))</f>
        <v/>
      </c>
      <c r="G35" s="22">
        <f>IF(B35="","",SUMIFS(Sales!$M$5:$M$2004,Sales!$D$5:$D$2004,B35))</f>
        <v/>
      </c>
      <c r="H35" s="22">
        <f>IF(B35="","",SUMIFS(Sales!$I$5:$I$2004,Sales!$D$5:$D$2004,B35))</f>
        <v/>
      </c>
      <c r="I35" s="22">
        <f>IF(B35="","",E35-F35-G35-H35)</f>
        <v/>
      </c>
      <c r="J35" s="23">
        <f>IF(B35="","",IF(E35=0,"",I35/E35))</f>
        <v/>
      </c>
    </row>
    <row r="36">
      <c r="B36">
        <f>IF(Products!B36="","",Products!B36)</f>
        <v/>
      </c>
      <c r="C36">
        <f>IF(B36="","",Products!C36)</f>
        <v/>
      </c>
      <c r="D36">
        <f>IF(B36="","",SUMIFS(Sales!$E$5:$E$2004,Sales!$D$5:$D$2004,B36))</f>
        <v/>
      </c>
      <c r="E36" s="22">
        <f>IF(B36="","",SUMIFS(Sales!$J$5:$J$2004,Sales!$D$5:$D$2004,B36))</f>
        <v/>
      </c>
      <c r="F36" s="22">
        <f>IF(B36="","",SUMIFS(Sales!$K$5:$K$2004,Sales!$D$5:$D$2004,B36)+SUMIFS(Sales!$L$5:$L$2004,Sales!$D$5:$D$2004,B36))</f>
        <v/>
      </c>
      <c r="G36" s="22">
        <f>IF(B36="","",SUMIFS(Sales!$M$5:$M$2004,Sales!$D$5:$D$2004,B36))</f>
        <v/>
      </c>
      <c r="H36" s="22">
        <f>IF(B36="","",SUMIFS(Sales!$I$5:$I$2004,Sales!$D$5:$D$2004,B36))</f>
        <v/>
      </c>
      <c r="I36" s="22">
        <f>IF(B36="","",E36-F36-G36-H36)</f>
        <v/>
      </c>
      <c r="J36" s="23">
        <f>IF(B36="","",IF(E36=0,"",I36/E36))</f>
        <v/>
      </c>
    </row>
    <row r="37">
      <c r="B37">
        <f>IF(Products!B37="","",Products!B37)</f>
        <v/>
      </c>
      <c r="C37">
        <f>IF(B37="","",Products!C37)</f>
        <v/>
      </c>
      <c r="D37">
        <f>IF(B37="","",SUMIFS(Sales!$E$5:$E$2004,Sales!$D$5:$D$2004,B37))</f>
        <v/>
      </c>
      <c r="E37" s="22">
        <f>IF(B37="","",SUMIFS(Sales!$J$5:$J$2004,Sales!$D$5:$D$2004,B37))</f>
        <v/>
      </c>
      <c r="F37" s="22">
        <f>IF(B37="","",SUMIFS(Sales!$K$5:$K$2004,Sales!$D$5:$D$2004,B37)+SUMIFS(Sales!$L$5:$L$2004,Sales!$D$5:$D$2004,B37))</f>
        <v/>
      </c>
      <c r="G37" s="22">
        <f>IF(B37="","",SUMIFS(Sales!$M$5:$M$2004,Sales!$D$5:$D$2004,B37))</f>
        <v/>
      </c>
      <c r="H37" s="22">
        <f>IF(B37="","",SUMIFS(Sales!$I$5:$I$2004,Sales!$D$5:$D$2004,B37))</f>
        <v/>
      </c>
      <c r="I37" s="22">
        <f>IF(B37="","",E37-F37-G37-H37)</f>
        <v/>
      </c>
      <c r="J37" s="23">
        <f>IF(B37="","",IF(E37=0,"",I37/E37))</f>
        <v/>
      </c>
    </row>
    <row r="38">
      <c r="B38">
        <f>IF(Products!B38="","",Products!B38)</f>
        <v/>
      </c>
      <c r="C38">
        <f>IF(B38="","",Products!C38)</f>
        <v/>
      </c>
      <c r="D38">
        <f>IF(B38="","",SUMIFS(Sales!$E$5:$E$2004,Sales!$D$5:$D$2004,B38))</f>
        <v/>
      </c>
      <c r="E38" s="22">
        <f>IF(B38="","",SUMIFS(Sales!$J$5:$J$2004,Sales!$D$5:$D$2004,B38))</f>
        <v/>
      </c>
      <c r="F38" s="22">
        <f>IF(B38="","",SUMIFS(Sales!$K$5:$K$2004,Sales!$D$5:$D$2004,B38)+SUMIFS(Sales!$L$5:$L$2004,Sales!$D$5:$D$2004,B38))</f>
        <v/>
      </c>
      <c r="G38" s="22">
        <f>IF(B38="","",SUMIFS(Sales!$M$5:$M$2004,Sales!$D$5:$D$2004,B38))</f>
        <v/>
      </c>
      <c r="H38" s="22">
        <f>IF(B38="","",SUMIFS(Sales!$I$5:$I$2004,Sales!$D$5:$D$2004,B38))</f>
        <v/>
      </c>
      <c r="I38" s="22">
        <f>IF(B38="","",E38-F38-G38-H38)</f>
        <v/>
      </c>
      <c r="J38" s="23">
        <f>IF(B38="","",IF(E38=0,"",I38/E38))</f>
        <v/>
      </c>
    </row>
    <row r="39">
      <c r="B39">
        <f>IF(Products!B39="","",Products!B39)</f>
        <v/>
      </c>
      <c r="C39">
        <f>IF(B39="","",Products!C39)</f>
        <v/>
      </c>
      <c r="D39">
        <f>IF(B39="","",SUMIFS(Sales!$E$5:$E$2004,Sales!$D$5:$D$2004,B39))</f>
        <v/>
      </c>
      <c r="E39" s="22">
        <f>IF(B39="","",SUMIFS(Sales!$J$5:$J$2004,Sales!$D$5:$D$2004,B39))</f>
        <v/>
      </c>
      <c r="F39" s="22">
        <f>IF(B39="","",SUMIFS(Sales!$K$5:$K$2004,Sales!$D$5:$D$2004,B39)+SUMIFS(Sales!$L$5:$L$2004,Sales!$D$5:$D$2004,B39))</f>
        <v/>
      </c>
      <c r="G39" s="22">
        <f>IF(B39="","",SUMIFS(Sales!$M$5:$M$2004,Sales!$D$5:$D$2004,B39))</f>
        <v/>
      </c>
      <c r="H39" s="22">
        <f>IF(B39="","",SUMIFS(Sales!$I$5:$I$2004,Sales!$D$5:$D$2004,B39))</f>
        <v/>
      </c>
      <c r="I39" s="22">
        <f>IF(B39="","",E39-F39-G39-H39)</f>
        <v/>
      </c>
      <c r="J39" s="23">
        <f>IF(B39="","",IF(E39=0,"",I39/E39))</f>
        <v/>
      </c>
    </row>
    <row r="40">
      <c r="B40">
        <f>IF(Products!B40="","",Products!B40)</f>
        <v/>
      </c>
      <c r="C40">
        <f>IF(B40="","",Products!C40)</f>
        <v/>
      </c>
      <c r="D40">
        <f>IF(B40="","",SUMIFS(Sales!$E$5:$E$2004,Sales!$D$5:$D$2004,B40))</f>
        <v/>
      </c>
      <c r="E40" s="22">
        <f>IF(B40="","",SUMIFS(Sales!$J$5:$J$2004,Sales!$D$5:$D$2004,B40))</f>
        <v/>
      </c>
      <c r="F40" s="22">
        <f>IF(B40="","",SUMIFS(Sales!$K$5:$K$2004,Sales!$D$5:$D$2004,B40)+SUMIFS(Sales!$L$5:$L$2004,Sales!$D$5:$D$2004,B40))</f>
        <v/>
      </c>
      <c r="G40" s="22">
        <f>IF(B40="","",SUMIFS(Sales!$M$5:$M$2004,Sales!$D$5:$D$2004,B40))</f>
        <v/>
      </c>
      <c r="H40" s="22">
        <f>IF(B40="","",SUMIFS(Sales!$I$5:$I$2004,Sales!$D$5:$D$2004,B40))</f>
        <v/>
      </c>
      <c r="I40" s="22">
        <f>IF(B40="","",E40-F40-G40-H40)</f>
        <v/>
      </c>
      <c r="J40" s="23">
        <f>IF(B40="","",IF(E40=0,"",I40/E40))</f>
        <v/>
      </c>
    </row>
    <row r="41">
      <c r="B41">
        <f>IF(Products!B41="","",Products!B41)</f>
        <v/>
      </c>
      <c r="C41">
        <f>IF(B41="","",Products!C41)</f>
        <v/>
      </c>
      <c r="D41">
        <f>IF(B41="","",SUMIFS(Sales!$E$5:$E$2004,Sales!$D$5:$D$2004,B41))</f>
        <v/>
      </c>
      <c r="E41" s="22">
        <f>IF(B41="","",SUMIFS(Sales!$J$5:$J$2004,Sales!$D$5:$D$2004,B41))</f>
        <v/>
      </c>
      <c r="F41" s="22">
        <f>IF(B41="","",SUMIFS(Sales!$K$5:$K$2004,Sales!$D$5:$D$2004,B41)+SUMIFS(Sales!$L$5:$L$2004,Sales!$D$5:$D$2004,B41))</f>
        <v/>
      </c>
      <c r="G41" s="22">
        <f>IF(B41="","",SUMIFS(Sales!$M$5:$M$2004,Sales!$D$5:$D$2004,B41))</f>
        <v/>
      </c>
      <c r="H41" s="22">
        <f>IF(B41="","",SUMIFS(Sales!$I$5:$I$2004,Sales!$D$5:$D$2004,B41))</f>
        <v/>
      </c>
      <c r="I41" s="22">
        <f>IF(B41="","",E41-F41-G41-H41)</f>
        <v/>
      </c>
      <c r="J41" s="23">
        <f>IF(B41="","",IF(E41=0,"",I41/E41))</f>
        <v/>
      </c>
    </row>
    <row r="42">
      <c r="B42">
        <f>IF(Products!B42="","",Products!B42)</f>
        <v/>
      </c>
      <c r="C42">
        <f>IF(B42="","",Products!C42)</f>
        <v/>
      </c>
      <c r="D42">
        <f>IF(B42="","",SUMIFS(Sales!$E$5:$E$2004,Sales!$D$5:$D$2004,B42))</f>
        <v/>
      </c>
      <c r="E42" s="22">
        <f>IF(B42="","",SUMIFS(Sales!$J$5:$J$2004,Sales!$D$5:$D$2004,B42))</f>
        <v/>
      </c>
      <c r="F42" s="22">
        <f>IF(B42="","",SUMIFS(Sales!$K$5:$K$2004,Sales!$D$5:$D$2004,B42)+SUMIFS(Sales!$L$5:$L$2004,Sales!$D$5:$D$2004,B42))</f>
        <v/>
      </c>
      <c r="G42" s="22">
        <f>IF(B42="","",SUMIFS(Sales!$M$5:$M$2004,Sales!$D$5:$D$2004,B42))</f>
        <v/>
      </c>
      <c r="H42" s="22">
        <f>IF(B42="","",SUMIFS(Sales!$I$5:$I$2004,Sales!$D$5:$D$2004,B42))</f>
        <v/>
      </c>
      <c r="I42" s="22">
        <f>IF(B42="","",E42-F42-G42-H42)</f>
        <v/>
      </c>
      <c r="J42" s="23">
        <f>IF(B42="","",IF(E42=0,"",I42/E42))</f>
        <v/>
      </c>
    </row>
    <row r="43">
      <c r="B43">
        <f>IF(Products!B43="","",Products!B43)</f>
        <v/>
      </c>
      <c r="C43">
        <f>IF(B43="","",Products!C43)</f>
        <v/>
      </c>
      <c r="D43">
        <f>IF(B43="","",SUMIFS(Sales!$E$5:$E$2004,Sales!$D$5:$D$2004,B43))</f>
        <v/>
      </c>
      <c r="E43" s="22">
        <f>IF(B43="","",SUMIFS(Sales!$J$5:$J$2004,Sales!$D$5:$D$2004,B43))</f>
        <v/>
      </c>
      <c r="F43" s="22">
        <f>IF(B43="","",SUMIFS(Sales!$K$5:$K$2004,Sales!$D$5:$D$2004,B43)+SUMIFS(Sales!$L$5:$L$2004,Sales!$D$5:$D$2004,B43))</f>
        <v/>
      </c>
      <c r="G43" s="22">
        <f>IF(B43="","",SUMIFS(Sales!$M$5:$M$2004,Sales!$D$5:$D$2004,B43))</f>
        <v/>
      </c>
      <c r="H43" s="22">
        <f>IF(B43="","",SUMIFS(Sales!$I$5:$I$2004,Sales!$D$5:$D$2004,B43))</f>
        <v/>
      </c>
      <c r="I43" s="22">
        <f>IF(B43="","",E43-F43-G43-H43)</f>
        <v/>
      </c>
      <c r="J43" s="23">
        <f>IF(B43="","",IF(E43=0,"",I43/E43))</f>
        <v/>
      </c>
    </row>
    <row r="44">
      <c r="B44">
        <f>IF(Products!B44="","",Products!B44)</f>
        <v/>
      </c>
      <c r="C44">
        <f>IF(B44="","",Products!C44)</f>
        <v/>
      </c>
      <c r="D44">
        <f>IF(B44="","",SUMIFS(Sales!$E$5:$E$2004,Sales!$D$5:$D$2004,B44))</f>
        <v/>
      </c>
      <c r="E44" s="22">
        <f>IF(B44="","",SUMIFS(Sales!$J$5:$J$2004,Sales!$D$5:$D$2004,B44))</f>
        <v/>
      </c>
      <c r="F44" s="22">
        <f>IF(B44="","",SUMIFS(Sales!$K$5:$K$2004,Sales!$D$5:$D$2004,B44)+SUMIFS(Sales!$L$5:$L$2004,Sales!$D$5:$D$2004,B44))</f>
        <v/>
      </c>
      <c r="G44" s="22">
        <f>IF(B44="","",SUMIFS(Sales!$M$5:$M$2004,Sales!$D$5:$D$2004,B44))</f>
        <v/>
      </c>
      <c r="H44" s="22">
        <f>IF(B44="","",SUMIFS(Sales!$I$5:$I$2004,Sales!$D$5:$D$2004,B44))</f>
        <v/>
      </c>
      <c r="I44" s="22">
        <f>IF(B44="","",E44-F44-G44-H44)</f>
        <v/>
      </c>
      <c r="J44" s="23">
        <f>IF(B44="","",IF(E44=0,"",I44/E44))</f>
        <v/>
      </c>
    </row>
    <row r="45">
      <c r="B45">
        <f>IF(Products!B45="","",Products!B45)</f>
        <v/>
      </c>
      <c r="C45">
        <f>IF(B45="","",Products!C45)</f>
        <v/>
      </c>
      <c r="D45">
        <f>IF(B45="","",SUMIFS(Sales!$E$5:$E$2004,Sales!$D$5:$D$2004,B45))</f>
        <v/>
      </c>
      <c r="E45" s="22">
        <f>IF(B45="","",SUMIFS(Sales!$J$5:$J$2004,Sales!$D$5:$D$2004,B45))</f>
        <v/>
      </c>
      <c r="F45" s="22">
        <f>IF(B45="","",SUMIFS(Sales!$K$5:$K$2004,Sales!$D$5:$D$2004,B45)+SUMIFS(Sales!$L$5:$L$2004,Sales!$D$5:$D$2004,B45))</f>
        <v/>
      </c>
      <c r="G45" s="22">
        <f>IF(B45="","",SUMIFS(Sales!$M$5:$M$2004,Sales!$D$5:$D$2004,B45))</f>
        <v/>
      </c>
      <c r="H45" s="22">
        <f>IF(B45="","",SUMIFS(Sales!$I$5:$I$2004,Sales!$D$5:$D$2004,B45))</f>
        <v/>
      </c>
      <c r="I45" s="22">
        <f>IF(B45="","",E45-F45-G45-H45)</f>
        <v/>
      </c>
      <c r="J45" s="23">
        <f>IF(B45="","",IF(E45=0,"",I45/E45))</f>
        <v/>
      </c>
    </row>
    <row r="46">
      <c r="B46">
        <f>IF(Products!B46="","",Products!B46)</f>
        <v/>
      </c>
      <c r="C46">
        <f>IF(B46="","",Products!C46)</f>
        <v/>
      </c>
      <c r="D46">
        <f>IF(B46="","",SUMIFS(Sales!$E$5:$E$2004,Sales!$D$5:$D$2004,B46))</f>
        <v/>
      </c>
      <c r="E46" s="22">
        <f>IF(B46="","",SUMIFS(Sales!$J$5:$J$2004,Sales!$D$5:$D$2004,B46))</f>
        <v/>
      </c>
      <c r="F46" s="22">
        <f>IF(B46="","",SUMIFS(Sales!$K$5:$K$2004,Sales!$D$5:$D$2004,B46)+SUMIFS(Sales!$L$5:$L$2004,Sales!$D$5:$D$2004,B46))</f>
        <v/>
      </c>
      <c r="G46" s="22">
        <f>IF(B46="","",SUMIFS(Sales!$M$5:$M$2004,Sales!$D$5:$D$2004,B46))</f>
        <v/>
      </c>
      <c r="H46" s="22">
        <f>IF(B46="","",SUMIFS(Sales!$I$5:$I$2004,Sales!$D$5:$D$2004,B46))</f>
        <v/>
      </c>
      <c r="I46" s="22">
        <f>IF(B46="","",E46-F46-G46-H46)</f>
        <v/>
      </c>
      <c r="J46" s="23">
        <f>IF(B46="","",IF(E46=0,"",I46/E46))</f>
        <v/>
      </c>
    </row>
    <row r="47">
      <c r="B47">
        <f>IF(Products!B47="","",Products!B47)</f>
        <v/>
      </c>
      <c r="C47">
        <f>IF(B47="","",Products!C47)</f>
        <v/>
      </c>
      <c r="D47">
        <f>IF(B47="","",SUMIFS(Sales!$E$5:$E$2004,Sales!$D$5:$D$2004,B47))</f>
        <v/>
      </c>
      <c r="E47" s="22">
        <f>IF(B47="","",SUMIFS(Sales!$J$5:$J$2004,Sales!$D$5:$D$2004,B47))</f>
        <v/>
      </c>
      <c r="F47" s="22">
        <f>IF(B47="","",SUMIFS(Sales!$K$5:$K$2004,Sales!$D$5:$D$2004,B47)+SUMIFS(Sales!$L$5:$L$2004,Sales!$D$5:$D$2004,B47))</f>
        <v/>
      </c>
      <c r="G47" s="22">
        <f>IF(B47="","",SUMIFS(Sales!$M$5:$M$2004,Sales!$D$5:$D$2004,B47))</f>
        <v/>
      </c>
      <c r="H47" s="22">
        <f>IF(B47="","",SUMIFS(Sales!$I$5:$I$2004,Sales!$D$5:$D$2004,B47))</f>
        <v/>
      </c>
      <c r="I47" s="22">
        <f>IF(B47="","",E47-F47-G47-H47)</f>
        <v/>
      </c>
      <c r="J47" s="23">
        <f>IF(B47="","",IF(E47=0,"",I47/E47))</f>
        <v/>
      </c>
    </row>
    <row r="48">
      <c r="B48">
        <f>IF(Products!B48="","",Products!B48)</f>
        <v/>
      </c>
      <c r="C48">
        <f>IF(B48="","",Products!C48)</f>
        <v/>
      </c>
      <c r="D48">
        <f>IF(B48="","",SUMIFS(Sales!$E$5:$E$2004,Sales!$D$5:$D$2004,B48))</f>
        <v/>
      </c>
      <c r="E48" s="22">
        <f>IF(B48="","",SUMIFS(Sales!$J$5:$J$2004,Sales!$D$5:$D$2004,B48))</f>
        <v/>
      </c>
      <c r="F48" s="22">
        <f>IF(B48="","",SUMIFS(Sales!$K$5:$K$2004,Sales!$D$5:$D$2004,B48)+SUMIFS(Sales!$L$5:$L$2004,Sales!$D$5:$D$2004,B48))</f>
        <v/>
      </c>
      <c r="G48" s="22">
        <f>IF(B48="","",SUMIFS(Sales!$M$5:$M$2004,Sales!$D$5:$D$2004,B48))</f>
        <v/>
      </c>
      <c r="H48" s="22">
        <f>IF(B48="","",SUMIFS(Sales!$I$5:$I$2004,Sales!$D$5:$D$2004,B48))</f>
        <v/>
      </c>
      <c r="I48" s="22">
        <f>IF(B48="","",E48-F48-G48-H48)</f>
        <v/>
      </c>
      <c r="J48" s="23">
        <f>IF(B48="","",IF(E48=0,"",I48/E48))</f>
        <v/>
      </c>
    </row>
    <row r="49">
      <c r="B49">
        <f>IF(Products!B49="","",Products!B49)</f>
        <v/>
      </c>
      <c r="C49">
        <f>IF(B49="","",Products!C49)</f>
        <v/>
      </c>
      <c r="D49">
        <f>IF(B49="","",SUMIFS(Sales!$E$5:$E$2004,Sales!$D$5:$D$2004,B49))</f>
        <v/>
      </c>
      <c r="E49" s="22">
        <f>IF(B49="","",SUMIFS(Sales!$J$5:$J$2004,Sales!$D$5:$D$2004,B49))</f>
        <v/>
      </c>
      <c r="F49" s="22">
        <f>IF(B49="","",SUMIFS(Sales!$K$5:$K$2004,Sales!$D$5:$D$2004,B49)+SUMIFS(Sales!$L$5:$L$2004,Sales!$D$5:$D$2004,B49))</f>
        <v/>
      </c>
      <c r="G49" s="22">
        <f>IF(B49="","",SUMIFS(Sales!$M$5:$M$2004,Sales!$D$5:$D$2004,B49))</f>
        <v/>
      </c>
      <c r="H49" s="22">
        <f>IF(B49="","",SUMIFS(Sales!$I$5:$I$2004,Sales!$D$5:$D$2004,B49))</f>
        <v/>
      </c>
      <c r="I49" s="22">
        <f>IF(B49="","",E49-F49-G49-H49)</f>
        <v/>
      </c>
      <c r="J49" s="23">
        <f>IF(B49="","",IF(E49=0,"",I49/E49))</f>
        <v/>
      </c>
    </row>
    <row r="50">
      <c r="B50">
        <f>IF(Products!B50="","",Products!B50)</f>
        <v/>
      </c>
      <c r="C50">
        <f>IF(B50="","",Products!C50)</f>
        <v/>
      </c>
      <c r="D50">
        <f>IF(B50="","",SUMIFS(Sales!$E$5:$E$2004,Sales!$D$5:$D$2004,B50))</f>
        <v/>
      </c>
      <c r="E50" s="22">
        <f>IF(B50="","",SUMIFS(Sales!$J$5:$J$2004,Sales!$D$5:$D$2004,B50))</f>
        <v/>
      </c>
      <c r="F50" s="22">
        <f>IF(B50="","",SUMIFS(Sales!$K$5:$K$2004,Sales!$D$5:$D$2004,B50)+SUMIFS(Sales!$L$5:$L$2004,Sales!$D$5:$D$2004,B50))</f>
        <v/>
      </c>
      <c r="G50" s="22">
        <f>IF(B50="","",SUMIFS(Sales!$M$5:$M$2004,Sales!$D$5:$D$2004,B50))</f>
        <v/>
      </c>
      <c r="H50" s="22">
        <f>IF(B50="","",SUMIFS(Sales!$I$5:$I$2004,Sales!$D$5:$D$2004,B50))</f>
        <v/>
      </c>
      <c r="I50" s="22">
        <f>IF(B50="","",E50-F50-G50-H50)</f>
        <v/>
      </c>
      <c r="J50" s="23">
        <f>IF(B50="","",IF(E50=0,"",I50/E50))</f>
        <v/>
      </c>
    </row>
    <row r="51">
      <c r="B51">
        <f>IF(Products!B51="","",Products!B51)</f>
        <v/>
      </c>
      <c r="C51">
        <f>IF(B51="","",Products!C51)</f>
        <v/>
      </c>
      <c r="D51">
        <f>IF(B51="","",SUMIFS(Sales!$E$5:$E$2004,Sales!$D$5:$D$2004,B51))</f>
        <v/>
      </c>
      <c r="E51" s="22">
        <f>IF(B51="","",SUMIFS(Sales!$J$5:$J$2004,Sales!$D$5:$D$2004,B51))</f>
        <v/>
      </c>
      <c r="F51" s="22">
        <f>IF(B51="","",SUMIFS(Sales!$K$5:$K$2004,Sales!$D$5:$D$2004,B51)+SUMIFS(Sales!$L$5:$L$2004,Sales!$D$5:$D$2004,B51))</f>
        <v/>
      </c>
      <c r="G51" s="22">
        <f>IF(B51="","",SUMIFS(Sales!$M$5:$M$2004,Sales!$D$5:$D$2004,B51))</f>
        <v/>
      </c>
      <c r="H51" s="22">
        <f>IF(B51="","",SUMIFS(Sales!$I$5:$I$2004,Sales!$D$5:$D$2004,B51))</f>
        <v/>
      </c>
      <c r="I51" s="22">
        <f>IF(B51="","",E51-F51-G51-H51)</f>
        <v/>
      </c>
      <c r="J51" s="23">
        <f>IF(B51="","",IF(E51=0,"",I51/E51))</f>
        <v/>
      </c>
    </row>
    <row r="52">
      <c r="B52">
        <f>IF(Products!B52="","",Products!B52)</f>
        <v/>
      </c>
      <c r="C52">
        <f>IF(B52="","",Products!C52)</f>
        <v/>
      </c>
      <c r="D52">
        <f>IF(B52="","",SUMIFS(Sales!$E$5:$E$2004,Sales!$D$5:$D$2004,B52))</f>
        <v/>
      </c>
      <c r="E52" s="22">
        <f>IF(B52="","",SUMIFS(Sales!$J$5:$J$2004,Sales!$D$5:$D$2004,B52))</f>
        <v/>
      </c>
      <c r="F52" s="22">
        <f>IF(B52="","",SUMIFS(Sales!$K$5:$K$2004,Sales!$D$5:$D$2004,B52)+SUMIFS(Sales!$L$5:$L$2004,Sales!$D$5:$D$2004,B52))</f>
        <v/>
      </c>
      <c r="G52" s="22">
        <f>IF(B52="","",SUMIFS(Sales!$M$5:$M$2004,Sales!$D$5:$D$2004,B52))</f>
        <v/>
      </c>
      <c r="H52" s="22">
        <f>IF(B52="","",SUMIFS(Sales!$I$5:$I$2004,Sales!$D$5:$D$2004,B52))</f>
        <v/>
      </c>
      <c r="I52" s="22">
        <f>IF(B52="","",E52-F52-G52-H52)</f>
        <v/>
      </c>
      <c r="J52" s="23">
        <f>IF(B52="","",IF(E52=0,"",I52/E52))</f>
        <v/>
      </c>
    </row>
    <row r="53">
      <c r="B53">
        <f>IF(Products!B53="","",Products!B53)</f>
        <v/>
      </c>
      <c r="C53">
        <f>IF(B53="","",Products!C53)</f>
        <v/>
      </c>
      <c r="D53">
        <f>IF(B53="","",SUMIFS(Sales!$E$5:$E$2004,Sales!$D$5:$D$2004,B53))</f>
        <v/>
      </c>
      <c r="E53" s="22">
        <f>IF(B53="","",SUMIFS(Sales!$J$5:$J$2004,Sales!$D$5:$D$2004,B53))</f>
        <v/>
      </c>
      <c r="F53" s="22">
        <f>IF(B53="","",SUMIFS(Sales!$K$5:$K$2004,Sales!$D$5:$D$2004,B53)+SUMIFS(Sales!$L$5:$L$2004,Sales!$D$5:$D$2004,B53))</f>
        <v/>
      </c>
      <c r="G53" s="22">
        <f>IF(B53="","",SUMIFS(Sales!$M$5:$M$2004,Sales!$D$5:$D$2004,B53))</f>
        <v/>
      </c>
      <c r="H53" s="22">
        <f>IF(B53="","",SUMIFS(Sales!$I$5:$I$2004,Sales!$D$5:$D$2004,B53))</f>
        <v/>
      </c>
      <c r="I53" s="22">
        <f>IF(B53="","",E53-F53-G53-H53)</f>
        <v/>
      </c>
      <c r="J53" s="23">
        <f>IF(B53="","",IF(E53=0,"",I53/E53))</f>
        <v/>
      </c>
    </row>
    <row r="54">
      <c r="B54">
        <f>IF(Products!B54="","",Products!B54)</f>
        <v/>
      </c>
      <c r="C54">
        <f>IF(B54="","",Products!C54)</f>
        <v/>
      </c>
      <c r="D54">
        <f>IF(B54="","",SUMIFS(Sales!$E$5:$E$2004,Sales!$D$5:$D$2004,B54))</f>
        <v/>
      </c>
      <c r="E54" s="22">
        <f>IF(B54="","",SUMIFS(Sales!$J$5:$J$2004,Sales!$D$5:$D$2004,B54))</f>
        <v/>
      </c>
      <c r="F54" s="22">
        <f>IF(B54="","",SUMIFS(Sales!$K$5:$K$2004,Sales!$D$5:$D$2004,B54)+SUMIFS(Sales!$L$5:$L$2004,Sales!$D$5:$D$2004,B54))</f>
        <v/>
      </c>
      <c r="G54" s="22">
        <f>IF(B54="","",SUMIFS(Sales!$M$5:$M$2004,Sales!$D$5:$D$2004,B54))</f>
        <v/>
      </c>
      <c r="H54" s="22">
        <f>IF(B54="","",SUMIFS(Sales!$I$5:$I$2004,Sales!$D$5:$D$2004,B54))</f>
        <v/>
      </c>
      <c r="I54" s="22">
        <f>IF(B54="","",E54-F54-G54-H54)</f>
        <v/>
      </c>
      <c r="J54" s="23">
        <f>IF(B54="","",IF(E54=0,"",I54/E54))</f>
        <v/>
      </c>
    </row>
    <row r="55">
      <c r="B55">
        <f>IF(Products!B55="","",Products!B55)</f>
        <v/>
      </c>
      <c r="C55">
        <f>IF(B55="","",Products!C55)</f>
        <v/>
      </c>
      <c r="D55">
        <f>IF(B55="","",SUMIFS(Sales!$E$5:$E$2004,Sales!$D$5:$D$2004,B55))</f>
        <v/>
      </c>
      <c r="E55" s="22">
        <f>IF(B55="","",SUMIFS(Sales!$J$5:$J$2004,Sales!$D$5:$D$2004,B55))</f>
        <v/>
      </c>
      <c r="F55" s="22">
        <f>IF(B55="","",SUMIFS(Sales!$K$5:$K$2004,Sales!$D$5:$D$2004,B55)+SUMIFS(Sales!$L$5:$L$2004,Sales!$D$5:$D$2004,B55))</f>
        <v/>
      </c>
      <c r="G55" s="22">
        <f>IF(B55="","",SUMIFS(Sales!$M$5:$M$2004,Sales!$D$5:$D$2004,B55))</f>
        <v/>
      </c>
      <c r="H55" s="22">
        <f>IF(B55="","",SUMIFS(Sales!$I$5:$I$2004,Sales!$D$5:$D$2004,B55))</f>
        <v/>
      </c>
      <c r="I55" s="22">
        <f>IF(B55="","",E55-F55-G55-H55)</f>
        <v/>
      </c>
      <c r="J55" s="23">
        <f>IF(B55="","",IF(E55=0,"",I55/E55))</f>
        <v/>
      </c>
    </row>
    <row r="56">
      <c r="B56">
        <f>IF(Products!B56="","",Products!B56)</f>
        <v/>
      </c>
      <c r="C56">
        <f>IF(B56="","",Products!C56)</f>
        <v/>
      </c>
      <c r="D56">
        <f>IF(B56="","",SUMIFS(Sales!$E$5:$E$2004,Sales!$D$5:$D$2004,B56))</f>
        <v/>
      </c>
      <c r="E56" s="22">
        <f>IF(B56="","",SUMIFS(Sales!$J$5:$J$2004,Sales!$D$5:$D$2004,B56))</f>
        <v/>
      </c>
      <c r="F56" s="22">
        <f>IF(B56="","",SUMIFS(Sales!$K$5:$K$2004,Sales!$D$5:$D$2004,B56)+SUMIFS(Sales!$L$5:$L$2004,Sales!$D$5:$D$2004,B56))</f>
        <v/>
      </c>
      <c r="G56" s="22">
        <f>IF(B56="","",SUMIFS(Sales!$M$5:$M$2004,Sales!$D$5:$D$2004,B56))</f>
        <v/>
      </c>
      <c r="H56" s="22">
        <f>IF(B56="","",SUMIFS(Sales!$I$5:$I$2004,Sales!$D$5:$D$2004,B56))</f>
        <v/>
      </c>
      <c r="I56" s="22">
        <f>IF(B56="","",E56-F56-G56-H56)</f>
        <v/>
      </c>
      <c r="J56" s="23">
        <f>IF(B56="","",IF(E56=0,"",I56/E56))</f>
        <v/>
      </c>
    </row>
    <row r="57">
      <c r="B57">
        <f>IF(Products!B57="","",Products!B57)</f>
        <v/>
      </c>
      <c r="C57">
        <f>IF(B57="","",Products!C57)</f>
        <v/>
      </c>
      <c r="D57">
        <f>IF(B57="","",SUMIFS(Sales!$E$5:$E$2004,Sales!$D$5:$D$2004,B57))</f>
        <v/>
      </c>
      <c r="E57" s="22">
        <f>IF(B57="","",SUMIFS(Sales!$J$5:$J$2004,Sales!$D$5:$D$2004,B57))</f>
        <v/>
      </c>
      <c r="F57" s="22">
        <f>IF(B57="","",SUMIFS(Sales!$K$5:$K$2004,Sales!$D$5:$D$2004,B57)+SUMIFS(Sales!$L$5:$L$2004,Sales!$D$5:$D$2004,B57))</f>
        <v/>
      </c>
      <c r="G57" s="22">
        <f>IF(B57="","",SUMIFS(Sales!$M$5:$M$2004,Sales!$D$5:$D$2004,B57))</f>
        <v/>
      </c>
      <c r="H57" s="22">
        <f>IF(B57="","",SUMIFS(Sales!$I$5:$I$2004,Sales!$D$5:$D$2004,B57))</f>
        <v/>
      </c>
      <c r="I57" s="22">
        <f>IF(B57="","",E57-F57-G57-H57)</f>
        <v/>
      </c>
      <c r="J57" s="23">
        <f>IF(B57="","",IF(E57=0,"",I57/E57))</f>
        <v/>
      </c>
    </row>
    <row r="58">
      <c r="B58">
        <f>IF(Products!B58="","",Products!B58)</f>
        <v/>
      </c>
      <c r="C58">
        <f>IF(B58="","",Products!C58)</f>
        <v/>
      </c>
      <c r="D58">
        <f>IF(B58="","",SUMIFS(Sales!$E$5:$E$2004,Sales!$D$5:$D$2004,B58))</f>
        <v/>
      </c>
      <c r="E58" s="22">
        <f>IF(B58="","",SUMIFS(Sales!$J$5:$J$2004,Sales!$D$5:$D$2004,B58))</f>
        <v/>
      </c>
      <c r="F58" s="22">
        <f>IF(B58="","",SUMIFS(Sales!$K$5:$K$2004,Sales!$D$5:$D$2004,B58)+SUMIFS(Sales!$L$5:$L$2004,Sales!$D$5:$D$2004,B58))</f>
        <v/>
      </c>
      <c r="G58" s="22">
        <f>IF(B58="","",SUMIFS(Sales!$M$5:$M$2004,Sales!$D$5:$D$2004,B58))</f>
        <v/>
      </c>
      <c r="H58" s="22">
        <f>IF(B58="","",SUMIFS(Sales!$I$5:$I$2004,Sales!$D$5:$D$2004,B58))</f>
        <v/>
      </c>
      <c r="I58" s="22">
        <f>IF(B58="","",E58-F58-G58-H58)</f>
        <v/>
      </c>
      <c r="J58" s="23">
        <f>IF(B58="","",IF(E58=0,"",I58/E58))</f>
        <v/>
      </c>
    </row>
    <row r="59">
      <c r="B59">
        <f>IF(Products!B59="","",Products!B59)</f>
        <v/>
      </c>
      <c r="C59">
        <f>IF(B59="","",Products!C59)</f>
        <v/>
      </c>
      <c r="D59">
        <f>IF(B59="","",SUMIFS(Sales!$E$5:$E$2004,Sales!$D$5:$D$2004,B59))</f>
        <v/>
      </c>
      <c r="E59" s="22">
        <f>IF(B59="","",SUMIFS(Sales!$J$5:$J$2004,Sales!$D$5:$D$2004,B59))</f>
        <v/>
      </c>
      <c r="F59" s="22">
        <f>IF(B59="","",SUMIFS(Sales!$K$5:$K$2004,Sales!$D$5:$D$2004,B59)+SUMIFS(Sales!$L$5:$L$2004,Sales!$D$5:$D$2004,B59))</f>
        <v/>
      </c>
      <c r="G59" s="22">
        <f>IF(B59="","",SUMIFS(Sales!$M$5:$M$2004,Sales!$D$5:$D$2004,B59))</f>
        <v/>
      </c>
      <c r="H59" s="22">
        <f>IF(B59="","",SUMIFS(Sales!$I$5:$I$2004,Sales!$D$5:$D$2004,B59))</f>
        <v/>
      </c>
      <c r="I59" s="22">
        <f>IF(B59="","",E59-F59-G59-H59)</f>
        <v/>
      </c>
      <c r="J59" s="23">
        <f>IF(B59="","",IF(E59=0,"",I59/E59))</f>
        <v/>
      </c>
    </row>
    <row r="60">
      <c r="B60">
        <f>IF(Products!B60="","",Products!B60)</f>
        <v/>
      </c>
      <c r="C60">
        <f>IF(B60="","",Products!C60)</f>
        <v/>
      </c>
      <c r="D60">
        <f>IF(B60="","",SUMIFS(Sales!$E$5:$E$2004,Sales!$D$5:$D$2004,B60))</f>
        <v/>
      </c>
      <c r="E60" s="22">
        <f>IF(B60="","",SUMIFS(Sales!$J$5:$J$2004,Sales!$D$5:$D$2004,B60))</f>
        <v/>
      </c>
      <c r="F60" s="22">
        <f>IF(B60="","",SUMIFS(Sales!$K$5:$K$2004,Sales!$D$5:$D$2004,B60)+SUMIFS(Sales!$L$5:$L$2004,Sales!$D$5:$D$2004,B60))</f>
        <v/>
      </c>
      <c r="G60" s="22">
        <f>IF(B60="","",SUMIFS(Sales!$M$5:$M$2004,Sales!$D$5:$D$2004,B60))</f>
        <v/>
      </c>
      <c r="H60" s="22">
        <f>IF(B60="","",SUMIFS(Sales!$I$5:$I$2004,Sales!$D$5:$D$2004,B60))</f>
        <v/>
      </c>
      <c r="I60" s="22">
        <f>IF(B60="","",E60-F60-G60-H60)</f>
        <v/>
      </c>
      <c r="J60" s="23">
        <f>IF(B60="","",IF(E60=0,"",I60/E60))</f>
        <v/>
      </c>
    </row>
    <row r="61">
      <c r="B61">
        <f>IF(Products!B61="","",Products!B61)</f>
        <v/>
      </c>
      <c r="C61">
        <f>IF(B61="","",Products!C61)</f>
        <v/>
      </c>
      <c r="D61">
        <f>IF(B61="","",SUMIFS(Sales!$E$5:$E$2004,Sales!$D$5:$D$2004,B61))</f>
        <v/>
      </c>
      <c r="E61" s="22">
        <f>IF(B61="","",SUMIFS(Sales!$J$5:$J$2004,Sales!$D$5:$D$2004,B61))</f>
        <v/>
      </c>
      <c r="F61" s="22">
        <f>IF(B61="","",SUMIFS(Sales!$K$5:$K$2004,Sales!$D$5:$D$2004,B61)+SUMIFS(Sales!$L$5:$L$2004,Sales!$D$5:$D$2004,B61))</f>
        <v/>
      </c>
      <c r="G61" s="22">
        <f>IF(B61="","",SUMIFS(Sales!$M$5:$M$2004,Sales!$D$5:$D$2004,B61))</f>
        <v/>
      </c>
      <c r="H61" s="22">
        <f>IF(B61="","",SUMIFS(Sales!$I$5:$I$2004,Sales!$D$5:$D$2004,B61))</f>
        <v/>
      </c>
      <c r="I61" s="22">
        <f>IF(B61="","",E61-F61-G61-H61)</f>
        <v/>
      </c>
      <c r="J61" s="23">
        <f>IF(B61="","",IF(E61=0,"",I61/E61))</f>
        <v/>
      </c>
    </row>
    <row r="62">
      <c r="B62">
        <f>IF(Products!B62="","",Products!B62)</f>
        <v/>
      </c>
      <c r="C62">
        <f>IF(B62="","",Products!C62)</f>
        <v/>
      </c>
      <c r="D62">
        <f>IF(B62="","",SUMIFS(Sales!$E$5:$E$2004,Sales!$D$5:$D$2004,B62))</f>
        <v/>
      </c>
      <c r="E62" s="22">
        <f>IF(B62="","",SUMIFS(Sales!$J$5:$J$2004,Sales!$D$5:$D$2004,B62))</f>
        <v/>
      </c>
      <c r="F62" s="22">
        <f>IF(B62="","",SUMIFS(Sales!$K$5:$K$2004,Sales!$D$5:$D$2004,B62)+SUMIFS(Sales!$L$5:$L$2004,Sales!$D$5:$D$2004,B62))</f>
        <v/>
      </c>
      <c r="G62" s="22">
        <f>IF(B62="","",SUMIFS(Sales!$M$5:$M$2004,Sales!$D$5:$D$2004,B62))</f>
        <v/>
      </c>
      <c r="H62" s="22">
        <f>IF(B62="","",SUMIFS(Sales!$I$5:$I$2004,Sales!$D$5:$D$2004,B62))</f>
        <v/>
      </c>
      <c r="I62" s="22">
        <f>IF(B62="","",E62-F62-G62-H62)</f>
        <v/>
      </c>
      <c r="J62" s="23">
        <f>IF(B62="","",IF(E62=0,"",I62/E62))</f>
        <v/>
      </c>
    </row>
    <row r="63">
      <c r="B63">
        <f>IF(Products!B63="","",Products!B63)</f>
        <v/>
      </c>
      <c r="C63">
        <f>IF(B63="","",Products!C63)</f>
        <v/>
      </c>
      <c r="D63">
        <f>IF(B63="","",SUMIFS(Sales!$E$5:$E$2004,Sales!$D$5:$D$2004,B63))</f>
        <v/>
      </c>
      <c r="E63" s="22">
        <f>IF(B63="","",SUMIFS(Sales!$J$5:$J$2004,Sales!$D$5:$D$2004,B63))</f>
        <v/>
      </c>
      <c r="F63" s="22">
        <f>IF(B63="","",SUMIFS(Sales!$K$5:$K$2004,Sales!$D$5:$D$2004,B63)+SUMIFS(Sales!$L$5:$L$2004,Sales!$D$5:$D$2004,B63))</f>
        <v/>
      </c>
      <c r="G63" s="22">
        <f>IF(B63="","",SUMIFS(Sales!$M$5:$M$2004,Sales!$D$5:$D$2004,B63))</f>
        <v/>
      </c>
      <c r="H63" s="22">
        <f>IF(B63="","",SUMIFS(Sales!$I$5:$I$2004,Sales!$D$5:$D$2004,B63))</f>
        <v/>
      </c>
      <c r="I63" s="22">
        <f>IF(B63="","",E63-F63-G63-H63)</f>
        <v/>
      </c>
      <c r="J63" s="23">
        <f>IF(B63="","",IF(E63=0,"",I63/E63))</f>
        <v/>
      </c>
    </row>
    <row r="64">
      <c r="B64">
        <f>IF(Products!B64="","",Products!B64)</f>
        <v/>
      </c>
      <c r="C64">
        <f>IF(B64="","",Products!C64)</f>
        <v/>
      </c>
      <c r="D64">
        <f>IF(B64="","",SUMIFS(Sales!$E$5:$E$2004,Sales!$D$5:$D$2004,B64))</f>
        <v/>
      </c>
      <c r="E64" s="22">
        <f>IF(B64="","",SUMIFS(Sales!$J$5:$J$2004,Sales!$D$5:$D$2004,B64))</f>
        <v/>
      </c>
      <c r="F64" s="22">
        <f>IF(B64="","",SUMIFS(Sales!$K$5:$K$2004,Sales!$D$5:$D$2004,B64)+SUMIFS(Sales!$L$5:$L$2004,Sales!$D$5:$D$2004,B64))</f>
        <v/>
      </c>
      <c r="G64" s="22">
        <f>IF(B64="","",SUMIFS(Sales!$M$5:$M$2004,Sales!$D$5:$D$2004,B64))</f>
        <v/>
      </c>
      <c r="H64" s="22">
        <f>IF(B64="","",SUMIFS(Sales!$I$5:$I$2004,Sales!$D$5:$D$2004,B64))</f>
        <v/>
      </c>
      <c r="I64" s="22">
        <f>IF(B64="","",E64-F64-G64-H64)</f>
        <v/>
      </c>
      <c r="J64" s="23">
        <f>IF(B64="","",IF(E64=0,"",I64/E64))</f>
        <v/>
      </c>
    </row>
    <row r="65">
      <c r="B65">
        <f>IF(Products!B65="","",Products!B65)</f>
        <v/>
      </c>
      <c r="C65">
        <f>IF(B65="","",Products!C65)</f>
        <v/>
      </c>
      <c r="D65">
        <f>IF(B65="","",SUMIFS(Sales!$E$5:$E$2004,Sales!$D$5:$D$2004,B65))</f>
        <v/>
      </c>
      <c r="E65" s="22">
        <f>IF(B65="","",SUMIFS(Sales!$J$5:$J$2004,Sales!$D$5:$D$2004,B65))</f>
        <v/>
      </c>
      <c r="F65" s="22">
        <f>IF(B65="","",SUMIFS(Sales!$K$5:$K$2004,Sales!$D$5:$D$2004,B65)+SUMIFS(Sales!$L$5:$L$2004,Sales!$D$5:$D$2004,B65))</f>
        <v/>
      </c>
      <c r="G65" s="22">
        <f>IF(B65="","",SUMIFS(Sales!$M$5:$M$2004,Sales!$D$5:$D$2004,B65))</f>
        <v/>
      </c>
      <c r="H65" s="22">
        <f>IF(B65="","",SUMIFS(Sales!$I$5:$I$2004,Sales!$D$5:$D$2004,B65))</f>
        <v/>
      </c>
      <c r="I65" s="22">
        <f>IF(B65="","",E65-F65-G65-H65)</f>
        <v/>
      </c>
      <c r="J65" s="23">
        <f>IF(B65="","",IF(E65=0,"",I65/E65))</f>
        <v/>
      </c>
    </row>
    <row r="66">
      <c r="B66">
        <f>IF(Products!B66="","",Products!B66)</f>
        <v/>
      </c>
      <c r="C66">
        <f>IF(B66="","",Products!C66)</f>
        <v/>
      </c>
      <c r="D66">
        <f>IF(B66="","",SUMIFS(Sales!$E$5:$E$2004,Sales!$D$5:$D$2004,B66))</f>
        <v/>
      </c>
      <c r="E66" s="22">
        <f>IF(B66="","",SUMIFS(Sales!$J$5:$J$2004,Sales!$D$5:$D$2004,B66))</f>
        <v/>
      </c>
      <c r="F66" s="22">
        <f>IF(B66="","",SUMIFS(Sales!$K$5:$K$2004,Sales!$D$5:$D$2004,B66)+SUMIFS(Sales!$L$5:$L$2004,Sales!$D$5:$D$2004,B66))</f>
        <v/>
      </c>
      <c r="G66" s="22">
        <f>IF(B66="","",SUMIFS(Sales!$M$5:$M$2004,Sales!$D$5:$D$2004,B66))</f>
        <v/>
      </c>
      <c r="H66" s="22">
        <f>IF(B66="","",SUMIFS(Sales!$I$5:$I$2004,Sales!$D$5:$D$2004,B66))</f>
        <v/>
      </c>
      <c r="I66" s="22">
        <f>IF(B66="","",E66-F66-G66-H66)</f>
        <v/>
      </c>
      <c r="J66" s="23">
        <f>IF(B66="","",IF(E66=0,"",I66/E66))</f>
        <v/>
      </c>
    </row>
    <row r="67">
      <c r="B67">
        <f>IF(Products!B67="","",Products!B67)</f>
        <v/>
      </c>
      <c r="C67">
        <f>IF(B67="","",Products!C67)</f>
        <v/>
      </c>
      <c r="D67">
        <f>IF(B67="","",SUMIFS(Sales!$E$5:$E$2004,Sales!$D$5:$D$2004,B67))</f>
        <v/>
      </c>
      <c r="E67" s="22">
        <f>IF(B67="","",SUMIFS(Sales!$J$5:$J$2004,Sales!$D$5:$D$2004,B67))</f>
        <v/>
      </c>
      <c r="F67" s="22">
        <f>IF(B67="","",SUMIFS(Sales!$K$5:$K$2004,Sales!$D$5:$D$2004,B67)+SUMIFS(Sales!$L$5:$L$2004,Sales!$D$5:$D$2004,B67))</f>
        <v/>
      </c>
      <c r="G67" s="22">
        <f>IF(B67="","",SUMIFS(Sales!$M$5:$M$2004,Sales!$D$5:$D$2004,B67))</f>
        <v/>
      </c>
      <c r="H67" s="22">
        <f>IF(B67="","",SUMIFS(Sales!$I$5:$I$2004,Sales!$D$5:$D$2004,B67))</f>
        <v/>
      </c>
      <c r="I67" s="22">
        <f>IF(B67="","",E67-F67-G67-H67)</f>
        <v/>
      </c>
      <c r="J67" s="23">
        <f>IF(B67="","",IF(E67=0,"",I67/E67))</f>
        <v/>
      </c>
    </row>
    <row r="68">
      <c r="B68">
        <f>IF(Products!B68="","",Products!B68)</f>
        <v/>
      </c>
      <c r="C68">
        <f>IF(B68="","",Products!C68)</f>
        <v/>
      </c>
      <c r="D68">
        <f>IF(B68="","",SUMIFS(Sales!$E$5:$E$2004,Sales!$D$5:$D$2004,B68))</f>
        <v/>
      </c>
      <c r="E68" s="22">
        <f>IF(B68="","",SUMIFS(Sales!$J$5:$J$2004,Sales!$D$5:$D$2004,B68))</f>
        <v/>
      </c>
      <c r="F68" s="22">
        <f>IF(B68="","",SUMIFS(Sales!$K$5:$K$2004,Sales!$D$5:$D$2004,B68)+SUMIFS(Sales!$L$5:$L$2004,Sales!$D$5:$D$2004,B68))</f>
        <v/>
      </c>
      <c r="G68" s="22">
        <f>IF(B68="","",SUMIFS(Sales!$M$5:$M$2004,Sales!$D$5:$D$2004,B68))</f>
        <v/>
      </c>
      <c r="H68" s="22">
        <f>IF(B68="","",SUMIFS(Sales!$I$5:$I$2004,Sales!$D$5:$D$2004,B68))</f>
        <v/>
      </c>
      <c r="I68" s="22">
        <f>IF(B68="","",E68-F68-G68-H68)</f>
        <v/>
      </c>
      <c r="J68" s="23">
        <f>IF(B68="","",IF(E68=0,"",I68/E68))</f>
        <v/>
      </c>
    </row>
    <row r="69">
      <c r="B69">
        <f>IF(Products!B69="","",Products!B69)</f>
        <v/>
      </c>
      <c r="C69">
        <f>IF(B69="","",Products!C69)</f>
        <v/>
      </c>
      <c r="D69">
        <f>IF(B69="","",SUMIFS(Sales!$E$5:$E$2004,Sales!$D$5:$D$2004,B69))</f>
        <v/>
      </c>
      <c r="E69" s="22">
        <f>IF(B69="","",SUMIFS(Sales!$J$5:$J$2004,Sales!$D$5:$D$2004,B69))</f>
        <v/>
      </c>
      <c r="F69" s="22">
        <f>IF(B69="","",SUMIFS(Sales!$K$5:$K$2004,Sales!$D$5:$D$2004,B69)+SUMIFS(Sales!$L$5:$L$2004,Sales!$D$5:$D$2004,B69))</f>
        <v/>
      </c>
      <c r="G69" s="22">
        <f>IF(B69="","",SUMIFS(Sales!$M$5:$M$2004,Sales!$D$5:$D$2004,B69))</f>
        <v/>
      </c>
      <c r="H69" s="22">
        <f>IF(B69="","",SUMIFS(Sales!$I$5:$I$2004,Sales!$D$5:$D$2004,B69))</f>
        <v/>
      </c>
      <c r="I69" s="22">
        <f>IF(B69="","",E69-F69-G69-H69)</f>
        <v/>
      </c>
      <c r="J69" s="23">
        <f>IF(B69="","",IF(E69=0,"",I69/E69))</f>
        <v/>
      </c>
    </row>
    <row r="70">
      <c r="B70">
        <f>IF(Products!B70="","",Products!B70)</f>
        <v/>
      </c>
      <c r="C70">
        <f>IF(B70="","",Products!C70)</f>
        <v/>
      </c>
      <c r="D70">
        <f>IF(B70="","",SUMIFS(Sales!$E$5:$E$2004,Sales!$D$5:$D$2004,B70))</f>
        <v/>
      </c>
      <c r="E70" s="22">
        <f>IF(B70="","",SUMIFS(Sales!$J$5:$J$2004,Sales!$D$5:$D$2004,B70))</f>
        <v/>
      </c>
      <c r="F70" s="22">
        <f>IF(B70="","",SUMIFS(Sales!$K$5:$K$2004,Sales!$D$5:$D$2004,B70)+SUMIFS(Sales!$L$5:$L$2004,Sales!$D$5:$D$2004,B70))</f>
        <v/>
      </c>
      <c r="G70" s="22">
        <f>IF(B70="","",SUMIFS(Sales!$M$5:$M$2004,Sales!$D$5:$D$2004,B70))</f>
        <v/>
      </c>
      <c r="H70" s="22">
        <f>IF(B70="","",SUMIFS(Sales!$I$5:$I$2004,Sales!$D$5:$D$2004,B70))</f>
        <v/>
      </c>
      <c r="I70" s="22">
        <f>IF(B70="","",E70-F70-G70-H70)</f>
        <v/>
      </c>
      <c r="J70" s="23">
        <f>IF(B70="","",IF(E70=0,"",I70/E70))</f>
        <v/>
      </c>
    </row>
    <row r="71">
      <c r="B71">
        <f>IF(Products!B71="","",Products!B71)</f>
        <v/>
      </c>
      <c r="C71">
        <f>IF(B71="","",Products!C71)</f>
        <v/>
      </c>
      <c r="D71">
        <f>IF(B71="","",SUMIFS(Sales!$E$5:$E$2004,Sales!$D$5:$D$2004,B71))</f>
        <v/>
      </c>
      <c r="E71" s="22">
        <f>IF(B71="","",SUMIFS(Sales!$J$5:$J$2004,Sales!$D$5:$D$2004,B71))</f>
        <v/>
      </c>
      <c r="F71" s="22">
        <f>IF(B71="","",SUMIFS(Sales!$K$5:$K$2004,Sales!$D$5:$D$2004,B71)+SUMIFS(Sales!$L$5:$L$2004,Sales!$D$5:$D$2004,B71))</f>
        <v/>
      </c>
      <c r="G71" s="22">
        <f>IF(B71="","",SUMIFS(Sales!$M$5:$M$2004,Sales!$D$5:$D$2004,B71))</f>
        <v/>
      </c>
      <c r="H71" s="22">
        <f>IF(B71="","",SUMIFS(Sales!$I$5:$I$2004,Sales!$D$5:$D$2004,B71))</f>
        <v/>
      </c>
      <c r="I71" s="22">
        <f>IF(B71="","",E71-F71-G71-H71)</f>
        <v/>
      </c>
      <c r="J71" s="23">
        <f>IF(B71="","",IF(E71=0,"",I71/E71))</f>
        <v/>
      </c>
    </row>
    <row r="72">
      <c r="B72">
        <f>IF(Products!B72="","",Products!B72)</f>
        <v/>
      </c>
      <c r="C72">
        <f>IF(B72="","",Products!C72)</f>
        <v/>
      </c>
      <c r="D72">
        <f>IF(B72="","",SUMIFS(Sales!$E$5:$E$2004,Sales!$D$5:$D$2004,B72))</f>
        <v/>
      </c>
      <c r="E72" s="22">
        <f>IF(B72="","",SUMIFS(Sales!$J$5:$J$2004,Sales!$D$5:$D$2004,B72))</f>
        <v/>
      </c>
      <c r="F72" s="22">
        <f>IF(B72="","",SUMIFS(Sales!$K$5:$K$2004,Sales!$D$5:$D$2004,B72)+SUMIFS(Sales!$L$5:$L$2004,Sales!$D$5:$D$2004,B72))</f>
        <v/>
      </c>
      <c r="G72" s="22">
        <f>IF(B72="","",SUMIFS(Sales!$M$5:$M$2004,Sales!$D$5:$D$2004,B72))</f>
        <v/>
      </c>
      <c r="H72" s="22">
        <f>IF(B72="","",SUMIFS(Sales!$I$5:$I$2004,Sales!$D$5:$D$2004,B72))</f>
        <v/>
      </c>
      <c r="I72" s="22">
        <f>IF(B72="","",E72-F72-G72-H72)</f>
        <v/>
      </c>
      <c r="J72" s="23">
        <f>IF(B72="","",IF(E72=0,"",I72/E72))</f>
        <v/>
      </c>
    </row>
    <row r="73">
      <c r="B73">
        <f>IF(Products!B73="","",Products!B73)</f>
        <v/>
      </c>
      <c r="C73">
        <f>IF(B73="","",Products!C73)</f>
        <v/>
      </c>
      <c r="D73">
        <f>IF(B73="","",SUMIFS(Sales!$E$5:$E$2004,Sales!$D$5:$D$2004,B73))</f>
        <v/>
      </c>
      <c r="E73" s="22">
        <f>IF(B73="","",SUMIFS(Sales!$J$5:$J$2004,Sales!$D$5:$D$2004,B73))</f>
        <v/>
      </c>
      <c r="F73" s="22">
        <f>IF(B73="","",SUMIFS(Sales!$K$5:$K$2004,Sales!$D$5:$D$2004,B73)+SUMIFS(Sales!$L$5:$L$2004,Sales!$D$5:$D$2004,B73))</f>
        <v/>
      </c>
      <c r="G73" s="22">
        <f>IF(B73="","",SUMIFS(Sales!$M$5:$M$2004,Sales!$D$5:$D$2004,B73))</f>
        <v/>
      </c>
      <c r="H73" s="22">
        <f>IF(B73="","",SUMIFS(Sales!$I$5:$I$2004,Sales!$D$5:$D$2004,B73))</f>
        <v/>
      </c>
      <c r="I73" s="22">
        <f>IF(B73="","",E73-F73-G73-H73)</f>
        <v/>
      </c>
      <c r="J73" s="23">
        <f>IF(B73="","",IF(E73=0,"",I73/E73))</f>
        <v/>
      </c>
    </row>
    <row r="74">
      <c r="B74">
        <f>IF(Products!B74="","",Products!B74)</f>
        <v/>
      </c>
      <c r="C74">
        <f>IF(B74="","",Products!C74)</f>
        <v/>
      </c>
      <c r="D74">
        <f>IF(B74="","",SUMIFS(Sales!$E$5:$E$2004,Sales!$D$5:$D$2004,B74))</f>
        <v/>
      </c>
      <c r="E74" s="22">
        <f>IF(B74="","",SUMIFS(Sales!$J$5:$J$2004,Sales!$D$5:$D$2004,B74))</f>
        <v/>
      </c>
      <c r="F74" s="22">
        <f>IF(B74="","",SUMIFS(Sales!$K$5:$K$2004,Sales!$D$5:$D$2004,B74)+SUMIFS(Sales!$L$5:$L$2004,Sales!$D$5:$D$2004,B74))</f>
        <v/>
      </c>
      <c r="G74" s="22">
        <f>IF(B74="","",SUMIFS(Sales!$M$5:$M$2004,Sales!$D$5:$D$2004,B74))</f>
        <v/>
      </c>
      <c r="H74" s="22">
        <f>IF(B74="","",SUMIFS(Sales!$I$5:$I$2004,Sales!$D$5:$D$2004,B74))</f>
        <v/>
      </c>
      <c r="I74" s="22">
        <f>IF(B74="","",E74-F74-G74-H74)</f>
        <v/>
      </c>
      <c r="J74" s="23">
        <f>IF(B74="","",IF(E74=0,"",I74/E74))</f>
        <v/>
      </c>
    </row>
    <row r="75">
      <c r="B75">
        <f>IF(Products!B75="","",Products!B75)</f>
        <v/>
      </c>
      <c r="C75">
        <f>IF(B75="","",Products!C75)</f>
        <v/>
      </c>
      <c r="D75">
        <f>IF(B75="","",SUMIFS(Sales!$E$5:$E$2004,Sales!$D$5:$D$2004,B75))</f>
        <v/>
      </c>
      <c r="E75" s="22">
        <f>IF(B75="","",SUMIFS(Sales!$J$5:$J$2004,Sales!$D$5:$D$2004,B75))</f>
        <v/>
      </c>
      <c r="F75" s="22">
        <f>IF(B75="","",SUMIFS(Sales!$K$5:$K$2004,Sales!$D$5:$D$2004,B75)+SUMIFS(Sales!$L$5:$L$2004,Sales!$D$5:$D$2004,B75))</f>
        <v/>
      </c>
      <c r="G75" s="22">
        <f>IF(B75="","",SUMIFS(Sales!$M$5:$M$2004,Sales!$D$5:$D$2004,B75))</f>
        <v/>
      </c>
      <c r="H75" s="22">
        <f>IF(B75="","",SUMIFS(Sales!$I$5:$I$2004,Sales!$D$5:$D$2004,B75))</f>
        <v/>
      </c>
      <c r="I75" s="22">
        <f>IF(B75="","",E75-F75-G75-H75)</f>
        <v/>
      </c>
      <c r="J75" s="23">
        <f>IF(B75="","",IF(E75=0,"",I75/E75))</f>
        <v/>
      </c>
    </row>
    <row r="76">
      <c r="B76">
        <f>IF(Products!B76="","",Products!B76)</f>
        <v/>
      </c>
      <c r="C76">
        <f>IF(B76="","",Products!C76)</f>
        <v/>
      </c>
      <c r="D76">
        <f>IF(B76="","",SUMIFS(Sales!$E$5:$E$2004,Sales!$D$5:$D$2004,B76))</f>
        <v/>
      </c>
      <c r="E76" s="22">
        <f>IF(B76="","",SUMIFS(Sales!$J$5:$J$2004,Sales!$D$5:$D$2004,B76))</f>
        <v/>
      </c>
      <c r="F76" s="22">
        <f>IF(B76="","",SUMIFS(Sales!$K$5:$K$2004,Sales!$D$5:$D$2004,B76)+SUMIFS(Sales!$L$5:$L$2004,Sales!$D$5:$D$2004,B76))</f>
        <v/>
      </c>
      <c r="G76" s="22">
        <f>IF(B76="","",SUMIFS(Sales!$M$5:$M$2004,Sales!$D$5:$D$2004,B76))</f>
        <v/>
      </c>
      <c r="H76" s="22">
        <f>IF(B76="","",SUMIFS(Sales!$I$5:$I$2004,Sales!$D$5:$D$2004,B76))</f>
        <v/>
      </c>
      <c r="I76" s="22">
        <f>IF(B76="","",E76-F76-G76-H76)</f>
        <v/>
      </c>
      <c r="J76" s="23">
        <f>IF(B76="","",IF(E76=0,"",I76/E76))</f>
        <v/>
      </c>
    </row>
    <row r="77">
      <c r="B77">
        <f>IF(Products!B77="","",Products!B77)</f>
        <v/>
      </c>
      <c r="C77">
        <f>IF(B77="","",Products!C77)</f>
        <v/>
      </c>
      <c r="D77">
        <f>IF(B77="","",SUMIFS(Sales!$E$5:$E$2004,Sales!$D$5:$D$2004,B77))</f>
        <v/>
      </c>
      <c r="E77" s="22">
        <f>IF(B77="","",SUMIFS(Sales!$J$5:$J$2004,Sales!$D$5:$D$2004,B77))</f>
        <v/>
      </c>
      <c r="F77" s="22">
        <f>IF(B77="","",SUMIFS(Sales!$K$5:$K$2004,Sales!$D$5:$D$2004,B77)+SUMIFS(Sales!$L$5:$L$2004,Sales!$D$5:$D$2004,B77))</f>
        <v/>
      </c>
      <c r="G77" s="22">
        <f>IF(B77="","",SUMIFS(Sales!$M$5:$M$2004,Sales!$D$5:$D$2004,B77))</f>
        <v/>
      </c>
      <c r="H77" s="22">
        <f>IF(B77="","",SUMIFS(Sales!$I$5:$I$2004,Sales!$D$5:$D$2004,B77))</f>
        <v/>
      </c>
      <c r="I77" s="22">
        <f>IF(B77="","",E77-F77-G77-H77)</f>
        <v/>
      </c>
      <c r="J77" s="23">
        <f>IF(B77="","",IF(E77=0,"",I77/E77))</f>
        <v/>
      </c>
    </row>
    <row r="78">
      <c r="B78">
        <f>IF(Products!B78="","",Products!B78)</f>
        <v/>
      </c>
      <c r="C78">
        <f>IF(B78="","",Products!C78)</f>
        <v/>
      </c>
      <c r="D78">
        <f>IF(B78="","",SUMIFS(Sales!$E$5:$E$2004,Sales!$D$5:$D$2004,B78))</f>
        <v/>
      </c>
      <c r="E78" s="22">
        <f>IF(B78="","",SUMIFS(Sales!$J$5:$J$2004,Sales!$D$5:$D$2004,B78))</f>
        <v/>
      </c>
      <c r="F78" s="22">
        <f>IF(B78="","",SUMIFS(Sales!$K$5:$K$2004,Sales!$D$5:$D$2004,B78)+SUMIFS(Sales!$L$5:$L$2004,Sales!$D$5:$D$2004,B78))</f>
        <v/>
      </c>
      <c r="G78" s="22">
        <f>IF(B78="","",SUMIFS(Sales!$M$5:$M$2004,Sales!$D$5:$D$2004,B78))</f>
        <v/>
      </c>
      <c r="H78" s="22">
        <f>IF(B78="","",SUMIFS(Sales!$I$5:$I$2004,Sales!$D$5:$D$2004,B78))</f>
        <v/>
      </c>
      <c r="I78" s="22">
        <f>IF(B78="","",E78-F78-G78-H78)</f>
        <v/>
      </c>
      <c r="J78" s="23">
        <f>IF(B78="","",IF(E78=0,"",I78/E78))</f>
        <v/>
      </c>
    </row>
    <row r="79">
      <c r="B79">
        <f>IF(Products!B79="","",Products!B79)</f>
        <v/>
      </c>
      <c r="C79">
        <f>IF(B79="","",Products!C79)</f>
        <v/>
      </c>
      <c r="D79">
        <f>IF(B79="","",SUMIFS(Sales!$E$5:$E$2004,Sales!$D$5:$D$2004,B79))</f>
        <v/>
      </c>
      <c r="E79" s="22">
        <f>IF(B79="","",SUMIFS(Sales!$J$5:$J$2004,Sales!$D$5:$D$2004,B79))</f>
        <v/>
      </c>
      <c r="F79" s="22">
        <f>IF(B79="","",SUMIFS(Sales!$K$5:$K$2004,Sales!$D$5:$D$2004,B79)+SUMIFS(Sales!$L$5:$L$2004,Sales!$D$5:$D$2004,B79))</f>
        <v/>
      </c>
      <c r="G79" s="22">
        <f>IF(B79="","",SUMIFS(Sales!$M$5:$M$2004,Sales!$D$5:$D$2004,B79))</f>
        <v/>
      </c>
      <c r="H79" s="22">
        <f>IF(B79="","",SUMIFS(Sales!$I$5:$I$2004,Sales!$D$5:$D$2004,B79))</f>
        <v/>
      </c>
      <c r="I79" s="22">
        <f>IF(B79="","",E79-F79-G79-H79)</f>
        <v/>
      </c>
      <c r="J79" s="23">
        <f>IF(B79="","",IF(E79=0,"",I79/E79))</f>
        <v/>
      </c>
    </row>
    <row r="80">
      <c r="B80">
        <f>IF(Products!B80="","",Products!B80)</f>
        <v/>
      </c>
      <c r="C80">
        <f>IF(B80="","",Products!C80)</f>
        <v/>
      </c>
      <c r="D80">
        <f>IF(B80="","",SUMIFS(Sales!$E$5:$E$2004,Sales!$D$5:$D$2004,B80))</f>
        <v/>
      </c>
      <c r="E80" s="22">
        <f>IF(B80="","",SUMIFS(Sales!$J$5:$J$2004,Sales!$D$5:$D$2004,B80))</f>
        <v/>
      </c>
      <c r="F80" s="22">
        <f>IF(B80="","",SUMIFS(Sales!$K$5:$K$2004,Sales!$D$5:$D$2004,B80)+SUMIFS(Sales!$L$5:$L$2004,Sales!$D$5:$D$2004,B80))</f>
        <v/>
      </c>
      <c r="G80" s="22">
        <f>IF(B80="","",SUMIFS(Sales!$M$5:$M$2004,Sales!$D$5:$D$2004,B80))</f>
        <v/>
      </c>
      <c r="H80" s="22">
        <f>IF(B80="","",SUMIFS(Sales!$I$5:$I$2004,Sales!$D$5:$D$2004,B80))</f>
        <v/>
      </c>
      <c r="I80" s="22">
        <f>IF(B80="","",E80-F80-G80-H80)</f>
        <v/>
      </c>
      <c r="J80" s="23">
        <f>IF(B80="","",IF(E80=0,"",I80/E80))</f>
        <v/>
      </c>
    </row>
    <row r="81">
      <c r="B81">
        <f>IF(Products!B81="","",Products!B81)</f>
        <v/>
      </c>
      <c r="C81">
        <f>IF(B81="","",Products!C81)</f>
        <v/>
      </c>
      <c r="D81">
        <f>IF(B81="","",SUMIFS(Sales!$E$5:$E$2004,Sales!$D$5:$D$2004,B81))</f>
        <v/>
      </c>
      <c r="E81" s="22">
        <f>IF(B81="","",SUMIFS(Sales!$J$5:$J$2004,Sales!$D$5:$D$2004,B81))</f>
        <v/>
      </c>
      <c r="F81" s="22">
        <f>IF(B81="","",SUMIFS(Sales!$K$5:$K$2004,Sales!$D$5:$D$2004,B81)+SUMIFS(Sales!$L$5:$L$2004,Sales!$D$5:$D$2004,B81))</f>
        <v/>
      </c>
      <c r="G81" s="22">
        <f>IF(B81="","",SUMIFS(Sales!$M$5:$M$2004,Sales!$D$5:$D$2004,B81))</f>
        <v/>
      </c>
      <c r="H81" s="22">
        <f>IF(B81="","",SUMIFS(Sales!$I$5:$I$2004,Sales!$D$5:$D$2004,B81))</f>
        <v/>
      </c>
      <c r="I81" s="22">
        <f>IF(B81="","",E81-F81-G81-H81)</f>
        <v/>
      </c>
      <c r="J81" s="23">
        <f>IF(B81="","",IF(E81=0,"",I81/E81))</f>
        <v/>
      </c>
    </row>
    <row r="82">
      <c r="B82">
        <f>IF(Products!B82="","",Products!B82)</f>
        <v/>
      </c>
      <c r="C82">
        <f>IF(B82="","",Products!C82)</f>
        <v/>
      </c>
      <c r="D82">
        <f>IF(B82="","",SUMIFS(Sales!$E$5:$E$2004,Sales!$D$5:$D$2004,B82))</f>
        <v/>
      </c>
      <c r="E82" s="22">
        <f>IF(B82="","",SUMIFS(Sales!$J$5:$J$2004,Sales!$D$5:$D$2004,B82))</f>
        <v/>
      </c>
      <c r="F82" s="22">
        <f>IF(B82="","",SUMIFS(Sales!$K$5:$K$2004,Sales!$D$5:$D$2004,B82)+SUMIFS(Sales!$L$5:$L$2004,Sales!$D$5:$D$2004,B82))</f>
        <v/>
      </c>
      <c r="G82" s="22">
        <f>IF(B82="","",SUMIFS(Sales!$M$5:$M$2004,Sales!$D$5:$D$2004,B82))</f>
        <v/>
      </c>
      <c r="H82" s="22">
        <f>IF(B82="","",SUMIFS(Sales!$I$5:$I$2004,Sales!$D$5:$D$2004,B82))</f>
        <v/>
      </c>
      <c r="I82" s="22">
        <f>IF(B82="","",E82-F82-G82-H82)</f>
        <v/>
      </c>
      <c r="J82" s="23">
        <f>IF(B82="","",IF(E82=0,"",I82/E82))</f>
        <v/>
      </c>
    </row>
    <row r="83">
      <c r="B83">
        <f>IF(Products!B83="","",Products!B83)</f>
        <v/>
      </c>
      <c r="C83">
        <f>IF(B83="","",Products!C83)</f>
        <v/>
      </c>
      <c r="D83">
        <f>IF(B83="","",SUMIFS(Sales!$E$5:$E$2004,Sales!$D$5:$D$2004,B83))</f>
        <v/>
      </c>
      <c r="E83" s="22">
        <f>IF(B83="","",SUMIFS(Sales!$J$5:$J$2004,Sales!$D$5:$D$2004,B83))</f>
        <v/>
      </c>
      <c r="F83" s="22">
        <f>IF(B83="","",SUMIFS(Sales!$K$5:$K$2004,Sales!$D$5:$D$2004,B83)+SUMIFS(Sales!$L$5:$L$2004,Sales!$D$5:$D$2004,B83))</f>
        <v/>
      </c>
      <c r="G83" s="22">
        <f>IF(B83="","",SUMIFS(Sales!$M$5:$M$2004,Sales!$D$5:$D$2004,B83))</f>
        <v/>
      </c>
      <c r="H83" s="22">
        <f>IF(B83="","",SUMIFS(Sales!$I$5:$I$2004,Sales!$D$5:$D$2004,B83))</f>
        <v/>
      </c>
      <c r="I83" s="22">
        <f>IF(B83="","",E83-F83-G83-H83)</f>
        <v/>
      </c>
      <c r="J83" s="23">
        <f>IF(B83="","",IF(E83=0,"",I83/E83))</f>
        <v/>
      </c>
    </row>
    <row r="84">
      <c r="B84">
        <f>IF(Products!B84="","",Products!B84)</f>
        <v/>
      </c>
      <c r="C84">
        <f>IF(B84="","",Products!C84)</f>
        <v/>
      </c>
      <c r="D84">
        <f>IF(B84="","",SUMIFS(Sales!$E$5:$E$2004,Sales!$D$5:$D$2004,B84))</f>
        <v/>
      </c>
      <c r="E84" s="22">
        <f>IF(B84="","",SUMIFS(Sales!$J$5:$J$2004,Sales!$D$5:$D$2004,B84))</f>
        <v/>
      </c>
      <c r="F84" s="22">
        <f>IF(B84="","",SUMIFS(Sales!$K$5:$K$2004,Sales!$D$5:$D$2004,B84)+SUMIFS(Sales!$L$5:$L$2004,Sales!$D$5:$D$2004,B84))</f>
        <v/>
      </c>
      <c r="G84" s="22">
        <f>IF(B84="","",SUMIFS(Sales!$M$5:$M$2004,Sales!$D$5:$D$2004,B84))</f>
        <v/>
      </c>
      <c r="H84" s="22">
        <f>IF(B84="","",SUMIFS(Sales!$I$5:$I$2004,Sales!$D$5:$D$2004,B84))</f>
        <v/>
      </c>
      <c r="I84" s="22">
        <f>IF(B84="","",E84-F84-G84-H84)</f>
        <v/>
      </c>
      <c r="J84" s="23">
        <f>IF(B84="","",IF(E84=0,"",I84/E84))</f>
        <v/>
      </c>
    </row>
    <row r="85">
      <c r="B85">
        <f>IF(Products!B85="","",Products!B85)</f>
        <v/>
      </c>
      <c r="C85">
        <f>IF(B85="","",Products!C85)</f>
        <v/>
      </c>
      <c r="D85">
        <f>IF(B85="","",SUMIFS(Sales!$E$5:$E$2004,Sales!$D$5:$D$2004,B85))</f>
        <v/>
      </c>
      <c r="E85" s="22">
        <f>IF(B85="","",SUMIFS(Sales!$J$5:$J$2004,Sales!$D$5:$D$2004,B85))</f>
        <v/>
      </c>
      <c r="F85" s="22">
        <f>IF(B85="","",SUMIFS(Sales!$K$5:$K$2004,Sales!$D$5:$D$2004,B85)+SUMIFS(Sales!$L$5:$L$2004,Sales!$D$5:$D$2004,B85))</f>
        <v/>
      </c>
      <c r="G85" s="22">
        <f>IF(B85="","",SUMIFS(Sales!$M$5:$M$2004,Sales!$D$5:$D$2004,B85))</f>
        <v/>
      </c>
      <c r="H85" s="22">
        <f>IF(B85="","",SUMIFS(Sales!$I$5:$I$2004,Sales!$D$5:$D$2004,B85))</f>
        <v/>
      </c>
      <c r="I85" s="22">
        <f>IF(B85="","",E85-F85-G85-H85)</f>
        <v/>
      </c>
      <c r="J85" s="23">
        <f>IF(B85="","",IF(E85=0,"",I85/E85))</f>
        <v/>
      </c>
    </row>
    <row r="86">
      <c r="B86">
        <f>IF(Products!B86="","",Products!B86)</f>
        <v/>
      </c>
      <c r="C86">
        <f>IF(B86="","",Products!C86)</f>
        <v/>
      </c>
      <c r="D86">
        <f>IF(B86="","",SUMIFS(Sales!$E$5:$E$2004,Sales!$D$5:$D$2004,B86))</f>
        <v/>
      </c>
      <c r="E86" s="22">
        <f>IF(B86="","",SUMIFS(Sales!$J$5:$J$2004,Sales!$D$5:$D$2004,B86))</f>
        <v/>
      </c>
      <c r="F86" s="22">
        <f>IF(B86="","",SUMIFS(Sales!$K$5:$K$2004,Sales!$D$5:$D$2004,B86)+SUMIFS(Sales!$L$5:$L$2004,Sales!$D$5:$D$2004,B86))</f>
        <v/>
      </c>
      <c r="G86" s="22">
        <f>IF(B86="","",SUMIFS(Sales!$M$5:$M$2004,Sales!$D$5:$D$2004,B86))</f>
        <v/>
      </c>
      <c r="H86" s="22">
        <f>IF(B86="","",SUMIFS(Sales!$I$5:$I$2004,Sales!$D$5:$D$2004,B86))</f>
        <v/>
      </c>
      <c r="I86" s="22">
        <f>IF(B86="","",E86-F86-G86-H86)</f>
        <v/>
      </c>
      <c r="J86" s="23">
        <f>IF(B86="","",IF(E86=0,"",I86/E86))</f>
        <v/>
      </c>
    </row>
    <row r="87">
      <c r="B87">
        <f>IF(Products!B87="","",Products!B87)</f>
        <v/>
      </c>
      <c r="C87">
        <f>IF(B87="","",Products!C87)</f>
        <v/>
      </c>
      <c r="D87">
        <f>IF(B87="","",SUMIFS(Sales!$E$5:$E$2004,Sales!$D$5:$D$2004,B87))</f>
        <v/>
      </c>
      <c r="E87" s="22">
        <f>IF(B87="","",SUMIFS(Sales!$J$5:$J$2004,Sales!$D$5:$D$2004,B87))</f>
        <v/>
      </c>
      <c r="F87" s="22">
        <f>IF(B87="","",SUMIFS(Sales!$K$5:$K$2004,Sales!$D$5:$D$2004,B87)+SUMIFS(Sales!$L$5:$L$2004,Sales!$D$5:$D$2004,B87))</f>
        <v/>
      </c>
      <c r="G87" s="22">
        <f>IF(B87="","",SUMIFS(Sales!$M$5:$M$2004,Sales!$D$5:$D$2004,B87))</f>
        <v/>
      </c>
      <c r="H87" s="22">
        <f>IF(B87="","",SUMIFS(Sales!$I$5:$I$2004,Sales!$D$5:$D$2004,B87))</f>
        <v/>
      </c>
      <c r="I87" s="22">
        <f>IF(B87="","",E87-F87-G87-H87)</f>
        <v/>
      </c>
      <c r="J87" s="23">
        <f>IF(B87="","",IF(E87=0,"",I87/E87))</f>
        <v/>
      </c>
    </row>
    <row r="88">
      <c r="B88">
        <f>IF(Products!B88="","",Products!B88)</f>
        <v/>
      </c>
      <c r="C88">
        <f>IF(B88="","",Products!C88)</f>
        <v/>
      </c>
      <c r="D88">
        <f>IF(B88="","",SUMIFS(Sales!$E$5:$E$2004,Sales!$D$5:$D$2004,B88))</f>
        <v/>
      </c>
      <c r="E88" s="22">
        <f>IF(B88="","",SUMIFS(Sales!$J$5:$J$2004,Sales!$D$5:$D$2004,B88))</f>
        <v/>
      </c>
      <c r="F88" s="22">
        <f>IF(B88="","",SUMIFS(Sales!$K$5:$K$2004,Sales!$D$5:$D$2004,B88)+SUMIFS(Sales!$L$5:$L$2004,Sales!$D$5:$D$2004,B88))</f>
        <v/>
      </c>
      <c r="G88" s="22">
        <f>IF(B88="","",SUMIFS(Sales!$M$5:$M$2004,Sales!$D$5:$D$2004,B88))</f>
        <v/>
      </c>
      <c r="H88" s="22">
        <f>IF(B88="","",SUMIFS(Sales!$I$5:$I$2004,Sales!$D$5:$D$2004,B88))</f>
        <v/>
      </c>
      <c r="I88" s="22">
        <f>IF(B88="","",E88-F88-G88-H88)</f>
        <v/>
      </c>
      <c r="J88" s="23">
        <f>IF(B88="","",IF(E88=0,"",I88/E88))</f>
        <v/>
      </c>
    </row>
    <row r="89">
      <c r="B89">
        <f>IF(Products!B89="","",Products!B89)</f>
        <v/>
      </c>
      <c r="C89">
        <f>IF(B89="","",Products!C89)</f>
        <v/>
      </c>
      <c r="D89">
        <f>IF(B89="","",SUMIFS(Sales!$E$5:$E$2004,Sales!$D$5:$D$2004,B89))</f>
        <v/>
      </c>
      <c r="E89" s="22">
        <f>IF(B89="","",SUMIFS(Sales!$J$5:$J$2004,Sales!$D$5:$D$2004,B89))</f>
        <v/>
      </c>
      <c r="F89" s="22">
        <f>IF(B89="","",SUMIFS(Sales!$K$5:$K$2004,Sales!$D$5:$D$2004,B89)+SUMIFS(Sales!$L$5:$L$2004,Sales!$D$5:$D$2004,B89))</f>
        <v/>
      </c>
      <c r="G89" s="22">
        <f>IF(B89="","",SUMIFS(Sales!$M$5:$M$2004,Sales!$D$5:$D$2004,B89))</f>
        <v/>
      </c>
      <c r="H89" s="22">
        <f>IF(B89="","",SUMIFS(Sales!$I$5:$I$2004,Sales!$D$5:$D$2004,B89))</f>
        <v/>
      </c>
      <c r="I89" s="22">
        <f>IF(B89="","",E89-F89-G89-H89)</f>
        <v/>
      </c>
      <c r="J89" s="23">
        <f>IF(B89="","",IF(E89=0,"",I89/E89))</f>
        <v/>
      </c>
    </row>
    <row r="90">
      <c r="B90">
        <f>IF(Products!B90="","",Products!B90)</f>
        <v/>
      </c>
      <c r="C90">
        <f>IF(B90="","",Products!C90)</f>
        <v/>
      </c>
      <c r="D90">
        <f>IF(B90="","",SUMIFS(Sales!$E$5:$E$2004,Sales!$D$5:$D$2004,B90))</f>
        <v/>
      </c>
      <c r="E90" s="22">
        <f>IF(B90="","",SUMIFS(Sales!$J$5:$J$2004,Sales!$D$5:$D$2004,B90))</f>
        <v/>
      </c>
      <c r="F90" s="22">
        <f>IF(B90="","",SUMIFS(Sales!$K$5:$K$2004,Sales!$D$5:$D$2004,B90)+SUMIFS(Sales!$L$5:$L$2004,Sales!$D$5:$D$2004,B90))</f>
        <v/>
      </c>
      <c r="G90" s="22">
        <f>IF(B90="","",SUMIFS(Sales!$M$5:$M$2004,Sales!$D$5:$D$2004,B90))</f>
        <v/>
      </c>
      <c r="H90" s="22">
        <f>IF(B90="","",SUMIFS(Sales!$I$5:$I$2004,Sales!$D$5:$D$2004,B90))</f>
        <v/>
      </c>
      <c r="I90" s="22">
        <f>IF(B90="","",E90-F90-G90-H90)</f>
        <v/>
      </c>
      <c r="J90" s="23">
        <f>IF(B90="","",IF(E90=0,"",I90/E90))</f>
        <v/>
      </c>
    </row>
    <row r="91">
      <c r="B91">
        <f>IF(Products!B91="","",Products!B91)</f>
        <v/>
      </c>
      <c r="C91">
        <f>IF(B91="","",Products!C91)</f>
        <v/>
      </c>
      <c r="D91">
        <f>IF(B91="","",SUMIFS(Sales!$E$5:$E$2004,Sales!$D$5:$D$2004,B91))</f>
        <v/>
      </c>
      <c r="E91" s="22">
        <f>IF(B91="","",SUMIFS(Sales!$J$5:$J$2004,Sales!$D$5:$D$2004,B91))</f>
        <v/>
      </c>
      <c r="F91" s="22">
        <f>IF(B91="","",SUMIFS(Sales!$K$5:$K$2004,Sales!$D$5:$D$2004,B91)+SUMIFS(Sales!$L$5:$L$2004,Sales!$D$5:$D$2004,B91))</f>
        <v/>
      </c>
      <c r="G91" s="22">
        <f>IF(B91="","",SUMIFS(Sales!$M$5:$M$2004,Sales!$D$5:$D$2004,B91))</f>
        <v/>
      </c>
      <c r="H91" s="22">
        <f>IF(B91="","",SUMIFS(Sales!$I$5:$I$2004,Sales!$D$5:$D$2004,B91))</f>
        <v/>
      </c>
      <c r="I91" s="22">
        <f>IF(B91="","",E91-F91-G91-H91)</f>
        <v/>
      </c>
      <c r="J91" s="23">
        <f>IF(B91="","",IF(E91=0,"",I91/E91))</f>
        <v/>
      </c>
    </row>
    <row r="92">
      <c r="B92">
        <f>IF(Products!B92="","",Products!B92)</f>
        <v/>
      </c>
      <c r="C92">
        <f>IF(B92="","",Products!C92)</f>
        <v/>
      </c>
      <c r="D92">
        <f>IF(B92="","",SUMIFS(Sales!$E$5:$E$2004,Sales!$D$5:$D$2004,B92))</f>
        <v/>
      </c>
      <c r="E92" s="22">
        <f>IF(B92="","",SUMIFS(Sales!$J$5:$J$2004,Sales!$D$5:$D$2004,B92))</f>
        <v/>
      </c>
      <c r="F92" s="22">
        <f>IF(B92="","",SUMIFS(Sales!$K$5:$K$2004,Sales!$D$5:$D$2004,B92)+SUMIFS(Sales!$L$5:$L$2004,Sales!$D$5:$D$2004,B92))</f>
        <v/>
      </c>
      <c r="G92" s="22">
        <f>IF(B92="","",SUMIFS(Sales!$M$5:$M$2004,Sales!$D$5:$D$2004,B92))</f>
        <v/>
      </c>
      <c r="H92" s="22">
        <f>IF(B92="","",SUMIFS(Sales!$I$5:$I$2004,Sales!$D$5:$D$2004,B92))</f>
        <v/>
      </c>
      <c r="I92" s="22">
        <f>IF(B92="","",E92-F92-G92-H92)</f>
        <v/>
      </c>
      <c r="J92" s="23">
        <f>IF(B92="","",IF(E92=0,"",I92/E92))</f>
        <v/>
      </c>
    </row>
    <row r="93">
      <c r="B93">
        <f>IF(Products!B93="","",Products!B93)</f>
        <v/>
      </c>
      <c r="C93">
        <f>IF(B93="","",Products!C93)</f>
        <v/>
      </c>
      <c r="D93">
        <f>IF(B93="","",SUMIFS(Sales!$E$5:$E$2004,Sales!$D$5:$D$2004,B93))</f>
        <v/>
      </c>
      <c r="E93" s="22">
        <f>IF(B93="","",SUMIFS(Sales!$J$5:$J$2004,Sales!$D$5:$D$2004,B93))</f>
        <v/>
      </c>
      <c r="F93" s="22">
        <f>IF(B93="","",SUMIFS(Sales!$K$5:$K$2004,Sales!$D$5:$D$2004,B93)+SUMIFS(Sales!$L$5:$L$2004,Sales!$D$5:$D$2004,B93))</f>
        <v/>
      </c>
      <c r="G93" s="22">
        <f>IF(B93="","",SUMIFS(Sales!$M$5:$M$2004,Sales!$D$5:$D$2004,B93))</f>
        <v/>
      </c>
      <c r="H93" s="22">
        <f>IF(B93="","",SUMIFS(Sales!$I$5:$I$2004,Sales!$D$5:$D$2004,B93))</f>
        <v/>
      </c>
      <c r="I93" s="22">
        <f>IF(B93="","",E93-F93-G93-H93)</f>
        <v/>
      </c>
      <c r="J93" s="23">
        <f>IF(B93="","",IF(E93=0,"",I93/E93))</f>
        <v/>
      </c>
    </row>
    <row r="94">
      <c r="B94">
        <f>IF(Products!B94="","",Products!B94)</f>
        <v/>
      </c>
      <c r="C94">
        <f>IF(B94="","",Products!C94)</f>
        <v/>
      </c>
      <c r="D94">
        <f>IF(B94="","",SUMIFS(Sales!$E$5:$E$2004,Sales!$D$5:$D$2004,B94))</f>
        <v/>
      </c>
      <c r="E94" s="22">
        <f>IF(B94="","",SUMIFS(Sales!$J$5:$J$2004,Sales!$D$5:$D$2004,B94))</f>
        <v/>
      </c>
      <c r="F94" s="22">
        <f>IF(B94="","",SUMIFS(Sales!$K$5:$K$2004,Sales!$D$5:$D$2004,B94)+SUMIFS(Sales!$L$5:$L$2004,Sales!$D$5:$D$2004,B94))</f>
        <v/>
      </c>
      <c r="G94" s="22">
        <f>IF(B94="","",SUMIFS(Sales!$M$5:$M$2004,Sales!$D$5:$D$2004,B94))</f>
        <v/>
      </c>
      <c r="H94" s="22">
        <f>IF(B94="","",SUMIFS(Sales!$I$5:$I$2004,Sales!$D$5:$D$2004,B94))</f>
        <v/>
      </c>
      <c r="I94" s="22">
        <f>IF(B94="","",E94-F94-G94-H94)</f>
        <v/>
      </c>
      <c r="J94" s="23">
        <f>IF(B94="","",IF(E94=0,"",I94/E94))</f>
        <v/>
      </c>
    </row>
    <row r="95">
      <c r="B95">
        <f>IF(Products!B95="","",Products!B95)</f>
        <v/>
      </c>
      <c r="C95">
        <f>IF(B95="","",Products!C95)</f>
        <v/>
      </c>
      <c r="D95">
        <f>IF(B95="","",SUMIFS(Sales!$E$5:$E$2004,Sales!$D$5:$D$2004,B95))</f>
        <v/>
      </c>
      <c r="E95" s="22">
        <f>IF(B95="","",SUMIFS(Sales!$J$5:$J$2004,Sales!$D$5:$D$2004,B95))</f>
        <v/>
      </c>
      <c r="F95" s="22">
        <f>IF(B95="","",SUMIFS(Sales!$K$5:$K$2004,Sales!$D$5:$D$2004,B95)+SUMIFS(Sales!$L$5:$L$2004,Sales!$D$5:$D$2004,B95))</f>
        <v/>
      </c>
      <c r="G95" s="22">
        <f>IF(B95="","",SUMIFS(Sales!$M$5:$M$2004,Sales!$D$5:$D$2004,B95))</f>
        <v/>
      </c>
      <c r="H95" s="22">
        <f>IF(B95="","",SUMIFS(Sales!$I$5:$I$2004,Sales!$D$5:$D$2004,B95))</f>
        <v/>
      </c>
      <c r="I95" s="22">
        <f>IF(B95="","",E95-F95-G95-H95)</f>
        <v/>
      </c>
      <c r="J95" s="23">
        <f>IF(B95="","",IF(E95=0,"",I95/E95))</f>
        <v/>
      </c>
    </row>
    <row r="96">
      <c r="B96">
        <f>IF(Products!B96="","",Products!B96)</f>
        <v/>
      </c>
      <c r="C96">
        <f>IF(B96="","",Products!C96)</f>
        <v/>
      </c>
      <c r="D96">
        <f>IF(B96="","",SUMIFS(Sales!$E$5:$E$2004,Sales!$D$5:$D$2004,B96))</f>
        <v/>
      </c>
      <c r="E96" s="22">
        <f>IF(B96="","",SUMIFS(Sales!$J$5:$J$2004,Sales!$D$5:$D$2004,B96))</f>
        <v/>
      </c>
      <c r="F96" s="22">
        <f>IF(B96="","",SUMIFS(Sales!$K$5:$K$2004,Sales!$D$5:$D$2004,B96)+SUMIFS(Sales!$L$5:$L$2004,Sales!$D$5:$D$2004,B96))</f>
        <v/>
      </c>
      <c r="G96" s="22">
        <f>IF(B96="","",SUMIFS(Sales!$M$5:$M$2004,Sales!$D$5:$D$2004,B96))</f>
        <v/>
      </c>
      <c r="H96" s="22">
        <f>IF(B96="","",SUMIFS(Sales!$I$5:$I$2004,Sales!$D$5:$D$2004,B96))</f>
        <v/>
      </c>
      <c r="I96" s="22">
        <f>IF(B96="","",E96-F96-G96-H96)</f>
        <v/>
      </c>
      <c r="J96" s="23">
        <f>IF(B96="","",IF(E96=0,"",I96/E96))</f>
        <v/>
      </c>
    </row>
    <row r="97">
      <c r="B97">
        <f>IF(Products!B97="","",Products!B97)</f>
        <v/>
      </c>
      <c r="C97">
        <f>IF(B97="","",Products!C97)</f>
        <v/>
      </c>
      <c r="D97">
        <f>IF(B97="","",SUMIFS(Sales!$E$5:$E$2004,Sales!$D$5:$D$2004,B97))</f>
        <v/>
      </c>
      <c r="E97" s="22">
        <f>IF(B97="","",SUMIFS(Sales!$J$5:$J$2004,Sales!$D$5:$D$2004,B97))</f>
        <v/>
      </c>
      <c r="F97" s="22">
        <f>IF(B97="","",SUMIFS(Sales!$K$5:$K$2004,Sales!$D$5:$D$2004,B97)+SUMIFS(Sales!$L$5:$L$2004,Sales!$D$5:$D$2004,B97))</f>
        <v/>
      </c>
      <c r="G97" s="22">
        <f>IF(B97="","",SUMIFS(Sales!$M$5:$M$2004,Sales!$D$5:$D$2004,B97))</f>
        <v/>
      </c>
      <c r="H97" s="22">
        <f>IF(B97="","",SUMIFS(Sales!$I$5:$I$2004,Sales!$D$5:$D$2004,B97))</f>
        <v/>
      </c>
      <c r="I97" s="22">
        <f>IF(B97="","",E97-F97-G97-H97)</f>
        <v/>
      </c>
      <c r="J97" s="23">
        <f>IF(B97="","",IF(E97=0,"",I97/E97))</f>
        <v/>
      </c>
    </row>
    <row r="98">
      <c r="B98">
        <f>IF(Products!B98="","",Products!B98)</f>
        <v/>
      </c>
      <c r="C98">
        <f>IF(B98="","",Products!C98)</f>
        <v/>
      </c>
      <c r="D98">
        <f>IF(B98="","",SUMIFS(Sales!$E$5:$E$2004,Sales!$D$5:$D$2004,B98))</f>
        <v/>
      </c>
      <c r="E98" s="22">
        <f>IF(B98="","",SUMIFS(Sales!$J$5:$J$2004,Sales!$D$5:$D$2004,B98))</f>
        <v/>
      </c>
      <c r="F98" s="22">
        <f>IF(B98="","",SUMIFS(Sales!$K$5:$K$2004,Sales!$D$5:$D$2004,B98)+SUMIFS(Sales!$L$5:$L$2004,Sales!$D$5:$D$2004,B98))</f>
        <v/>
      </c>
      <c r="G98" s="22">
        <f>IF(B98="","",SUMIFS(Sales!$M$5:$M$2004,Sales!$D$5:$D$2004,B98))</f>
        <v/>
      </c>
      <c r="H98" s="22">
        <f>IF(B98="","",SUMIFS(Sales!$I$5:$I$2004,Sales!$D$5:$D$2004,B98))</f>
        <v/>
      </c>
      <c r="I98" s="22">
        <f>IF(B98="","",E98-F98-G98-H98)</f>
        <v/>
      </c>
      <c r="J98" s="23">
        <f>IF(B98="","",IF(E98=0,"",I98/E98))</f>
        <v/>
      </c>
    </row>
    <row r="99">
      <c r="B99">
        <f>IF(Products!B99="","",Products!B99)</f>
        <v/>
      </c>
      <c r="C99">
        <f>IF(B99="","",Products!C99)</f>
        <v/>
      </c>
      <c r="D99">
        <f>IF(B99="","",SUMIFS(Sales!$E$5:$E$2004,Sales!$D$5:$D$2004,B99))</f>
        <v/>
      </c>
      <c r="E99" s="22">
        <f>IF(B99="","",SUMIFS(Sales!$J$5:$J$2004,Sales!$D$5:$D$2004,B99))</f>
        <v/>
      </c>
      <c r="F99" s="22">
        <f>IF(B99="","",SUMIFS(Sales!$K$5:$K$2004,Sales!$D$5:$D$2004,B99)+SUMIFS(Sales!$L$5:$L$2004,Sales!$D$5:$D$2004,B99))</f>
        <v/>
      </c>
      <c r="G99" s="22">
        <f>IF(B99="","",SUMIFS(Sales!$M$5:$M$2004,Sales!$D$5:$D$2004,B99))</f>
        <v/>
      </c>
      <c r="H99" s="22">
        <f>IF(B99="","",SUMIFS(Sales!$I$5:$I$2004,Sales!$D$5:$D$2004,B99))</f>
        <v/>
      </c>
      <c r="I99" s="22">
        <f>IF(B99="","",E99-F99-G99-H99)</f>
        <v/>
      </c>
      <c r="J99" s="23">
        <f>IF(B99="","",IF(E99=0,"",I99/E99))</f>
        <v/>
      </c>
    </row>
    <row r="100">
      <c r="B100">
        <f>IF(Products!B100="","",Products!B100)</f>
        <v/>
      </c>
      <c r="C100">
        <f>IF(B100="","",Products!C100)</f>
        <v/>
      </c>
      <c r="D100">
        <f>IF(B100="","",SUMIFS(Sales!$E$5:$E$2004,Sales!$D$5:$D$2004,B100))</f>
        <v/>
      </c>
      <c r="E100" s="22">
        <f>IF(B100="","",SUMIFS(Sales!$J$5:$J$2004,Sales!$D$5:$D$2004,B100))</f>
        <v/>
      </c>
      <c r="F100" s="22">
        <f>IF(B100="","",SUMIFS(Sales!$K$5:$K$2004,Sales!$D$5:$D$2004,B100)+SUMIFS(Sales!$L$5:$L$2004,Sales!$D$5:$D$2004,B100))</f>
        <v/>
      </c>
      <c r="G100" s="22">
        <f>IF(B100="","",SUMIFS(Sales!$M$5:$M$2004,Sales!$D$5:$D$2004,B100))</f>
        <v/>
      </c>
      <c r="H100" s="22">
        <f>IF(B100="","",SUMIFS(Sales!$I$5:$I$2004,Sales!$D$5:$D$2004,B100))</f>
        <v/>
      </c>
      <c r="I100" s="22">
        <f>IF(B100="","",E100-F100-G100-H100)</f>
        <v/>
      </c>
      <c r="J100" s="23">
        <f>IF(B100="","",IF(E100=0,"",I100/E100))</f>
        <v/>
      </c>
    </row>
    <row r="101">
      <c r="B101">
        <f>IF(Products!B101="","",Products!B101)</f>
        <v/>
      </c>
      <c r="C101">
        <f>IF(B101="","",Products!C101)</f>
        <v/>
      </c>
      <c r="D101">
        <f>IF(B101="","",SUMIFS(Sales!$E$5:$E$2004,Sales!$D$5:$D$2004,B101))</f>
        <v/>
      </c>
      <c r="E101" s="22">
        <f>IF(B101="","",SUMIFS(Sales!$J$5:$J$2004,Sales!$D$5:$D$2004,B101))</f>
        <v/>
      </c>
      <c r="F101" s="22">
        <f>IF(B101="","",SUMIFS(Sales!$K$5:$K$2004,Sales!$D$5:$D$2004,B101)+SUMIFS(Sales!$L$5:$L$2004,Sales!$D$5:$D$2004,B101))</f>
        <v/>
      </c>
      <c r="G101" s="22">
        <f>IF(B101="","",SUMIFS(Sales!$M$5:$M$2004,Sales!$D$5:$D$2004,B101))</f>
        <v/>
      </c>
      <c r="H101" s="22">
        <f>IF(B101="","",SUMIFS(Sales!$I$5:$I$2004,Sales!$D$5:$D$2004,B101))</f>
        <v/>
      </c>
      <c r="I101" s="22">
        <f>IF(B101="","",E101-F101-G101-H101)</f>
        <v/>
      </c>
      <c r="J101" s="23">
        <f>IF(B101="","",IF(E101=0,"",I101/E101))</f>
        <v/>
      </c>
    </row>
    <row r="102">
      <c r="B102">
        <f>IF(Products!B102="","",Products!B102)</f>
        <v/>
      </c>
      <c r="C102">
        <f>IF(B102="","",Products!C102)</f>
        <v/>
      </c>
      <c r="D102">
        <f>IF(B102="","",SUMIFS(Sales!$E$5:$E$2004,Sales!$D$5:$D$2004,B102))</f>
        <v/>
      </c>
      <c r="E102" s="22">
        <f>IF(B102="","",SUMIFS(Sales!$J$5:$J$2004,Sales!$D$5:$D$2004,B102))</f>
        <v/>
      </c>
      <c r="F102" s="22">
        <f>IF(B102="","",SUMIFS(Sales!$K$5:$K$2004,Sales!$D$5:$D$2004,B102)+SUMIFS(Sales!$L$5:$L$2004,Sales!$D$5:$D$2004,B102))</f>
        <v/>
      </c>
      <c r="G102" s="22">
        <f>IF(B102="","",SUMIFS(Sales!$M$5:$M$2004,Sales!$D$5:$D$2004,B102))</f>
        <v/>
      </c>
      <c r="H102" s="22">
        <f>IF(B102="","",SUMIFS(Sales!$I$5:$I$2004,Sales!$D$5:$D$2004,B102))</f>
        <v/>
      </c>
      <c r="I102" s="22">
        <f>IF(B102="","",E102-F102-G102-H102)</f>
        <v/>
      </c>
      <c r="J102" s="23">
        <f>IF(B102="","",IF(E102=0,"",I102/E102))</f>
        <v/>
      </c>
    </row>
    <row r="103">
      <c r="B103">
        <f>IF(Products!B103="","",Products!B103)</f>
        <v/>
      </c>
      <c r="C103">
        <f>IF(B103="","",Products!C103)</f>
        <v/>
      </c>
      <c r="D103">
        <f>IF(B103="","",SUMIFS(Sales!$E$5:$E$2004,Sales!$D$5:$D$2004,B103))</f>
        <v/>
      </c>
      <c r="E103" s="22">
        <f>IF(B103="","",SUMIFS(Sales!$J$5:$J$2004,Sales!$D$5:$D$2004,B103))</f>
        <v/>
      </c>
      <c r="F103" s="22">
        <f>IF(B103="","",SUMIFS(Sales!$K$5:$K$2004,Sales!$D$5:$D$2004,B103)+SUMIFS(Sales!$L$5:$L$2004,Sales!$D$5:$D$2004,B103))</f>
        <v/>
      </c>
      <c r="G103" s="22">
        <f>IF(B103="","",SUMIFS(Sales!$M$5:$M$2004,Sales!$D$5:$D$2004,B103))</f>
        <v/>
      </c>
      <c r="H103" s="22">
        <f>IF(B103="","",SUMIFS(Sales!$I$5:$I$2004,Sales!$D$5:$D$2004,B103))</f>
        <v/>
      </c>
      <c r="I103" s="22">
        <f>IF(B103="","",E103-F103-G103-H103)</f>
        <v/>
      </c>
      <c r="J103" s="23">
        <f>IF(B103="","",IF(E103=0,"",I103/E103))</f>
        <v/>
      </c>
    </row>
    <row r="104">
      <c r="B104">
        <f>IF(Products!B104="","",Products!B104)</f>
        <v/>
      </c>
      <c r="C104">
        <f>IF(B104="","",Products!C104)</f>
        <v/>
      </c>
      <c r="D104">
        <f>IF(B104="","",SUMIFS(Sales!$E$5:$E$2004,Sales!$D$5:$D$2004,B104))</f>
        <v/>
      </c>
      <c r="E104" s="22">
        <f>IF(B104="","",SUMIFS(Sales!$J$5:$J$2004,Sales!$D$5:$D$2004,B104))</f>
        <v/>
      </c>
      <c r="F104" s="22">
        <f>IF(B104="","",SUMIFS(Sales!$K$5:$K$2004,Sales!$D$5:$D$2004,B104)+SUMIFS(Sales!$L$5:$L$2004,Sales!$D$5:$D$2004,B104))</f>
        <v/>
      </c>
      <c r="G104" s="22">
        <f>IF(B104="","",SUMIFS(Sales!$M$5:$M$2004,Sales!$D$5:$D$2004,B104))</f>
        <v/>
      </c>
      <c r="H104" s="22">
        <f>IF(B104="","",SUMIFS(Sales!$I$5:$I$2004,Sales!$D$5:$D$2004,B104))</f>
        <v/>
      </c>
      <c r="I104" s="22">
        <f>IF(B104="","",E104-F104-G104-H104)</f>
        <v/>
      </c>
      <c r="J104" s="23">
        <f>IF(B104="","",IF(E104=0,"",I104/E104))</f>
        <v/>
      </c>
    </row>
    <row r="105">
      <c r="B105">
        <f>IF(Products!B105="","",Products!B105)</f>
        <v/>
      </c>
      <c r="C105">
        <f>IF(B105="","",Products!C105)</f>
        <v/>
      </c>
      <c r="D105">
        <f>IF(B105="","",SUMIFS(Sales!$E$5:$E$2004,Sales!$D$5:$D$2004,B105))</f>
        <v/>
      </c>
      <c r="E105" s="22">
        <f>IF(B105="","",SUMIFS(Sales!$J$5:$J$2004,Sales!$D$5:$D$2004,B105))</f>
        <v/>
      </c>
      <c r="F105" s="22">
        <f>IF(B105="","",SUMIFS(Sales!$K$5:$K$2004,Sales!$D$5:$D$2004,B105)+SUMIFS(Sales!$L$5:$L$2004,Sales!$D$5:$D$2004,B105))</f>
        <v/>
      </c>
      <c r="G105" s="22">
        <f>IF(B105="","",SUMIFS(Sales!$M$5:$M$2004,Sales!$D$5:$D$2004,B105))</f>
        <v/>
      </c>
      <c r="H105" s="22">
        <f>IF(B105="","",SUMIFS(Sales!$I$5:$I$2004,Sales!$D$5:$D$2004,B105))</f>
        <v/>
      </c>
      <c r="I105" s="22">
        <f>IF(B105="","",E105-F105-G105-H105)</f>
        <v/>
      </c>
      <c r="J105" s="23">
        <f>IF(B105="","",IF(E105=0,"",I105/E105))</f>
        <v/>
      </c>
    </row>
    <row r="106">
      <c r="B106">
        <f>IF(Products!B106="","",Products!B106)</f>
        <v/>
      </c>
      <c r="C106">
        <f>IF(B106="","",Products!C106)</f>
        <v/>
      </c>
      <c r="D106">
        <f>IF(B106="","",SUMIFS(Sales!$E$5:$E$2004,Sales!$D$5:$D$2004,B106))</f>
        <v/>
      </c>
      <c r="E106" s="22">
        <f>IF(B106="","",SUMIFS(Sales!$J$5:$J$2004,Sales!$D$5:$D$2004,B106))</f>
        <v/>
      </c>
      <c r="F106" s="22">
        <f>IF(B106="","",SUMIFS(Sales!$K$5:$K$2004,Sales!$D$5:$D$2004,B106)+SUMIFS(Sales!$L$5:$L$2004,Sales!$D$5:$D$2004,B106))</f>
        <v/>
      </c>
      <c r="G106" s="22">
        <f>IF(B106="","",SUMIFS(Sales!$M$5:$M$2004,Sales!$D$5:$D$2004,B106))</f>
        <v/>
      </c>
      <c r="H106" s="22">
        <f>IF(B106="","",SUMIFS(Sales!$I$5:$I$2004,Sales!$D$5:$D$2004,B106))</f>
        <v/>
      </c>
      <c r="I106" s="22">
        <f>IF(B106="","",E106-F106-G106-H106)</f>
        <v/>
      </c>
      <c r="J106" s="23">
        <f>IF(B106="","",IF(E106=0,"",I106/E106))</f>
        <v/>
      </c>
    </row>
    <row r="107">
      <c r="B107">
        <f>IF(Products!B107="","",Products!B107)</f>
        <v/>
      </c>
      <c r="C107">
        <f>IF(B107="","",Products!C107)</f>
        <v/>
      </c>
      <c r="D107">
        <f>IF(B107="","",SUMIFS(Sales!$E$5:$E$2004,Sales!$D$5:$D$2004,B107))</f>
        <v/>
      </c>
      <c r="E107" s="22">
        <f>IF(B107="","",SUMIFS(Sales!$J$5:$J$2004,Sales!$D$5:$D$2004,B107))</f>
        <v/>
      </c>
      <c r="F107" s="22">
        <f>IF(B107="","",SUMIFS(Sales!$K$5:$K$2004,Sales!$D$5:$D$2004,B107)+SUMIFS(Sales!$L$5:$L$2004,Sales!$D$5:$D$2004,B107))</f>
        <v/>
      </c>
      <c r="G107" s="22">
        <f>IF(B107="","",SUMIFS(Sales!$M$5:$M$2004,Sales!$D$5:$D$2004,B107))</f>
        <v/>
      </c>
      <c r="H107" s="22">
        <f>IF(B107="","",SUMIFS(Sales!$I$5:$I$2004,Sales!$D$5:$D$2004,B107))</f>
        <v/>
      </c>
      <c r="I107" s="22">
        <f>IF(B107="","",E107-F107-G107-H107)</f>
        <v/>
      </c>
      <c r="J107" s="23">
        <f>IF(B107="","",IF(E107=0,"",I107/E107))</f>
        <v/>
      </c>
    </row>
    <row r="108">
      <c r="B108">
        <f>IF(Products!B108="","",Products!B108)</f>
        <v/>
      </c>
      <c r="C108">
        <f>IF(B108="","",Products!C108)</f>
        <v/>
      </c>
      <c r="D108">
        <f>IF(B108="","",SUMIFS(Sales!$E$5:$E$2004,Sales!$D$5:$D$2004,B108))</f>
        <v/>
      </c>
      <c r="E108" s="22">
        <f>IF(B108="","",SUMIFS(Sales!$J$5:$J$2004,Sales!$D$5:$D$2004,B108))</f>
        <v/>
      </c>
      <c r="F108" s="22">
        <f>IF(B108="","",SUMIFS(Sales!$K$5:$K$2004,Sales!$D$5:$D$2004,B108)+SUMIFS(Sales!$L$5:$L$2004,Sales!$D$5:$D$2004,B108))</f>
        <v/>
      </c>
      <c r="G108" s="22">
        <f>IF(B108="","",SUMIFS(Sales!$M$5:$M$2004,Sales!$D$5:$D$2004,B108))</f>
        <v/>
      </c>
      <c r="H108" s="22">
        <f>IF(B108="","",SUMIFS(Sales!$I$5:$I$2004,Sales!$D$5:$D$2004,B108))</f>
        <v/>
      </c>
      <c r="I108" s="22">
        <f>IF(B108="","",E108-F108-G108-H108)</f>
        <v/>
      </c>
      <c r="J108" s="23">
        <f>IF(B108="","",IF(E108=0,"",I108/E108))</f>
        <v/>
      </c>
    </row>
    <row r="109">
      <c r="B109">
        <f>IF(Products!B109="","",Products!B109)</f>
        <v/>
      </c>
      <c r="C109">
        <f>IF(B109="","",Products!C109)</f>
        <v/>
      </c>
      <c r="D109">
        <f>IF(B109="","",SUMIFS(Sales!$E$5:$E$2004,Sales!$D$5:$D$2004,B109))</f>
        <v/>
      </c>
      <c r="E109" s="22">
        <f>IF(B109="","",SUMIFS(Sales!$J$5:$J$2004,Sales!$D$5:$D$2004,B109))</f>
        <v/>
      </c>
      <c r="F109" s="22">
        <f>IF(B109="","",SUMIFS(Sales!$K$5:$K$2004,Sales!$D$5:$D$2004,B109)+SUMIFS(Sales!$L$5:$L$2004,Sales!$D$5:$D$2004,B109))</f>
        <v/>
      </c>
      <c r="G109" s="22">
        <f>IF(B109="","",SUMIFS(Sales!$M$5:$M$2004,Sales!$D$5:$D$2004,B109))</f>
        <v/>
      </c>
      <c r="H109" s="22">
        <f>IF(B109="","",SUMIFS(Sales!$I$5:$I$2004,Sales!$D$5:$D$2004,B109))</f>
        <v/>
      </c>
      <c r="I109" s="22">
        <f>IF(B109="","",E109-F109-G109-H109)</f>
        <v/>
      </c>
      <c r="J109" s="23">
        <f>IF(B109="","",IF(E109=0,"",I109/E109))</f>
        <v/>
      </c>
    </row>
    <row r="110">
      <c r="B110">
        <f>IF(Products!B110="","",Products!B110)</f>
        <v/>
      </c>
      <c r="C110">
        <f>IF(B110="","",Products!C110)</f>
        <v/>
      </c>
      <c r="D110">
        <f>IF(B110="","",SUMIFS(Sales!$E$5:$E$2004,Sales!$D$5:$D$2004,B110))</f>
        <v/>
      </c>
      <c r="E110" s="22">
        <f>IF(B110="","",SUMIFS(Sales!$J$5:$J$2004,Sales!$D$5:$D$2004,B110))</f>
        <v/>
      </c>
      <c r="F110" s="22">
        <f>IF(B110="","",SUMIFS(Sales!$K$5:$K$2004,Sales!$D$5:$D$2004,B110)+SUMIFS(Sales!$L$5:$L$2004,Sales!$D$5:$D$2004,B110))</f>
        <v/>
      </c>
      <c r="G110" s="22">
        <f>IF(B110="","",SUMIFS(Sales!$M$5:$M$2004,Sales!$D$5:$D$2004,B110))</f>
        <v/>
      </c>
      <c r="H110" s="22">
        <f>IF(B110="","",SUMIFS(Sales!$I$5:$I$2004,Sales!$D$5:$D$2004,B110))</f>
        <v/>
      </c>
      <c r="I110" s="22">
        <f>IF(B110="","",E110-F110-G110-H110)</f>
        <v/>
      </c>
      <c r="J110" s="23">
        <f>IF(B110="","",IF(E110=0,"",I110/E110))</f>
        <v/>
      </c>
    </row>
    <row r="111">
      <c r="B111">
        <f>IF(Products!B111="","",Products!B111)</f>
        <v/>
      </c>
      <c r="C111">
        <f>IF(B111="","",Products!C111)</f>
        <v/>
      </c>
      <c r="D111">
        <f>IF(B111="","",SUMIFS(Sales!$E$5:$E$2004,Sales!$D$5:$D$2004,B111))</f>
        <v/>
      </c>
      <c r="E111" s="22">
        <f>IF(B111="","",SUMIFS(Sales!$J$5:$J$2004,Sales!$D$5:$D$2004,B111))</f>
        <v/>
      </c>
      <c r="F111" s="22">
        <f>IF(B111="","",SUMIFS(Sales!$K$5:$K$2004,Sales!$D$5:$D$2004,B111)+SUMIFS(Sales!$L$5:$L$2004,Sales!$D$5:$D$2004,B111))</f>
        <v/>
      </c>
      <c r="G111" s="22">
        <f>IF(B111="","",SUMIFS(Sales!$M$5:$M$2004,Sales!$D$5:$D$2004,B111))</f>
        <v/>
      </c>
      <c r="H111" s="22">
        <f>IF(B111="","",SUMIFS(Sales!$I$5:$I$2004,Sales!$D$5:$D$2004,B111))</f>
        <v/>
      </c>
      <c r="I111" s="22">
        <f>IF(B111="","",E111-F111-G111-H111)</f>
        <v/>
      </c>
      <c r="J111" s="23">
        <f>IF(B111="","",IF(E111=0,"",I111/E111))</f>
        <v/>
      </c>
    </row>
    <row r="112">
      <c r="B112">
        <f>IF(Products!B112="","",Products!B112)</f>
        <v/>
      </c>
      <c r="C112">
        <f>IF(B112="","",Products!C112)</f>
        <v/>
      </c>
      <c r="D112">
        <f>IF(B112="","",SUMIFS(Sales!$E$5:$E$2004,Sales!$D$5:$D$2004,B112))</f>
        <v/>
      </c>
      <c r="E112" s="22">
        <f>IF(B112="","",SUMIFS(Sales!$J$5:$J$2004,Sales!$D$5:$D$2004,B112))</f>
        <v/>
      </c>
      <c r="F112" s="22">
        <f>IF(B112="","",SUMIFS(Sales!$K$5:$K$2004,Sales!$D$5:$D$2004,B112)+SUMIFS(Sales!$L$5:$L$2004,Sales!$D$5:$D$2004,B112))</f>
        <v/>
      </c>
      <c r="G112" s="22">
        <f>IF(B112="","",SUMIFS(Sales!$M$5:$M$2004,Sales!$D$5:$D$2004,B112))</f>
        <v/>
      </c>
      <c r="H112" s="22">
        <f>IF(B112="","",SUMIFS(Sales!$I$5:$I$2004,Sales!$D$5:$D$2004,B112))</f>
        <v/>
      </c>
      <c r="I112" s="22">
        <f>IF(B112="","",E112-F112-G112-H112)</f>
        <v/>
      </c>
      <c r="J112" s="23">
        <f>IF(B112="","",IF(E112=0,"",I112/E112))</f>
        <v/>
      </c>
    </row>
    <row r="113">
      <c r="B113">
        <f>IF(Products!B113="","",Products!B113)</f>
        <v/>
      </c>
      <c r="C113">
        <f>IF(B113="","",Products!C113)</f>
        <v/>
      </c>
      <c r="D113">
        <f>IF(B113="","",SUMIFS(Sales!$E$5:$E$2004,Sales!$D$5:$D$2004,B113))</f>
        <v/>
      </c>
      <c r="E113" s="22">
        <f>IF(B113="","",SUMIFS(Sales!$J$5:$J$2004,Sales!$D$5:$D$2004,B113))</f>
        <v/>
      </c>
      <c r="F113" s="22">
        <f>IF(B113="","",SUMIFS(Sales!$K$5:$K$2004,Sales!$D$5:$D$2004,B113)+SUMIFS(Sales!$L$5:$L$2004,Sales!$D$5:$D$2004,B113))</f>
        <v/>
      </c>
      <c r="G113" s="22">
        <f>IF(B113="","",SUMIFS(Sales!$M$5:$M$2004,Sales!$D$5:$D$2004,B113))</f>
        <v/>
      </c>
      <c r="H113" s="22">
        <f>IF(B113="","",SUMIFS(Sales!$I$5:$I$2004,Sales!$D$5:$D$2004,B113))</f>
        <v/>
      </c>
      <c r="I113" s="22">
        <f>IF(B113="","",E113-F113-G113-H113)</f>
        <v/>
      </c>
      <c r="J113" s="23">
        <f>IF(B113="","",IF(E113=0,"",I113/E113))</f>
        <v/>
      </c>
    </row>
    <row r="114">
      <c r="B114">
        <f>IF(Products!B114="","",Products!B114)</f>
        <v/>
      </c>
      <c r="C114">
        <f>IF(B114="","",Products!C114)</f>
        <v/>
      </c>
      <c r="D114">
        <f>IF(B114="","",SUMIFS(Sales!$E$5:$E$2004,Sales!$D$5:$D$2004,B114))</f>
        <v/>
      </c>
      <c r="E114" s="22">
        <f>IF(B114="","",SUMIFS(Sales!$J$5:$J$2004,Sales!$D$5:$D$2004,B114))</f>
        <v/>
      </c>
      <c r="F114" s="22">
        <f>IF(B114="","",SUMIFS(Sales!$K$5:$K$2004,Sales!$D$5:$D$2004,B114)+SUMIFS(Sales!$L$5:$L$2004,Sales!$D$5:$D$2004,B114))</f>
        <v/>
      </c>
      <c r="G114" s="22">
        <f>IF(B114="","",SUMIFS(Sales!$M$5:$M$2004,Sales!$D$5:$D$2004,B114))</f>
        <v/>
      </c>
      <c r="H114" s="22">
        <f>IF(B114="","",SUMIFS(Sales!$I$5:$I$2004,Sales!$D$5:$D$2004,B114))</f>
        <v/>
      </c>
      <c r="I114" s="22">
        <f>IF(B114="","",E114-F114-G114-H114)</f>
        <v/>
      </c>
      <c r="J114" s="23">
        <f>IF(B114="","",IF(E114=0,"",I114/E114))</f>
        <v/>
      </c>
    </row>
    <row r="115">
      <c r="B115">
        <f>IF(Products!B115="","",Products!B115)</f>
        <v/>
      </c>
      <c r="C115">
        <f>IF(B115="","",Products!C115)</f>
        <v/>
      </c>
      <c r="D115">
        <f>IF(B115="","",SUMIFS(Sales!$E$5:$E$2004,Sales!$D$5:$D$2004,B115))</f>
        <v/>
      </c>
      <c r="E115" s="22">
        <f>IF(B115="","",SUMIFS(Sales!$J$5:$J$2004,Sales!$D$5:$D$2004,B115))</f>
        <v/>
      </c>
      <c r="F115" s="22">
        <f>IF(B115="","",SUMIFS(Sales!$K$5:$K$2004,Sales!$D$5:$D$2004,B115)+SUMIFS(Sales!$L$5:$L$2004,Sales!$D$5:$D$2004,B115))</f>
        <v/>
      </c>
      <c r="G115" s="22">
        <f>IF(B115="","",SUMIFS(Sales!$M$5:$M$2004,Sales!$D$5:$D$2004,B115))</f>
        <v/>
      </c>
      <c r="H115" s="22">
        <f>IF(B115="","",SUMIFS(Sales!$I$5:$I$2004,Sales!$D$5:$D$2004,B115))</f>
        <v/>
      </c>
      <c r="I115" s="22">
        <f>IF(B115="","",E115-F115-G115-H115)</f>
        <v/>
      </c>
      <c r="J115" s="23">
        <f>IF(B115="","",IF(E115=0,"",I115/E115))</f>
        <v/>
      </c>
    </row>
    <row r="116">
      <c r="B116">
        <f>IF(Products!B116="","",Products!B116)</f>
        <v/>
      </c>
      <c r="C116">
        <f>IF(B116="","",Products!C116)</f>
        <v/>
      </c>
      <c r="D116">
        <f>IF(B116="","",SUMIFS(Sales!$E$5:$E$2004,Sales!$D$5:$D$2004,B116))</f>
        <v/>
      </c>
      <c r="E116" s="22">
        <f>IF(B116="","",SUMIFS(Sales!$J$5:$J$2004,Sales!$D$5:$D$2004,B116))</f>
        <v/>
      </c>
      <c r="F116" s="22">
        <f>IF(B116="","",SUMIFS(Sales!$K$5:$K$2004,Sales!$D$5:$D$2004,B116)+SUMIFS(Sales!$L$5:$L$2004,Sales!$D$5:$D$2004,B116))</f>
        <v/>
      </c>
      <c r="G116" s="22">
        <f>IF(B116="","",SUMIFS(Sales!$M$5:$M$2004,Sales!$D$5:$D$2004,B116))</f>
        <v/>
      </c>
      <c r="H116" s="22">
        <f>IF(B116="","",SUMIFS(Sales!$I$5:$I$2004,Sales!$D$5:$D$2004,B116))</f>
        <v/>
      </c>
      <c r="I116" s="22">
        <f>IF(B116="","",E116-F116-G116-H116)</f>
        <v/>
      </c>
      <c r="J116" s="23">
        <f>IF(B116="","",IF(E116=0,"",I116/E116))</f>
        <v/>
      </c>
    </row>
    <row r="117">
      <c r="B117">
        <f>IF(Products!B117="","",Products!B117)</f>
        <v/>
      </c>
      <c r="C117">
        <f>IF(B117="","",Products!C117)</f>
        <v/>
      </c>
      <c r="D117">
        <f>IF(B117="","",SUMIFS(Sales!$E$5:$E$2004,Sales!$D$5:$D$2004,B117))</f>
        <v/>
      </c>
      <c r="E117" s="22">
        <f>IF(B117="","",SUMIFS(Sales!$J$5:$J$2004,Sales!$D$5:$D$2004,B117))</f>
        <v/>
      </c>
      <c r="F117" s="22">
        <f>IF(B117="","",SUMIFS(Sales!$K$5:$K$2004,Sales!$D$5:$D$2004,B117)+SUMIFS(Sales!$L$5:$L$2004,Sales!$D$5:$D$2004,B117))</f>
        <v/>
      </c>
      <c r="G117" s="22">
        <f>IF(B117="","",SUMIFS(Sales!$M$5:$M$2004,Sales!$D$5:$D$2004,B117))</f>
        <v/>
      </c>
      <c r="H117" s="22">
        <f>IF(B117="","",SUMIFS(Sales!$I$5:$I$2004,Sales!$D$5:$D$2004,B117))</f>
        <v/>
      </c>
      <c r="I117" s="22">
        <f>IF(B117="","",E117-F117-G117-H117)</f>
        <v/>
      </c>
      <c r="J117" s="23">
        <f>IF(B117="","",IF(E117=0,"",I117/E117))</f>
        <v/>
      </c>
    </row>
    <row r="118">
      <c r="B118">
        <f>IF(Products!B118="","",Products!B118)</f>
        <v/>
      </c>
      <c r="C118">
        <f>IF(B118="","",Products!C118)</f>
        <v/>
      </c>
      <c r="D118">
        <f>IF(B118="","",SUMIFS(Sales!$E$5:$E$2004,Sales!$D$5:$D$2004,B118))</f>
        <v/>
      </c>
      <c r="E118" s="22">
        <f>IF(B118="","",SUMIFS(Sales!$J$5:$J$2004,Sales!$D$5:$D$2004,B118))</f>
        <v/>
      </c>
      <c r="F118" s="22">
        <f>IF(B118="","",SUMIFS(Sales!$K$5:$K$2004,Sales!$D$5:$D$2004,B118)+SUMIFS(Sales!$L$5:$L$2004,Sales!$D$5:$D$2004,B118))</f>
        <v/>
      </c>
      <c r="G118" s="22">
        <f>IF(B118="","",SUMIFS(Sales!$M$5:$M$2004,Sales!$D$5:$D$2004,B118))</f>
        <v/>
      </c>
      <c r="H118" s="22">
        <f>IF(B118="","",SUMIFS(Sales!$I$5:$I$2004,Sales!$D$5:$D$2004,B118))</f>
        <v/>
      </c>
      <c r="I118" s="22">
        <f>IF(B118="","",E118-F118-G118-H118)</f>
        <v/>
      </c>
      <c r="J118" s="23">
        <f>IF(B118="","",IF(E118=0,"",I118/E118))</f>
        <v/>
      </c>
    </row>
    <row r="119">
      <c r="B119">
        <f>IF(Products!B119="","",Products!B119)</f>
        <v/>
      </c>
      <c r="C119">
        <f>IF(B119="","",Products!C119)</f>
        <v/>
      </c>
      <c r="D119">
        <f>IF(B119="","",SUMIFS(Sales!$E$5:$E$2004,Sales!$D$5:$D$2004,B119))</f>
        <v/>
      </c>
      <c r="E119" s="22">
        <f>IF(B119="","",SUMIFS(Sales!$J$5:$J$2004,Sales!$D$5:$D$2004,B119))</f>
        <v/>
      </c>
      <c r="F119" s="22">
        <f>IF(B119="","",SUMIFS(Sales!$K$5:$K$2004,Sales!$D$5:$D$2004,B119)+SUMIFS(Sales!$L$5:$L$2004,Sales!$D$5:$D$2004,B119))</f>
        <v/>
      </c>
      <c r="G119" s="22">
        <f>IF(B119="","",SUMIFS(Sales!$M$5:$M$2004,Sales!$D$5:$D$2004,B119))</f>
        <v/>
      </c>
      <c r="H119" s="22">
        <f>IF(B119="","",SUMIFS(Sales!$I$5:$I$2004,Sales!$D$5:$D$2004,B119))</f>
        <v/>
      </c>
      <c r="I119" s="22">
        <f>IF(B119="","",E119-F119-G119-H119)</f>
        <v/>
      </c>
      <c r="J119" s="23">
        <f>IF(B119="","",IF(E119=0,"",I119/E119))</f>
        <v/>
      </c>
    </row>
    <row r="120">
      <c r="B120">
        <f>IF(Products!B120="","",Products!B120)</f>
        <v/>
      </c>
      <c r="C120">
        <f>IF(B120="","",Products!C120)</f>
        <v/>
      </c>
      <c r="D120">
        <f>IF(B120="","",SUMIFS(Sales!$E$5:$E$2004,Sales!$D$5:$D$2004,B120))</f>
        <v/>
      </c>
      <c r="E120" s="22">
        <f>IF(B120="","",SUMIFS(Sales!$J$5:$J$2004,Sales!$D$5:$D$2004,B120))</f>
        <v/>
      </c>
      <c r="F120" s="22">
        <f>IF(B120="","",SUMIFS(Sales!$K$5:$K$2004,Sales!$D$5:$D$2004,B120)+SUMIFS(Sales!$L$5:$L$2004,Sales!$D$5:$D$2004,B120))</f>
        <v/>
      </c>
      <c r="G120" s="22">
        <f>IF(B120="","",SUMIFS(Sales!$M$5:$M$2004,Sales!$D$5:$D$2004,B120))</f>
        <v/>
      </c>
      <c r="H120" s="22">
        <f>IF(B120="","",SUMIFS(Sales!$I$5:$I$2004,Sales!$D$5:$D$2004,B120))</f>
        <v/>
      </c>
      <c r="I120" s="22">
        <f>IF(B120="","",E120-F120-G120-H120)</f>
        <v/>
      </c>
      <c r="J120" s="23">
        <f>IF(B120="","",IF(E120=0,"",I120/E120))</f>
        <v/>
      </c>
    </row>
    <row r="121">
      <c r="B121">
        <f>IF(Products!B121="","",Products!B121)</f>
        <v/>
      </c>
      <c r="C121">
        <f>IF(B121="","",Products!C121)</f>
        <v/>
      </c>
      <c r="D121">
        <f>IF(B121="","",SUMIFS(Sales!$E$5:$E$2004,Sales!$D$5:$D$2004,B121))</f>
        <v/>
      </c>
      <c r="E121" s="22">
        <f>IF(B121="","",SUMIFS(Sales!$J$5:$J$2004,Sales!$D$5:$D$2004,B121))</f>
        <v/>
      </c>
      <c r="F121" s="22">
        <f>IF(B121="","",SUMIFS(Sales!$K$5:$K$2004,Sales!$D$5:$D$2004,B121)+SUMIFS(Sales!$L$5:$L$2004,Sales!$D$5:$D$2004,B121))</f>
        <v/>
      </c>
      <c r="G121" s="22">
        <f>IF(B121="","",SUMIFS(Sales!$M$5:$M$2004,Sales!$D$5:$D$2004,B121))</f>
        <v/>
      </c>
      <c r="H121" s="22">
        <f>IF(B121="","",SUMIFS(Sales!$I$5:$I$2004,Sales!$D$5:$D$2004,B121))</f>
        <v/>
      </c>
      <c r="I121" s="22">
        <f>IF(B121="","",E121-F121-G121-H121)</f>
        <v/>
      </c>
      <c r="J121" s="23">
        <f>IF(B121="","",IF(E121=0,"",I121/E121))</f>
        <v/>
      </c>
    </row>
    <row r="122">
      <c r="B122">
        <f>IF(Products!B122="","",Products!B122)</f>
        <v/>
      </c>
      <c r="C122">
        <f>IF(B122="","",Products!C122)</f>
        <v/>
      </c>
      <c r="D122">
        <f>IF(B122="","",SUMIFS(Sales!$E$5:$E$2004,Sales!$D$5:$D$2004,B122))</f>
        <v/>
      </c>
      <c r="E122" s="22">
        <f>IF(B122="","",SUMIFS(Sales!$J$5:$J$2004,Sales!$D$5:$D$2004,B122))</f>
        <v/>
      </c>
      <c r="F122" s="22">
        <f>IF(B122="","",SUMIFS(Sales!$K$5:$K$2004,Sales!$D$5:$D$2004,B122)+SUMIFS(Sales!$L$5:$L$2004,Sales!$D$5:$D$2004,B122))</f>
        <v/>
      </c>
      <c r="G122" s="22">
        <f>IF(B122="","",SUMIFS(Sales!$M$5:$M$2004,Sales!$D$5:$D$2004,B122))</f>
        <v/>
      </c>
      <c r="H122" s="22">
        <f>IF(B122="","",SUMIFS(Sales!$I$5:$I$2004,Sales!$D$5:$D$2004,B122))</f>
        <v/>
      </c>
      <c r="I122" s="22">
        <f>IF(B122="","",E122-F122-G122-H122)</f>
        <v/>
      </c>
      <c r="J122" s="23">
        <f>IF(B122="","",IF(E122=0,"",I122/E122))</f>
        <v/>
      </c>
    </row>
    <row r="123">
      <c r="B123">
        <f>IF(Products!B123="","",Products!B123)</f>
        <v/>
      </c>
      <c r="C123">
        <f>IF(B123="","",Products!C123)</f>
        <v/>
      </c>
      <c r="D123">
        <f>IF(B123="","",SUMIFS(Sales!$E$5:$E$2004,Sales!$D$5:$D$2004,B123))</f>
        <v/>
      </c>
      <c r="E123" s="22">
        <f>IF(B123="","",SUMIFS(Sales!$J$5:$J$2004,Sales!$D$5:$D$2004,B123))</f>
        <v/>
      </c>
      <c r="F123" s="22">
        <f>IF(B123="","",SUMIFS(Sales!$K$5:$K$2004,Sales!$D$5:$D$2004,B123)+SUMIFS(Sales!$L$5:$L$2004,Sales!$D$5:$D$2004,B123))</f>
        <v/>
      </c>
      <c r="G123" s="22">
        <f>IF(B123="","",SUMIFS(Sales!$M$5:$M$2004,Sales!$D$5:$D$2004,B123))</f>
        <v/>
      </c>
      <c r="H123" s="22">
        <f>IF(B123="","",SUMIFS(Sales!$I$5:$I$2004,Sales!$D$5:$D$2004,B123))</f>
        <v/>
      </c>
      <c r="I123" s="22">
        <f>IF(B123="","",E123-F123-G123-H123)</f>
        <v/>
      </c>
      <c r="J123" s="23">
        <f>IF(B123="","",IF(E123=0,"",I123/E123))</f>
        <v/>
      </c>
    </row>
    <row r="124">
      <c r="B124">
        <f>IF(Products!B124="","",Products!B124)</f>
        <v/>
      </c>
      <c r="C124">
        <f>IF(B124="","",Products!C124)</f>
        <v/>
      </c>
      <c r="D124">
        <f>IF(B124="","",SUMIFS(Sales!$E$5:$E$2004,Sales!$D$5:$D$2004,B124))</f>
        <v/>
      </c>
      <c r="E124" s="22">
        <f>IF(B124="","",SUMIFS(Sales!$J$5:$J$2004,Sales!$D$5:$D$2004,B124))</f>
        <v/>
      </c>
      <c r="F124" s="22">
        <f>IF(B124="","",SUMIFS(Sales!$K$5:$K$2004,Sales!$D$5:$D$2004,B124)+SUMIFS(Sales!$L$5:$L$2004,Sales!$D$5:$D$2004,B124))</f>
        <v/>
      </c>
      <c r="G124" s="22">
        <f>IF(B124="","",SUMIFS(Sales!$M$5:$M$2004,Sales!$D$5:$D$2004,B124))</f>
        <v/>
      </c>
      <c r="H124" s="22">
        <f>IF(B124="","",SUMIFS(Sales!$I$5:$I$2004,Sales!$D$5:$D$2004,B124))</f>
        <v/>
      </c>
      <c r="I124" s="22">
        <f>IF(B124="","",E124-F124-G124-H124)</f>
        <v/>
      </c>
      <c r="J124" s="23">
        <f>IF(B124="","",IF(E124=0,"",I124/E124))</f>
        <v/>
      </c>
    </row>
    <row r="125">
      <c r="B125">
        <f>IF(Products!B125="","",Products!B125)</f>
        <v/>
      </c>
      <c r="C125">
        <f>IF(B125="","",Products!C125)</f>
        <v/>
      </c>
      <c r="D125">
        <f>IF(B125="","",SUMIFS(Sales!$E$5:$E$2004,Sales!$D$5:$D$2004,B125))</f>
        <v/>
      </c>
      <c r="E125" s="22">
        <f>IF(B125="","",SUMIFS(Sales!$J$5:$J$2004,Sales!$D$5:$D$2004,B125))</f>
        <v/>
      </c>
      <c r="F125" s="22">
        <f>IF(B125="","",SUMIFS(Sales!$K$5:$K$2004,Sales!$D$5:$D$2004,B125)+SUMIFS(Sales!$L$5:$L$2004,Sales!$D$5:$D$2004,B125))</f>
        <v/>
      </c>
      <c r="G125" s="22">
        <f>IF(B125="","",SUMIFS(Sales!$M$5:$M$2004,Sales!$D$5:$D$2004,B125))</f>
        <v/>
      </c>
      <c r="H125" s="22">
        <f>IF(B125="","",SUMIFS(Sales!$I$5:$I$2004,Sales!$D$5:$D$2004,B125))</f>
        <v/>
      </c>
      <c r="I125" s="22">
        <f>IF(B125="","",E125-F125-G125-H125)</f>
        <v/>
      </c>
      <c r="J125" s="23">
        <f>IF(B125="","",IF(E125=0,"",I125/E125))</f>
        <v/>
      </c>
    </row>
    <row r="126">
      <c r="B126">
        <f>IF(Products!B126="","",Products!B126)</f>
        <v/>
      </c>
      <c r="C126">
        <f>IF(B126="","",Products!C126)</f>
        <v/>
      </c>
      <c r="D126">
        <f>IF(B126="","",SUMIFS(Sales!$E$5:$E$2004,Sales!$D$5:$D$2004,B126))</f>
        <v/>
      </c>
      <c r="E126" s="22">
        <f>IF(B126="","",SUMIFS(Sales!$J$5:$J$2004,Sales!$D$5:$D$2004,B126))</f>
        <v/>
      </c>
      <c r="F126" s="22">
        <f>IF(B126="","",SUMIFS(Sales!$K$5:$K$2004,Sales!$D$5:$D$2004,B126)+SUMIFS(Sales!$L$5:$L$2004,Sales!$D$5:$D$2004,B126))</f>
        <v/>
      </c>
      <c r="G126" s="22">
        <f>IF(B126="","",SUMIFS(Sales!$M$5:$M$2004,Sales!$D$5:$D$2004,B126))</f>
        <v/>
      </c>
      <c r="H126" s="22">
        <f>IF(B126="","",SUMIFS(Sales!$I$5:$I$2004,Sales!$D$5:$D$2004,B126))</f>
        <v/>
      </c>
      <c r="I126" s="22">
        <f>IF(B126="","",E126-F126-G126-H126)</f>
        <v/>
      </c>
      <c r="J126" s="23">
        <f>IF(B126="","",IF(E126=0,"",I126/E126))</f>
        <v/>
      </c>
    </row>
    <row r="127">
      <c r="B127">
        <f>IF(Products!B127="","",Products!B127)</f>
        <v/>
      </c>
      <c r="C127">
        <f>IF(B127="","",Products!C127)</f>
        <v/>
      </c>
      <c r="D127">
        <f>IF(B127="","",SUMIFS(Sales!$E$5:$E$2004,Sales!$D$5:$D$2004,B127))</f>
        <v/>
      </c>
      <c r="E127" s="22">
        <f>IF(B127="","",SUMIFS(Sales!$J$5:$J$2004,Sales!$D$5:$D$2004,B127))</f>
        <v/>
      </c>
      <c r="F127" s="22">
        <f>IF(B127="","",SUMIFS(Sales!$K$5:$K$2004,Sales!$D$5:$D$2004,B127)+SUMIFS(Sales!$L$5:$L$2004,Sales!$D$5:$D$2004,B127))</f>
        <v/>
      </c>
      <c r="G127" s="22">
        <f>IF(B127="","",SUMIFS(Sales!$M$5:$M$2004,Sales!$D$5:$D$2004,B127))</f>
        <v/>
      </c>
      <c r="H127" s="22">
        <f>IF(B127="","",SUMIFS(Sales!$I$5:$I$2004,Sales!$D$5:$D$2004,B127))</f>
        <v/>
      </c>
      <c r="I127" s="22">
        <f>IF(B127="","",E127-F127-G127-H127)</f>
        <v/>
      </c>
      <c r="J127" s="23">
        <f>IF(B127="","",IF(E127=0,"",I127/E127))</f>
        <v/>
      </c>
    </row>
    <row r="128">
      <c r="B128">
        <f>IF(Products!B128="","",Products!B128)</f>
        <v/>
      </c>
      <c r="C128">
        <f>IF(B128="","",Products!C128)</f>
        <v/>
      </c>
      <c r="D128">
        <f>IF(B128="","",SUMIFS(Sales!$E$5:$E$2004,Sales!$D$5:$D$2004,B128))</f>
        <v/>
      </c>
      <c r="E128" s="22">
        <f>IF(B128="","",SUMIFS(Sales!$J$5:$J$2004,Sales!$D$5:$D$2004,B128))</f>
        <v/>
      </c>
      <c r="F128" s="22">
        <f>IF(B128="","",SUMIFS(Sales!$K$5:$K$2004,Sales!$D$5:$D$2004,B128)+SUMIFS(Sales!$L$5:$L$2004,Sales!$D$5:$D$2004,B128))</f>
        <v/>
      </c>
      <c r="G128" s="22">
        <f>IF(B128="","",SUMIFS(Sales!$M$5:$M$2004,Sales!$D$5:$D$2004,B128))</f>
        <v/>
      </c>
      <c r="H128" s="22">
        <f>IF(B128="","",SUMIFS(Sales!$I$5:$I$2004,Sales!$D$5:$D$2004,B128))</f>
        <v/>
      </c>
      <c r="I128" s="22">
        <f>IF(B128="","",E128-F128-G128-H128)</f>
        <v/>
      </c>
      <c r="J128" s="23">
        <f>IF(B128="","",IF(E128=0,"",I128/E128))</f>
        <v/>
      </c>
    </row>
    <row r="129">
      <c r="B129">
        <f>IF(Products!B129="","",Products!B129)</f>
        <v/>
      </c>
      <c r="C129">
        <f>IF(B129="","",Products!C129)</f>
        <v/>
      </c>
      <c r="D129">
        <f>IF(B129="","",SUMIFS(Sales!$E$5:$E$2004,Sales!$D$5:$D$2004,B129))</f>
        <v/>
      </c>
      <c r="E129" s="22">
        <f>IF(B129="","",SUMIFS(Sales!$J$5:$J$2004,Sales!$D$5:$D$2004,B129))</f>
        <v/>
      </c>
      <c r="F129" s="22">
        <f>IF(B129="","",SUMIFS(Sales!$K$5:$K$2004,Sales!$D$5:$D$2004,B129)+SUMIFS(Sales!$L$5:$L$2004,Sales!$D$5:$D$2004,B129))</f>
        <v/>
      </c>
      <c r="G129" s="22">
        <f>IF(B129="","",SUMIFS(Sales!$M$5:$M$2004,Sales!$D$5:$D$2004,B129))</f>
        <v/>
      </c>
      <c r="H129" s="22">
        <f>IF(B129="","",SUMIFS(Sales!$I$5:$I$2004,Sales!$D$5:$D$2004,B129))</f>
        <v/>
      </c>
      <c r="I129" s="22">
        <f>IF(B129="","",E129-F129-G129-H129)</f>
        <v/>
      </c>
      <c r="J129" s="23">
        <f>IF(B129="","",IF(E129=0,"",I129/E129))</f>
        <v/>
      </c>
    </row>
    <row r="130">
      <c r="B130">
        <f>IF(Products!B130="","",Products!B130)</f>
        <v/>
      </c>
      <c r="C130">
        <f>IF(B130="","",Products!C130)</f>
        <v/>
      </c>
      <c r="D130">
        <f>IF(B130="","",SUMIFS(Sales!$E$5:$E$2004,Sales!$D$5:$D$2004,B130))</f>
        <v/>
      </c>
      <c r="E130" s="22">
        <f>IF(B130="","",SUMIFS(Sales!$J$5:$J$2004,Sales!$D$5:$D$2004,B130))</f>
        <v/>
      </c>
      <c r="F130" s="22">
        <f>IF(B130="","",SUMIFS(Sales!$K$5:$K$2004,Sales!$D$5:$D$2004,B130)+SUMIFS(Sales!$L$5:$L$2004,Sales!$D$5:$D$2004,B130))</f>
        <v/>
      </c>
      <c r="G130" s="22">
        <f>IF(B130="","",SUMIFS(Sales!$M$5:$M$2004,Sales!$D$5:$D$2004,B130))</f>
        <v/>
      </c>
      <c r="H130" s="22">
        <f>IF(B130="","",SUMIFS(Sales!$I$5:$I$2004,Sales!$D$5:$D$2004,B130))</f>
        <v/>
      </c>
      <c r="I130" s="22">
        <f>IF(B130="","",E130-F130-G130-H130)</f>
        <v/>
      </c>
      <c r="J130" s="23">
        <f>IF(B130="","",IF(E130=0,"",I130/E130))</f>
        <v/>
      </c>
    </row>
    <row r="131">
      <c r="B131">
        <f>IF(Products!B131="","",Products!B131)</f>
        <v/>
      </c>
      <c r="C131">
        <f>IF(B131="","",Products!C131)</f>
        <v/>
      </c>
      <c r="D131">
        <f>IF(B131="","",SUMIFS(Sales!$E$5:$E$2004,Sales!$D$5:$D$2004,B131))</f>
        <v/>
      </c>
      <c r="E131" s="22">
        <f>IF(B131="","",SUMIFS(Sales!$J$5:$J$2004,Sales!$D$5:$D$2004,B131))</f>
        <v/>
      </c>
      <c r="F131" s="22">
        <f>IF(B131="","",SUMIFS(Sales!$K$5:$K$2004,Sales!$D$5:$D$2004,B131)+SUMIFS(Sales!$L$5:$L$2004,Sales!$D$5:$D$2004,B131))</f>
        <v/>
      </c>
      <c r="G131" s="22">
        <f>IF(B131="","",SUMIFS(Sales!$M$5:$M$2004,Sales!$D$5:$D$2004,B131))</f>
        <v/>
      </c>
      <c r="H131" s="22">
        <f>IF(B131="","",SUMIFS(Sales!$I$5:$I$2004,Sales!$D$5:$D$2004,B131))</f>
        <v/>
      </c>
      <c r="I131" s="22">
        <f>IF(B131="","",E131-F131-G131-H131)</f>
        <v/>
      </c>
      <c r="J131" s="23">
        <f>IF(B131="","",IF(E131=0,"",I131/E131))</f>
        <v/>
      </c>
    </row>
    <row r="132">
      <c r="B132">
        <f>IF(Products!B132="","",Products!B132)</f>
        <v/>
      </c>
      <c r="C132">
        <f>IF(B132="","",Products!C132)</f>
        <v/>
      </c>
      <c r="D132">
        <f>IF(B132="","",SUMIFS(Sales!$E$5:$E$2004,Sales!$D$5:$D$2004,B132))</f>
        <v/>
      </c>
      <c r="E132" s="22">
        <f>IF(B132="","",SUMIFS(Sales!$J$5:$J$2004,Sales!$D$5:$D$2004,B132))</f>
        <v/>
      </c>
      <c r="F132" s="22">
        <f>IF(B132="","",SUMIFS(Sales!$K$5:$K$2004,Sales!$D$5:$D$2004,B132)+SUMIFS(Sales!$L$5:$L$2004,Sales!$D$5:$D$2004,B132))</f>
        <v/>
      </c>
      <c r="G132" s="22">
        <f>IF(B132="","",SUMIFS(Sales!$M$5:$M$2004,Sales!$D$5:$D$2004,B132))</f>
        <v/>
      </c>
      <c r="H132" s="22">
        <f>IF(B132="","",SUMIFS(Sales!$I$5:$I$2004,Sales!$D$5:$D$2004,B132))</f>
        <v/>
      </c>
      <c r="I132" s="22">
        <f>IF(B132="","",E132-F132-G132-H132)</f>
        <v/>
      </c>
      <c r="J132" s="23">
        <f>IF(B132="","",IF(E132=0,"",I132/E132))</f>
        <v/>
      </c>
    </row>
    <row r="133">
      <c r="B133">
        <f>IF(Products!B133="","",Products!B133)</f>
        <v/>
      </c>
      <c r="C133">
        <f>IF(B133="","",Products!C133)</f>
        <v/>
      </c>
      <c r="D133">
        <f>IF(B133="","",SUMIFS(Sales!$E$5:$E$2004,Sales!$D$5:$D$2004,B133))</f>
        <v/>
      </c>
      <c r="E133" s="22">
        <f>IF(B133="","",SUMIFS(Sales!$J$5:$J$2004,Sales!$D$5:$D$2004,B133))</f>
        <v/>
      </c>
      <c r="F133" s="22">
        <f>IF(B133="","",SUMIFS(Sales!$K$5:$K$2004,Sales!$D$5:$D$2004,B133)+SUMIFS(Sales!$L$5:$L$2004,Sales!$D$5:$D$2004,B133))</f>
        <v/>
      </c>
      <c r="G133" s="22">
        <f>IF(B133="","",SUMIFS(Sales!$M$5:$M$2004,Sales!$D$5:$D$2004,B133))</f>
        <v/>
      </c>
      <c r="H133" s="22">
        <f>IF(B133="","",SUMIFS(Sales!$I$5:$I$2004,Sales!$D$5:$D$2004,B133))</f>
        <v/>
      </c>
      <c r="I133" s="22">
        <f>IF(B133="","",E133-F133-G133-H133)</f>
        <v/>
      </c>
      <c r="J133" s="23">
        <f>IF(B133="","",IF(E133=0,"",I133/E133))</f>
        <v/>
      </c>
    </row>
    <row r="134">
      <c r="B134">
        <f>IF(Products!B134="","",Products!B134)</f>
        <v/>
      </c>
      <c r="C134">
        <f>IF(B134="","",Products!C134)</f>
        <v/>
      </c>
      <c r="D134">
        <f>IF(B134="","",SUMIFS(Sales!$E$5:$E$2004,Sales!$D$5:$D$2004,B134))</f>
        <v/>
      </c>
      <c r="E134" s="22">
        <f>IF(B134="","",SUMIFS(Sales!$J$5:$J$2004,Sales!$D$5:$D$2004,B134))</f>
        <v/>
      </c>
      <c r="F134" s="22">
        <f>IF(B134="","",SUMIFS(Sales!$K$5:$K$2004,Sales!$D$5:$D$2004,B134)+SUMIFS(Sales!$L$5:$L$2004,Sales!$D$5:$D$2004,B134))</f>
        <v/>
      </c>
      <c r="G134" s="22">
        <f>IF(B134="","",SUMIFS(Sales!$M$5:$M$2004,Sales!$D$5:$D$2004,B134))</f>
        <v/>
      </c>
      <c r="H134" s="22">
        <f>IF(B134="","",SUMIFS(Sales!$I$5:$I$2004,Sales!$D$5:$D$2004,B134))</f>
        <v/>
      </c>
      <c r="I134" s="22">
        <f>IF(B134="","",E134-F134-G134-H134)</f>
        <v/>
      </c>
      <c r="J134" s="23">
        <f>IF(B134="","",IF(E134=0,"",I134/E134))</f>
        <v/>
      </c>
    </row>
    <row r="135">
      <c r="B135">
        <f>IF(Products!B135="","",Products!B135)</f>
        <v/>
      </c>
      <c r="C135">
        <f>IF(B135="","",Products!C135)</f>
        <v/>
      </c>
      <c r="D135">
        <f>IF(B135="","",SUMIFS(Sales!$E$5:$E$2004,Sales!$D$5:$D$2004,B135))</f>
        <v/>
      </c>
      <c r="E135" s="22">
        <f>IF(B135="","",SUMIFS(Sales!$J$5:$J$2004,Sales!$D$5:$D$2004,B135))</f>
        <v/>
      </c>
      <c r="F135" s="22">
        <f>IF(B135="","",SUMIFS(Sales!$K$5:$K$2004,Sales!$D$5:$D$2004,B135)+SUMIFS(Sales!$L$5:$L$2004,Sales!$D$5:$D$2004,B135))</f>
        <v/>
      </c>
      <c r="G135" s="22">
        <f>IF(B135="","",SUMIFS(Sales!$M$5:$M$2004,Sales!$D$5:$D$2004,B135))</f>
        <v/>
      </c>
      <c r="H135" s="22">
        <f>IF(B135="","",SUMIFS(Sales!$I$5:$I$2004,Sales!$D$5:$D$2004,B135))</f>
        <v/>
      </c>
      <c r="I135" s="22">
        <f>IF(B135="","",E135-F135-G135-H135)</f>
        <v/>
      </c>
      <c r="J135" s="23">
        <f>IF(B135="","",IF(E135=0,"",I135/E135))</f>
        <v/>
      </c>
    </row>
    <row r="136">
      <c r="B136">
        <f>IF(Products!B136="","",Products!B136)</f>
        <v/>
      </c>
      <c r="C136">
        <f>IF(B136="","",Products!C136)</f>
        <v/>
      </c>
      <c r="D136">
        <f>IF(B136="","",SUMIFS(Sales!$E$5:$E$2004,Sales!$D$5:$D$2004,B136))</f>
        <v/>
      </c>
      <c r="E136" s="22">
        <f>IF(B136="","",SUMIFS(Sales!$J$5:$J$2004,Sales!$D$5:$D$2004,B136))</f>
        <v/>
      </c>
      <c r="F136" s="22">
        <f>IF(B136="","",SUMIFS(Sales!$K$5:$K$2004,Sales!$D$5:$D$2004,B136)+SUMIFS(Sales!$L$5:$L$2004,Sales!$D$5:$D$2004,B136))</f>
        <v/>
      </c>
      <c r="G136" s="22">
        <f>IF(B136="","",SUMIFS(Sales!$M$5:$M$2004,Sales!$D$5:$D$2004,B136))</f>
        <v/>
      </c>
      <c r="H136" s="22">
        <f>IF(B136="","",SUMIFS(Sales!$I$5:$I$2004,Sales!$D$5:$D$2004,B136))</f>
        <v/>
      </c>
      <c r="I136" s="22">
        <f>IF(B136="","",E136-F136-G136-H136)</f>
        <v/>
      </c>
      <c r="J136" s="23">
        <f>IF(B136="","",IF(E136=0,"",I136/E136))</f>
        <v/>
      </c>
    </row>
    <row r="137">
      <c r="B137">
        <f>IF(Products!B137="","",Products!B137)</f>
        <v/>
      </c>
      <c r="C137">
        <f>IF(B137="","",Products!C137)</f>
        <v/>
      </c>
      <c r="D137">
        <f>IF(B137="","",SUMIFS(Sales!$E$5:$E$2004,Sales!$D$5:$D$2004,B137))</f>
        <v/>
      </c>
      <c r="E137" s="22">
        <f>IF(B137="","",SUMIFS(Sales!$J$5:$J$2004,Sales!$D$5:$D$2004,B137))</f>
        <v/>
      </c>
      <c r="F137" s="22">
        <f>IF(B137="","",SUMIFS(Sales!$K$5:$K$2004,Sales!$D$5:$D$2004,B137)+SUMIFS(Sales!$L$5:$L$2004,Sales!$D$5:$D$2004,B137))</f>
        <v/>
      </c>
      <c r="G137" s="22">
        <f>IF(B137="","",SUMIFS(Sales!$M$5:$M$2004,Sales!$D$5:$D$2004,B137))</f>
        <v/>
      </c>
      <c r="H137" s="22">
        <f>IF(B137="","",SUMIFS(Sales!$I$5:$I$2004,Sales!$D$5:$D$2004,B137))</f>
        <v/>
      </c>
      <c r="I137" s="22">
        <f>IF(B137="","",E137-F137-G137-H137)</f>
        <v/>
      </c>
      <c r="J137" s="23">
        <f>IF(B137="","",IF(E137=0,"",I137/E137))</f>
        <v/>
      </c>
    </row>
    <row r="138">
      <c r="B138">
        <f>IF(Products!B138="","",Products!B138)</f>
        <v/>
      </c>
      <c r="C138">
        <f>IF(B138="","",Products!C138)</f>
        <v/>
      </c>
      <c r="D138">
        <f>IF(B138="","",SUMIFS(Sales!$E$5:$E$2004,Sales!$D$5:$D$2004,B138))</f>
        <v/>
      </c>
      <c r="E138" s="22">
        <f>IF(B138="","",SUMIFS(Sales!$J$5:$J$2004,Sales!$D$5:$D$2004,B138))</f>
        <v/>
      </c>
      <c r="F138" s="22">
        <f>IF(B138="","",SUMIFS(Sales!$K$5:$K$2004,Sales!$D$5:$D$2004,B138)+SUMIFS(Sales!$L$5:$L$2004,Sales!$D$5:$D$2004,B138))</f>
        <v/>
      </c>
      <c r="G138" s="22">
        <f>IF(B138="","",SUMIFS(Sales!$M$5:$M$2004,Sales!$D$5:$D$2004,B138))</f>
        <v/>
      </c>
      <c r="H138" s="22">
        <f>IF(B138="","",SUMIFS(Sales!$I$5:$I$2004,Sales!$D$5:$D$2004,B138))</f>
        <v/>
      </c>
      <c r="I138" s="22">
        <f>IF(B138="","",E138-F138-G138-H138)</f>
        <v/>
      </c>
      <c r="J138" s="23">
        <f>IF(B138="","",IF(E138=0,"",I138/E138))</f>
        <v/>
      </c>
    </row>
    <row r="139">
      <c r="B139">
        <f>IF(Products!B139="","",Products!B139)</f>
        <v/>
      </c>
      <c r="C139">
        <f>IF(B139="","",Products!C139)</f>
        <v/>
      </c>
      <c r="D139">
        <f>IF(B139="","",SUMIFS(Sales!$E$5:$E$2004,Sales!$D$5:$D$2004,B139))</f>
        <v/>
      </c>
      <c r="E139" s="22">
        <f>IF(B139="","",SUMIFS(Sales!$J$5:$J$2004,Sales!$D$5:$D$2004,B139))</f>
        <v/>
      </c>
      <c r="F139" s="22">
        <f>IF(B139="","",SUMIFS(Sales!$K$5:$K$2004,Sales!$D$5:$D$2004,B139)+SUMIFS(Sales!$L$5:$L$2004,Sales!$D$5:$D$2004,B139))</f>
        <v/>
      </c>
      <c r="G139" s="22">
        <f>IF(B139="","",SUMIFS(Sales!$M$5:$M$2004,Sales!$D$5:$D$2004,B139))</f>
        <v/>
      </c>
      <c r="H139" s="22">
        <f>IF(B139="","",SUMIFS(Sales!$I$5:$I$2004,Sales!$D$5:$D$2004,B139))</f>
        <v/>
      </c>
      <c r="I139" s="22">
        <f>IF(B139="","",E139-F139-G139-H139)</f>
        <v/>
      </c>
      <c r="J139" s="23">
        <f>IF(B139="","",IF(E139=0,"",I139/E139))</f>
        <v/>
      </c>
    </row>
    <row r="140">
      <c r="B140">
        <f>IF(Products!B140="","",Products!B140)</f>
        <v/>
      </c>
      <c r="C140">
        <f>IF(B140="","",Products!C140)</f>
        <v/>
      </c>
      <c r="D140">
        <f>IF(B140="","",SUMIFS(Sales!$E$5:$E$2004,Sales!$D$5:$D$2004,B140))</f>
        <v/>
      </c>
      <c r="E140" s="22">
        <f>IF(B140="","",SUMIFS(Sales!$J$5:$J$2004,Sales!$D$5:$D$2004,B140))</f>
        <v/>
      </c>
      <c r="F140" s="22">
        <f>IF(B140="","",SUMIFS(Sales!$K$5:$K$2004,Sales!$D$5:$D$2004,B140)+SUMIFS(Sales!$L$5:$L$2004,Sales!$D$5:$D$2004,B140))</f>
        <v/>
      </c>
      <c r="G140" s="22">
        <f>IF(B140="","",SUMIFS(Sales!$M$5:$M$2004,Sales!$D$5:$D$2004,B140))</f>
        <v/>
      </c>
      <c r="H140" s="22">
        <f>IF(B140="","",SUMIFS(Sales!$I$5:$I$2004,Sales!$D$5:$D$2004,B140))</f>
        <v/>
      </c>
      <c r="I140" s="22">
        <f>IF(B140="","",E140-F140-G140-H140)</f>
        <v/>
      </c>
      <c r="J140" s="23">
        <f>IF(B140="","",IF(E140=0,"",I140/E140))</f>
        <v/>
      </c>
    </row>
    <row r="141">
      <c r="B141">
        <f>IF(Products!B141="","",Products!B141)</f>
        <v/>
      </c>
      <c r="C141">
        <f>IF(B141="","",Products!C141)</f>
        <v/>
      </c>
      <c r="D141">
        <f>IF(B141="","",SUMIFS(Sales!$E$5:$E$2004,Sales!$D$5:$D$2004,B141))</f>
        <v/>
      </c>
      <c r="E141" s="22">
        <f>IF(B141="","",SUMIFS(Sales!$J$5:$J$2004,Sales!$D$5:$D$2004,B141))</f>
        <v/>
      </c>
      <c r="F141" s="22">
        <f>IF(B141="","",SUMIFS(Sales!$K$5:$K$2004,Sales!$D$5:$D$2004,B141)+SUMIFS(Sales!$L$5:$L$2004,Sales!$D$5:$D$2004,B141))</f>
        <v/>
      </c>
      <c r="G141" s="22">
        <f>IF(B141="","",SUMIFS(Sales!$M$5:$M$2004,Sales!$D$5:$D$2004,B141))</f>
        <v/>
      </c>
      <c r="H141" s="22">
        <f>IF(B141="","",SUMIFS(Sales!$I$5:$I$2004,Sales!$D$5:$D$2004,B141))</f>
        <v/>
      </c>
      <c r="I141" s="22">
        <f>IF(B141="","",E141-F141-G141-H141)</f>
        <v/>
      </c>
      <c r="J141" s="23">
        <f>IF(B141="","",IF(E141=0,"",I141/E141))</f>
        <v/>
      </c>
    </row>
    <row r="142">
      <c r="B142">
        <f>IF(Products!B142="","",Products!B142)</f>
        <v/>
      </c>
      <c r="C142">
        <f>IF(B142="","",Products!C142)</f>
        <v/>
      </c>
      <c r="D142">
        <f>IF(B142="","",SUMIFS(Sales!$E$5:$E$2004,Sales!$D$5:$D$2004,B142))</f>
        <v/>
      </c>
      <c r="E142" s="22">
        <f>IF(B142="","",SUMIFS(Sales!$J$5:$J$2004,Sales!$D$5:$D$2004,B142))</f>
        <v/>
      </c>
      <c r="F142" s="22">
        <f>IF(B142="","",SUMIFS(Sales!$K$5:$K$2004,Sales!$D$5:$D$2004,B142)+SUMIFS(Sales!$L$5:$L$2004,Sales!$D$5:$D$2004,B142))</f>
        <v/>
      </c>
      <c r="G142" s="22">
        <f>IF(B142="","",SUMIFS(Sales!$M$5:$M$2004,Sales!$D$5:$D$2004,B142))</f>
        <v/>
      </c>
      <c r="H142" s="22">
        <f>IF(B142="","",SUMIFS(Sales!$I$5:$I$2004,Sales!$D$5:$D$2004,B142))</f>
        <v/>
      </c>
      <c r="I142" s="22">
        <f>IF(B142="","",E142-F142-G142-H142)</f>
        <v/>
      </c>
      <c r="J142" s="23">
        <f>IF(B142="","",IF(E142=0,"",I142/E142))</f>
        <v/>
      </c>
    </row>
    <row r="143">
      <c r="B143">
        <f>IF(Products!B143="","",Products!B143)</f>
        <v/>
      </c>
      <c r="C143">
        <f>IF(B143="","",Products!C143)</f>
        <v/>
      </c>
      <c r="D143">
        <f>IF(B143="","",SUMIFS(Sales!$E$5:$E$2004,Sales!$D$5:$D$2004,B143))</f>
        <v/>
      </c>
      <c r="E143" s="22">
        <f>IF(B143="","",SUMIFS(Sales!$J$5:$J$2004,Sales!$D$5:$D$2004,B143))</f>
        <v/>
      </c>
      <c r="F143" s="22">
        <f>IF(B143="","",SUMIFS(Sales!$K$5:$K$2004,Sales!$D$5:$D$2004,B143)+SUMIFS(Sales!$L$5:$L$2004,Sales!$D$5:$D$2004,B143))</f>
        <v/>
      </c>
      <c r="G143" s="22">
        <f>IF(B143="","",SUMIFS(Sales!$M$5:$M$2004,Sales!$D$5:$D$2004,B143))</f>
        <v/>
      </c>
      <c r="H143" s="22">
        <f>IF(B143="","",SUMIFS(Sales!$I$5:$I$2004,Sales!$D$5:$D$2004,B143))</f>
        <v/>
      </c>
      <c r="I143" s="22">
        <f>IF(B143="","",E143-F143-G143-H143)</f>
        <v/>
      </c>
      <c r="J143" s="23">
        <f>IF(B143="","",IF(E143=0,"",I143/E143))</f>
        <v/>
      </c>
    </row>
    <row r="144">
      <c r="B144">
        <f>IF(Products!B144="","",Products!B144)</f>
        <v/>
      </c>
      <c r="C144">
        <f>IF(B144="","",Products!C144)</f>
        <v/>
      </c>
      <c r="D144">
        <f>IF(B144="","",SUMIFS(Sales!$E$5:$E$2004,Sales!$D$5:$D$2004,B144))</f>
        <v/>
      </c>
      <c r="E144" s="22">
        <f>IF(B144="","",SUMIFS(Sales!$J$5:$J$2004,Sales!$D$5:$D$2004,B144))</f>
        <v/>
      </c>
      <c r="F144" s="22">
        <f>IF(B144="","",SUMIFS(Sales!$K$5:$K$2004,Sales!$D$5:$D$2004,B144)+SUMIFS(Sales!$L$5:$L$2004,Sales!$D$5:$D$2004,B144))</f>
        <v/>
      </c>
      <c r="G144" s="22">
        <f>IF(B144="","",SUMIFS(Sales!$M$5:$M$2004,Sales!$D$5:$D$2004,B144))</f>
        <v/>
      </c>
      <c r="H144" s="22">
        <f>IF(B144="","",SUMIFS(Sales!$I$5:$I$2004,Sales!$D$5:$D$2004,B144))</f>
        <v/>
      </c>
      <c r="I144" s="22">
        <f>IF(B144="","",E144-F144-G144-H144)</f>
        <v/>
      </c>
      <c r="J144" s="23">
        <f>IF(B144="","",IF(E144=0,"",I144/E144))</f>
        <v/>
      </c>
    </row>
    <row r="145">
      <c r="B145">
        <f>IF(Products!B145="","",Products!B145)</f>
        <v/>
      </c>
      <c r="C145">
        <f>IF(B145="","",Products!C145)</f>
        <v/>
      </c>
      <c r="D145">
        <f>IF(B145="","",SUMIFS(Sales!$E$5:$E$2004,Sales!$D$5:$D$2004,B145))</f>
        <v/>
      </c>
      <c r="E145" s="22">
        <f>IF(B145="","",SUMIFS(Sales!$J$5:$J$2004,Sales!$D$5:$D$2004,B145))</f>
        <v/>
      </c>
      <c r="F145" s="22">
        <f>IF(B145="","",SUMIFS(Sales!$K$5:$K$2004,Sales!$D$5:$D$2004,B145)+SUMIFS(Sales!$L$5:$L$2004,Sales!$D$5:$D$2004,B145))</f>
        <v/>
      </c>
      <c r="G145" s="22">
        <f>IF(B145="","",SUMIFS(Sales!$M$5:$M$2004,Sales!$D$5:$D$2004,B145))</f>
        <v/>
      </c>
      <c r="H145" s="22">
        <f>IF(B145="","",SUMIFS(Sales!$I$5:$I$2004,Sales!$D$5:$D$2004,B145))</f>
        <v/>
      </c>
      <c r="I145" s="22">
        <f>IF(B145="","",E145-F145-G145-H145)</f>
        <v/>
      </c>
      <c r="J145" s="23">
        <f>IF(B145="","",IF(E145=0,"",I145/E145))</f>
        <v/>
      </c>
    </row>
    <row r="146">
      <c r="B146">
        <f>IF(Products!B146="","",Products!B146)</f>
        <v/>
      </c>
      <c r="C146">
        <f>IF(B146="","",Products!C146)</f>
        <v/>
      </c>
      <c r="D146">
        <f>IF(B146="","",SUMIFS(Sales!$E$5:$E$2004,Sales!$D$5:$D$2004,B146))</f>
        <v/>
      </c>
      <c r="E146" s="22">
        <f>IF(B146="","",SUMIFS(Sales!$J$5:$J$2004,Sales!$D$5:$D$2004,B146))</f>
        <v/>
      </c>
      <c r="F146" s="22">
        <f>IF(B146="","",SUMIFS(Sales!$K$5:$K$2004,Sales!$D$5:$D$2004,B146)+SUMIFS(Sales!$L$5:$L$2004,Sales!$D$5:$D$2004,B146))</f>
        <v/>
      </c>
      <c r="G146" s="22">
        <f>IF(B146="","",SUMIFS(Sales!$M$5:$M$2004,Sales!$D$5:$D$2004,B146))</f>
        <v/>
      </c>
      <c r="H146" s="22">
        <f>IF(B146="","",SUMIFS(Sales!$I$5:$I$2004,Sales!$D$5:$D$2004,B146))</f>
        <v/>
      </c>
      <c r="I146" s="22">
        <f>IF(B146="","",E146-F146-G146-H146)</f>
        <v/>
      </c>
      <c r="J146" s="23">
        <f>IF(B146="","",IF(E146=0,"",I146/E146))</f>
        <v/>
      </c>
    </row>
    <row r="147">
      <c r="B147">
        <f>IF(Products!B147="","",Products!B147)</f>
        <v/>
      </c>
      <c r="C147">
        <f>IF(B147="","",Products!C147)</f>
        <v/>
      </c>
      <c r="D147">
        <f>IF(B147="","",SUMIFS(Sales!$E$5:$E$2004,Sales!$D$5:$D$2004,B147))</f>
        <v/>
      </c>
      <c r="E147" s="22">
        <f>IF(B147="","",SUMIFS(Sales!$J$5:$J$2004,Sales!$D$5:$D$2004,B147))</f>
        <v/>
      </c>
      <c r="F147" s="22">
        <f>IF(B147="","",SUMIFS(Sales!$K$5:$K$2004,Sales!$D$5:$D$2004,B147)+SUMIFS(Sales!$L$5:$L$2004,Sales!$D$5:$D$2004,B147))</f>
        <v/>
      </c>
      <c r="G147" s="22">
        <f>IF(B147="","",SUMIFS(Sales!$M$5:$M$2004,Sales!$D$5:$D$2004,B147))</f>
        <v/>
      </c>
      <c r="H147" s="22">
        <f>IF(B147="","",SUMIFS(Sales!$I$5:$I$2004,Sales!$D$5:$D$2004,B147))</f>
        <v/>
      </c>
      <c r="I147" s="22">
        <f>IF(B147="","",E147-F147-G147-H147)</f>
        <v/>
      </c>
      <c r="J147" s="23">
        <f>IF(B147="","",IF(E147=0,"",I147/E147))</f>
        <v/>
      </c>
    </row>
    <row r="148">
      <c r="B148">
        <f>IF(Products!B148="","",Products!B148)</f>
        <v/>
      </c>
      <c r="C148">
        <f>IF(B148="","",Products!C148)</f>
        <v/>
      </c>
      <c r="D148">
        <f>IF(B148="","",SUMIFS(Sales!$E$5:$E$2004,Sales!$D$5:$D$2004,B148))</f>
        <v/>
      </c>
      <c r="E148" s="22">
        <f>IF(B148="","",SUMIFS(Sales!$J$5:$J$2004,Sales!$D$5:$D$2004,B148))</f>
        <v/>
      </c>
      <c r="F148" s="22">
        <f>IF(B148="","",SUMIFS(Sales!$K$5:$K$2004,Sales!$D$5:$D$2004,B148)+SUMIFS(Sales!$L$5:$L$2004,Sales!$D$5:$D$2004,B148))</f>
        <v/>
      </c>
      <c r="G148" s="22">
        <f>IF(B148="","",SUMIFS(Sales!$M$5:$M$2004,Sales!$D$5:$D$2004,B148))</f>
        <v/>
      </c>
      <c r="H148" s="22">
        <f>IF(B148="","",SUMIFS(Sales!$I$5:$I$2004,Sales!$D$5:$D$2004,B148))</f>
        <v/>
      </c>
      <c r="I148" s="22">
        <f>IF(B148="","",E148-F148-G148-H148)</f>
        <v/>
      </c>
      <c r="J148" s="23">
        <f>IF(B148="","",IF(E148=0,"",I148/E148))</f>
        <v/>
      </c>
    </row>
    <row r="149">
      <c r="B149">
        <f>IF(Products!B149="","",Products!B149)</f>
        <v/>
      </c>
      <c r="C149">
        <f>IF(B149="","",Products!C149)</f>
        <v/>
      </c>
      <c r="D149">
        <f>IF(B149="","",SUMIFS(Sales!$E$5:$E$2004,Sales!$D$5:$D$2004,B149))</f>
        <v/>
      </c>
      <c r="E149" s="22">
        <f>IF(B149="","",SUMIFS(Sales!$J$5:$J$2004,Sales!$D$5:$D$2004,B149))</f>
        <v/>
      </c>
      <c r="F149" s="22">
        <f>IF(B149="","",SUMIFS(Sales!$K$5:$K$2004,Sales!$D$5:$D$2004,B149)+SUMIFS(Sales!$L$5:$L$2004,Sales!$D$5:$D$2004,B149))</f>
        <v/>
      </c>
      <c r="G149" s="22">
        <f>IF(B149="","",SUMIFS(Sales!$M$5:$M$2004,Sales!$D$5:$D$2004,B149))</f>
        <v/>
      </c>
      <c r="H149" s="22">
        <f>IF(B149="","",SUMIFS(Sales!$I$5:$I$2004,Sales!$D$5:$D$2004,B149))</f>
        <v/>
      </c>
      <c r="I149" s="22">
        <f>IF(B149="","",E149-F149-G149-H149)</f>
        <v/>
      </c>
      <c r="J149" s="23">
        <f>IF(B149="","",IF(E149=0,"",I149/E149))</f>
        <v/>
      </c>
    </row>
    <row r="150">
      <c r="B150">
        <f>IF(Products!B150="","",Products!B150)</f>
        <v/>
      </c>
      <c r="C150">
        <f>IF(B150="","",Products!C150)</f>
        <v/>
      </c>
      <c r="D150">
        <f>IF(B150="","",SUMIFS(Sales!$E$5:$E$2004,Sales!$D$5:$D$2004,B150))</f>
        <v/>
      </c>
      <c r="E150" s="22">
        <f>IF(B150="","",SUMIFS(Sales!$J$5:$J$2004,Sales!$D$5:$D$2004,B150))</f>
        <v/>
      </c>
      <c r="F150" s="22">
        <f>IF(B150="","",SUMIFS(Sales!$K$5:$K$2004,Sales!$D$5:$D$2004,B150)+SUMIFS(Sales!$L$5:$L$2004,Sales!$D$5:$D$2004,B150))</f>
        <v/>
      </c>
      <c r="G150" s="22">
        <f>IF(B150="","",SUMIFS(Sales!$M$5:$M$2004,Sales!$D$5:$D$2004,B150))</f>
        <v/>
      </c>
      <c r="H150" s="22">
        <f>IF(B150="","",SUMIFS(Sales!$I$5:$I$2004,Sales!$D$5:$D$2004,B150))</f>
        <v/>
      </c>
      <c r="I150" s="22">
        <f>IF(B150="","",E150-F150-G150-H150)</f>
        <v/>
      </c>
      <c r="J150" s="23">
        <f>IF(B150="","",IF(E150=0,"",I150/E150))</f>
        <v/>
      </c>
    </row>
    <row r="151">
      <c r="B151">
        <f>IF(Products!B151="","",Products!B151)</f>
        <v/>
      </c>
      <c r="C151">
        <f>IF(B151="","",Products!C151)</f>
        <v/>
      </c>
      <c r="D151">
        <f>IF(B151="","",SUMIFS(Sales!$E$5:$E$2004,Sales!$D$5:$D$2004,B151))</f>
        <v/>
      </c>
      <c r="E151" s="22">
        <f>IF(B151="","",SUMIFS(Sales!$J$5:$J$2004,Sales!$D$5:$D$2004,B151))</f>
        <v/>
      </c>
      <c r="F151" s="22">
        <f>IF(B151="","",SUMIFS(Sales!$K$5:$K$2004,Sales!$D$5:$D$2004,B151)+SUMIFS(Sales!$L$5:$L$2004,Sales!$D$5:$D$2004,B151))</f>
        <v/>
      </c>
      <c r="G151" s="22">
        <f>IF(B151="","",SUMIFS(Sales!$M$5:$M$2004,Sales!$D$5:$D$2004,B151))</f>
        <v/>
      </c>
      <c r="H151" s="22">
        <f>IF(B151="","",SUMIFS(Sales!$I$5:$I$2004,Sales!$D$5:$D$2004,B151))</f>
        <v/>
      </c>
      <c r="I151" s="22">
        <f>IF(B151="","",E151-F151-G151-H151)</f>
        <v/>
      </c>
      <c r="J151" s="23">
        <f>IF(B151="","",IF(E151=0,"",I151/E151))</f>
        <v/>
      </c>
    </row>
    <row r="152">
      <c r="B152">
        <f>IF(Products!B152="","",Products!B152)</f>
        <v/>
      </c>
      <c r="C152">
        <f>IF(B152="","",Products!C152)</f>
        <v/>
      </c>
      <c r="D152">
        <f>IF(B152="","",SUMIFS(Sales!$E$5:$E$2004,Sales!$D$5:$D$2004,B152))</f>
        <v/>
      </c>
      <c r="E152" s="22">
        <f>IF(B152="","",SUMIFS(Sales!$J$5:$J$2004,Sales!$D$5:$D$2004,B152))</f>
        <v/>
      </c>
      <c r="F152" s="22">
        <f>IF(B152="","",SUMIFS(Sales!$K$5:$K$2004,Sales!$D$5:$D$2004,B152)+SUMIFS(Sales!$L$5:$L$2004,Sales!$D$5:$D$2004,B152))</f>
        <v/>
      </c>
      <c r="G152" s="22">
        <f>IF(B152="","",SUMIFS(Sales!$M$5:$M$2004,Sales!$D$5:$D$2004,B152))</f>
        <v/>
      </c>
      <c r="H152" s="22">
        <f>IF(B152="","",SUMIFS(Sales!$I$5:$I$2004,Sales!$D$5:$D$2004,B152))</f>
        <v/>
      </c>
      <c r="I152" s="22">
        <f>IF(B152="","",E152-F152-G152-H152)</f>
        <v/>
      </c>
      <c r="J152" s="23">
        <f>IF(B152="","",IF(E152=0,"",I152/E152))</f>
        <v/>
      </c>
    </row>
    <row r="153">
      <c r="B153">
        <f>IF(Products!B153="","",Products!B153)</f>
        <v/>
      </c>
      <c r="C153">
        <f>IF(B153="","",Products!C153)</f>
        <v/>
      </c>
      <c r="D153">
        <f>IF(B153="","",SUMIFS(Sales!$E$5:$E$2004,Sales!$D$5:$D$2004,B153))</f>
        <v/>
      </c>
      <c r="E153" s="22">
        <f>IF(B153="","",SUMIFS(Sales!$J$5:$J$2004,Sales!$D$5:$D$2004,B153))</f>
        <v/>
      </c>
      <c r="F153" s="22">
        <f>IF(B153="","",SUMIFS(Sales!$K$5:$K$2004,Sales!$D$5:$D$2004,B153)+SUMIFS(Sales!$L$5:$L$2004,Sales!$D$5:$D$2004,B153))</f>
        <v/>
      </c>
      <c r="G153" s="22">
        <f>IF(B153="","",SUMIFS(Sales!$M$5:$M$2004,Sales!$D$5:$D$2004,B153))</f>
        <v/>
      </c>
      <c r="H153" s="22">
        <f>IF(B153="","",SUMIFS(Sales!$I$5:$I$2004,Sales!$D$5:$D$2004,B153))</f>
        <v/>
      </c>
      <c r="I153" s="22">
        <f>IF(B153="","",E153-F153-G153-H153)</f>
        <v/>
      </c>
      <c r="J153" s="23">
        <f>IF(B153="","",IF(E153=0,"",I153/E153))</f>
        <v/>
      </c>
    </row>
    <row r="154">
      <c r="B154">
        <f>IF(Products!B154="","",Products!B154)</f>
        <v/>
      </c>
      <c r="C154">
        <f>IF(B154="","",Products!C154)</f>
        <v/>
      </c>
      <c r="D154">
        <f>IF(B154="","",SUMIFS(Sales!$E$5:$E$2004,Sales!$D$5:$D$2004,B154))</f>
        <v/>
      </c>
      <c r="E154" s="22">
        <f>IF(B154="","",SUMIFS(Sales!$J$5:$J$2004,Sales!$D$5:$D$2004,B154))</f>
        <v/>
      </c>
      <c r="F154" s="22">
        <f>IF(B154="","",SUMIFS(Sales!$K$5:$K$2004,Sales!$D$5:$D$2004,B154)+SUMIFS(Sales!$L$5:$L$2004,Sales!$D$5:$D$2004,B154))</f>
        <v/>
      </c>
      <c r="G154" s="22">
        <f>IF(B154="","",SUMIFS(Sales!$M$5:$M$2004,Sales!$D$5:$D$2004,B154))</f>
        <v/>
      </c>
      <c r="H154" s="22">
        <f>IF(B154="","",SUMIFS(Sales!$I$5:$I$2004,Sales!$D$5:$D$2004,B154))</f>
        <v/>
      </c>
      <c r="I154" s="22">
        <f>IF(B154="","",E154-F154-G154-H154)</f>
        <v/>
      </c>
      <c r="J154" s="23">
        <f>IF(B154="","",IF(E154=0,"",I154/E154))</f>
        <v/>
      </c>
    </row>
    <row r="155">
      <c r="B155">
        <f>IF(Products!B155="","",Products!B155)</f>
        <v/>
      </c>
      <c r="C155">
        <f>IF(B155="","",Products!C155)</f>
        <v/>
      </c>
      <c r="D155">
        <f>IF(B155="","",SUMIFS(Sales!$E$5:$E$2004,Sales!$D$5:$D$2004,B155))</f>
        <v/>
      </c>
      <c r="E155" s="22">
        <f>IF(B155="","",SUMIFS(Sales!$J$5:$J$2004,Sales!$D$5:$D$2004,B155))</f>
        <v/>
      </c>
      <c r="F155" s="22">
        <f>IF(B155="","",SUMIFS(Sales!$K$5:$K$2004,Sales!$D$5:$D$2004,B155)+SUMIFS(Sales!$L$5:$L$2004,Sales!$D$5:$D$2004,B155))</f>
        <v/>
      </c>
      <c r="G155" s="22">
        <f>IF(B155="","",SUMIFS(Sales!$M$5:$M$2004,Sales!$D$5:$D$2004,B155))</f>
        <v/>
      </c>
      <c r="H155" s="22">
        <f>IF(B155="","",SUMIFS(Sales!$I$5:$I$2004,Sales!$D$5:$D$2004,B155))</f>
        <v/>
      </c>
      <c r="I155" s="22">
        <f>IF(B155="","",E155-F155-G155-H155)</f>
        <v/>
      </c>
      <c r="J155" s="23">
        <f>IF(B155="","",IF(E155=0,"",I155/E155))</f>
        <v/>
      </c>
    </row>
    <row r="156">
      <c r="B156">
        <f>IF(Products!B156="","",Products!B156)</f>
        <v/>
      </c>
      <c r="C156">
        <f>IF(B156="","",Products!C156)</f>
        <v/>
      </c>
      <c r="D156">
        <f>IF(B156="","",SUMIFS(Sales!$E$5:$E$2004,Sales!$D$5:$D$2004,B156))</f>
        <v/>
      </c>
      <c r="E156" s="22">
        <f>IF(B156="","",SUMIFS(Sales!$J$5:$J$2004,Sales!$D$5:$D$2004,B156))</f>
        <v/>
      </c>
      <c r="F156" s="22">
        <f>IF(B156="","",SUMIFS(Sales!$K$5:$K$2004,Sales!$D$5:$D$2004,B156)+SUMIFS(Sales!$L$5:$L$2004,Sales!$D$5:$D$2004,B156))</f>
        <v/>
      </c>
      <c r="G156" s="22">
        <f>IF(B156="","",SUMIFS(Sales!$M$5:$M$2004,Sales!$D$5:$D$2004,B156))</f>
        <v/>
      </c>
      <c r="H156" s="22">
        <f>IF(B156="","",SUMIFS(Sales!$I$5:$I$2004,Sales!$D$5:$D$2004,B156))</f>
        <v/>
      </c>
      <c r="I156" s="22">
        <f>IF(B156="","",E156-F156-G156-H156)</f>
        <v/>
      </c>
      <c r="J156" s="23">
        <f>IF(B156="","",IF(E156=0,"",I156/E156))</f>
        <v/>
      </c>
    </row>
    <row r="157">
      <c r="B157">
        <f>IF(Products!B157="","",Products!B157)</f>
        <v/>
      </c>
      <c r="C157">
        <f>IF(B157="","",Products!C157)</f>
        <v/>
      </c>
      <c r="D157">
        <f>IF(B157="","",SUMIFS(Sales!$E$5:$E$2004,Sales!$D$5:$D$2004,B157))</f>
        <v/>
      </c>
      <c r="E157" s="22">
        <f>IF(B157="","",SUMIFS(Sales!$J$5:$J$2004,Sales!$D$5:$D$2004,B157))</f>
        <v/>
      </c>
      <c r="F157" s="22">
        <f>IF(B157="","",SUMIFS(Sales!$K$5:$K$2004,Sales!$D$5:$D$2004,B157)+SUMIFS(Sales!$L$5:$L$2004,Sales!$D$5:$D$2004,B157))</f>
        <v/>
      </c>
      <c r="G157" s="22">
        <f>IF(B157="","",SUMIFS(Sales!$M$5:$M$2004,Sales!$D$5:$D$2004,B157))</f>
        <v/>
      </c>
      <c r="H157" s="22">
        <f>IF(B157="","",SUMIFS(Sales!$I$5:$I$2004,Sales!$D$5:$D$2004,B157))</f>
        <v/>
      </c>
      <c r="I157" s="22">
        <f>IF(B157="","",E157-F157-G157-H157)</f>
        <v/>
      </c>
      <c r="J157" s="23">
        <f>IF(B157="","",IF(E157=0,"",I157/E157))</f>
        <v/>
      </c>
    </row>
    <row r="158">
      <c r="B158">
        <f>IF(Products!B158="","",Products!B158)</f>
        <v/>
      </c>
      <c r="C158">
        <f>IF(B158="","",Products!C158)</f>
        <v/>
      </c>
      <c r="D158">
        <f>IF(B158="","",SUMIFS(Sales!$E$5:$E$2004,Sales!$D$5:$D$2004,B158))</f>
        <v/>
      </c>
      <c r="E158" s="22">
        <f>IF(B158="","",SUMIFS(Sales!$J$5:$J$2004,Sales!$D$5:$D$2004,B158))</f>
        <v/>
      </c>
      <c r="F158" s="22">
        <f>IF(B158="","",SUMIFS(Sales!$K$5:$K$2004,Sales!$D$5:$D$2004,B158)+SUMIFS(Sales!$L$5:$L$2004,Sales!$D$5:$D$2004,B158))</f>
        <v/>
      </c>
      <c r="G158" s="22">
        <f>IF(B158="","",SUMIFS(Sales!$M$5:$M$2004,Sales!$D$5:$D$2004,B158))</f>
        <v/>
      </c>
      <c r="H158" s="22">
        <f>IF(B158="","",SUMIFS(Sales!$I$5:$I$2004,Sales!$D$5:$D$2004,B158))</f>
        <v/>
      </c>
      <c r="I158" s="22">
        <f>IF(B158="","",E158-F158-G158-H158)</f>
        <v/>
      </c>
      <c r="J158" s="23">
        <f>IF(B158="","",IF(E158=0,"",I158/E158))</f>
        <v/>
      </c>
    </row>
    <row r="159">
      <c r="B159">
        <f>IF(Products!B159="","",Products!B159)</f>
        <v/>
      </c>
      <c r="C159">
        <f>IF(B159="","",Products!C159)</f>
        <v/>
      </c>
      <c r="D159">
        <f>IF(B159="","",SUMIFS(Sales!$E$5:$E$2004,Sales!$D$5:$D$2004,B159))</f>
        <v/>
      </c>
      <c r="E159" s="22">
        <f>IF(B159="","",SUMIFS(Sales!$J$5:$J$2004,Sales!$D$5:$D$2004,B159))</f>
        <v/>
      </c>
      <c r="F159" s="22">
        <f>IF(B159="","",SUMIFS(Sales!$K$5:$K$2004,Sales!$D$5:$D$2004,B159)+SUMIFS(Sales!$L$5:$L$2004,Sales!$D$5:$D$2004,B159))</f>
        <v/>
      </c>
      <c r="G159" s="22">
        <f>IF(B159="","",SUMIFS(Sales!$M$5:$M$2004,Sales!$D$5:$D$2004,B159))</f>
        <v/>
      </c>
      <c r="H159" s="22">
        <f>IF(B159="","",SUMIFS(Sales!$I$5:$I$2004,Sales!$D$5:$D$2004,B159))</f>
        <v/>
      </c>
      <c r="I159" s="22">
        <f>IF(B159="","",E159-F159-G159-H159)</f>
        <v/>
      </c>
      <c r="J159" s="23">
        <f>IF(B159="","",IF(E159=0,"",I159/E159))</f>
        <v/>
      </c>
    </row>
    <row r="160">
      <c r="B160">
        <f>IF(Products!B160="","",Products!B160)</f>
        <v/>
      </c>
      <c r="C160">
        <f>IF(B160="","",Products!C160)</f>
        <v/>
      </c>
      <c r="D160">
        <f>IF(B160="","",SUMIFS(Sales!$E$5:$E$2004,Sales!$D$5:$D$2004,B160))</f>
        <v/>
      </c>
      <c r="E160" s="22">
        <f>IF(B160="","",SUMIFS(Sales!$J$5:$J$2004,Sales!$D$5:$D$2004,B160))</f>
        <v/>
      </c>
      <c r="F160" s="22">
        <f>IF(B160="","",SUMIFS(Sales!$K$5:$K$2004,Sales!$D$5:$D$2004,B160)+SUMIFS(Sales!$L$5:$L$2004,Sales!$D$5:$D$2004,B160))</f>
        <v/>
      </c>
      <c r="G160" s="22">
        <f>IF(B160="","",SUMIFS(Sales!$M$5:$M$2004,Sales!$D$5:$D$2004,B160))</f>
        <v/>
      </c>
      <c r="H160" s="22">
        <f>IF(B160="","",SUMIFS(Sales!$I$5:$I$2004,Sales!$D$5:$D$2004,B160))</f>
        <v/>
      </c>
      <c r="I160" s="22">
        <f>IF(B160="","",E160-F160-G160-H160)</f>
        <v/>
      </c>
      <c r="J160" s="23">
        <f>IF(B160="","",IF(E160=0,"",I160/E160))</f>
        <v/>
      </c>
    </row>
    <row r="161">
      <c r="B161">
        <f>IF(Products!B161="","",Products!B161)</f>
        <v/>
      </c>
      <c r="C161">
        <f>IF(B161="","",Products!C161)</f>
        <v/>
      </c>
      <c r="D161">
        <f>IF(B161="","",SUMIFS(Sales!$E$5:$E$2004,Sales!$D$5:$D$2004,B161))</f>
        <v/>
      </c>
      <c r="E161" s="22">
        <f>IF(B161="","",SUMIFS(Sales!$J$5:$J$2004,Sales!$D$5:$D$2004,B161))</f>
        <v/>
      </c>
      <c r="F161" s="22">
        <f>IF(B161="","",SUMIFS(Sales!$K$5:$K$2004,Sales!$D$5:$D$2004,B161)+SUMIFS(Sales!$L$5:$L$2004,Sales!$D$5:$D$2004,B161))</f>
        <v/>
      </c>
      <c r="G161" s="22">
        <f>IF(B161="","",SUMIFS(Sales!$M$5:$M$2004,Sales!$D$5:$D$2004,B161))</f>
        <v/>
      </c>
      <c r="H161" s="22">
        <f>IF(B161="","",SUMIFS(Sales!$I$5:$I$2004,Sales!$D$5:$D$2004,B161))</f>
        <v/>
      </c>
      <c r="I161" s="22">
        <f>IF(B161="","",E161-F161-G161-H161)</f>
        <v/>
      </c>
      <c r="J161" s="23">
        <f>IF(B161="","",IF(E161=0,"",I161/E161))</f>
        <v/>
      </c>
    </row>
    <row r="162">
      <c r="B162">
        <f>IF(Products!B162="","",Products!B162)</f>
        <v/>
      </c>
      <c r="C162">
        <f>IF(B162="","",Products!C162)</f>
        <v/>
      </c>
      <c r="D162">
        <f>IF(B162="","",SUMIFS(Sales!$E$5:$E$2004,Sales!$D$5:$D$2004,B162))</f>
        <v/>
      </c>
      <c r="E162" s="22">
        <f>IF(B162="","",SUMIFS(Sales!$J$5:$J$2004,Sales!$D$5:$D$2004,B162))</f>
        <v/>
      </c>
      <c r="F162" s="22">
        <f>IF(B162="","",SUMIFS(Sales!$K$5:$K$2004,Sales!$D$5:$D$2004,B162)+SUMIFS(Sales!$L$5:$L$2004,Sales!$D$5:$D$2004,B162))</f>
        <v/>
      </c>
      <c r="G162" s="22">
        <f>IF(B162="","",SUMIFS(Sales!$M$5:$M$2004,Sales!$D$5:$D$2004,B162))</f>
        <v/>
      </c>
      <c r="H162" s="22">
        <f>IF(B162="","",SUMIFS(Sales!$I$5:$I$2004,Sales!$D$5:$D$2004,B162))</f>
        <v/>
      </c>
      <c r="I162" s="22">
        <f>IF(B162="","",E162-F162-G162-H162)</f>
        <v/>
      </c>
      <c r="J162" s="23">
        <f>IF(B162="","",IF(E162=0,"",I162/E162))</f>
        <v/>
      </c>
    </row>
    <row r="163">
      <c r="B163">
        <f>IF(Products!B163="","",Products!B163)</f>
        <v/>
      </c>
      <c r="C163">
        <f>IF(B163="","",Products!C163)</f>
        <v/>
      </c>
      <c r="D163">
        <f>IF(B163="","",SUMIFS(Sales!$E$5:$E$2004,Sales!$D$5:$D$2004,B163))</f>
        <v/>
      </c>
      <c r="E163" s="22">
        <f>IF(B163="","",SUMIFS(Sales!$J$5:$J$2004,Sales!$D$5:$D$2004,B163))</f>
        <v/>
      </c>
      <c r="F163" s="22">
        <f>IF(B163="","",SUMIFS(Sales!$K$5:$K$2004,Sales!$D$5:$D$2004,B163)+SUMIFS(Sales!$L$5:$L$2004,Sales!$D$5:$D$2004,B163))</f>
        <v/>
      </c>
      <c r="G163" s="22">
        <f>IF(B163="","",SUMIFS(Sales!$M$5:$M$2004,Sales!$D$5:$D$2004,B163))</f>
        <v/>
      </c>
      <c r="H163" s="22">
        <f>IF(B163="","",SUMIFS(Sales!$I$5:$I$2004,Sales!$D$5:$D$2004,B163))</f>
        <v/>
      </c>
      <c r="I163" s="22">
        <f>IF(B163="","",E163-F163-G163-H163)</f>
        <v/>
      </c>
      <c r="J163" s="23">
        <f>IF(B163="","",IF(E163=0,"",I163/E163))</f>
        <v/>
      </c>
    </row>
    <row r="164">
      <c r="B164">
        <f>IF(Products!B164="","",Products!B164)</f>
        <v/>
      </c>
      <c r="C164">
        <f>IF(B164="","",Products!C164)</f>
        <v/>
      </c>
      <c r="D164">
        <f>IF(B164="","",SUMIFS(Sales!$E$5:$E$2004,Sales!$D$5:$D$2004,B164))</f>
        <v/>
      </c>
      <c r="E164" s="22">
        <f>IF(B164="","",SUMIFS(Sales!$J$5:$J$2004,Sales!$D$5:$D$2004,B164))</f>
        <v/>
      </c>
      <c r="F164" s="22">
        <f>IF(B164="","",SUMIFS(Sales!$K$5:$K$2004,Sales!$D$5:$D$2004,B164)+SUMIFS(Sales!$L$5:$L$2004,Sales!$D$5:$D$2004,B164))</f>
        <v/>
      </c>
      <c r="G164" s="22">
        <f>IF(B164="","",SUMIFS(Sales!$M$5:$M$2004,Sales!$D$5:$D$2004,B164))</f>
        <v/>
      </c>
      <c r="H164" s="22">
        <f>IF(B164="","",SUMIFS(Sales!$I$5:$I$2004,Sales!$D$5:$D$2004,B164))</f>
        <v/>
      </c>
      <c r="I164" s="22">
        <f>IF(B164="","",E164-F164-G164-H164)</f>
        <v/>
      </c>
      <c r="J164" s="23">
        <f>IF(B164="","",IF(E164=0,"",I164/E164))</f>
        <v/>
      </c>
    </row>
    <row r="165">
      <c r="B165">
        <f>IF(Products!B165="","",Products!B165)</f>
        <v/>
      </c>
      <c r="C165">
        <f>IF(B165="","",Products!C165)</f>
        <v/>
      </c>
      <c r="D165">
        <f>IF(B165="","",SUMIFS(Sales!$E$5:$E$2004,Sales!$D$5:$D$2004,B165))</f>
        <v/>
      </c>
      <c r="E165" s="22">
        <f>IF(B165="","",SUMIFS(Sales!$J$5:$J$2004,Sales!$D$5:$D$2004,B165))</f>
        <v/>
      </c>
      <c r="F165" s="22">
        <f>IF(B165="","",SUMIFS(Sales!$K$5:$K$2004,Sales!$D$5:$D$2004,B165)+SUMIFS(Sales!$L$5:$L$2004,Sales!$D$5:$D$2004,B165))</f>
        <v/>
      </c>
      <c r="G165" s="22">
        <f>IF(B165="","",SUMIFS(Sales!$M$5:$M$2004,Sales!$D$5:$D$2004,B165))</f>
        <v/>
      </c>
      <c r="H165" s="22">
        <f>IF(B165="","",SUMIFS(Sales!$I$5:$I$2004,Sales!$D$5:$D$2004,B165))</f>
        <v/>
      </c>
      <c r="I165" s="22">
        <f>IF(B165="","",E165-F165-G165-H165)</f>
        <v/>
      </c>
      <c r="J165" s="23">
        <f>IF(B165="","",IF(E165=0,"",I165/E165))</f>
        <v/>
      </c>
    </row>
    <row r="166">
      <c r="B166">
        <f>IF(Products!B166="","",Products!B166)</f>
        <v/>
      </c>
      <c r="C166">
        <f>IF(B166="","",Products!C166)</f>
        <v/>
      </c>
      <c r="D166">
        <f>IF(B166="","",SUMIFS(Sales!$E$5:$E$2004,Sales!$D$5:$D$2004,B166))</f>
        <v/>
      </c>
      <c r="E166" s="22">
        <f>IF(B166="","",SUMIFS(Sales!$J$5:$J$2004,Sales!$D$5:$D$2004,B166))</f>
        <v/>
      </c>
      <c r="F166" s="22">
        <f>IF(B166="","",SUMIFS(Sales!$K$5:$K$2004,Sales!$D$5:$D$2004,B166)+SUMIFS(Sales!$L$5:$L$2004,Sales!$D$5:$D$2004,B166))</f>
        <v/>
      </c>
      <c r="G166" s="22">
        <f>IF(B166="","",SUMIFS(Sales!$M$5:$M$2004,Sales!$D$5:$D$2004,B166))</f>
        <v/>
      </c>
      <c r="H166" s="22">
        <f>IF(B166="","",SUMIFS(Sales!$I$5:$I$2004,Sales!$D$5:$D$2004,B166))</f>
        <v/>
      </c>
      <c r="I166" s="22">
        <f>IF(B166="","",E166-F166-G166-H166)</f>
        <v/>
      </c>
      <c r="J166" s="23">
        <f>IF(B166="","",IF(E166=0,"",I166/E166))</f>
        <v/>
      </c>
    </row>
    <row r="167">
      <c r="B167">
        <f>IF(Products!B167="","",Products!B167)</f>
        <v/>
      </c>
      <c r="C167">
        <f>IF(B167="","",Products!C167)</f>
        <v/>
      </c>
      <c r="D167">
        <f>IF(B167="","",SUMIFS(Sales!$E$5:$E$2004,Sales!$D$5:$D$2004,B167))</f>
        <v/>
      </c>
      <c r="E167" s="22">
        <f>IF(B167="","",SUMIFS(Sales!$J$5:$J$2004,Sales!$D$5:$D$2004,B167))</f>
        <v/>
      </c>
      <c r="F167" s="22">
        <f>IF(B167="","",SUMIFS(Sales!$K$5:$K$2004,Sales!$D$5:$D$2004,B167)+SUMIFS(Sales!$L$5:$L$2004,Sales!$D$5:$D$2004,B167))</f>
        <v/>
      </c>
      <c r="G167" s="22">
        <f>IF(B167="","",SUMIFS(Sales!$M$5:$M$2004,Sales!$D$5:$D$2004,B167))</f>
        <v/>
      </c>
      <c r="H167" s="22">
        <f>IF(B167="","",SUMIFS(Sales!$I$5:$I$2004,Sales!$D$5:$D$2004,B167))</f>
        <v/>
      </c>
      <c r="I167" s="22">
        <f>IF(B167="","",E167-F167-G167-H167)</f>
        <v/>
      </c>
      <c r="J167" s="23">
        <f>IF(B167="","",IF(E167=0,"",I167/E167))</f>
        <v/>
      </c>
    </row>
    <row r="168">
      <c r="B168">
        <f>IF(Products!B168="","",Products!B168)</f>
        <v/>
      </c>
      <c r="C168">
        <f>IF(B168="","",Products!C168)</f>
        <v/>
      </c>
      <c r="D168">
        <f>IF(B168="","",SUMIFS(Sales!$E$5:$E$2004,Sales!$D$5:$D$2004,B168))</f>
        <v/>
      </c>
      <c r="E168" s="22">
        <f>IF(B168="","",SUMIFS(Sales!$J$5:$J$2004,Sales!$D$5:$D$2004,B168))</f>
        <v/>
      </c>
      <c r="F168" s="22">
        <f>IF(B168="","",SUMIFS(Sales!$K$5:$K$2004,Sales!$D$5:$D$2004,B168)+SUMIFS(Sales!$L$5:$L$2004,Sales!$D$5:$D$2004,B168))</f>
        <v/>
      </c>
      <c r="G168" s="22">
        <f>IF(B168="","",SUMIFS(Sales!$M$5:$M$2004,Sales!$D$5:$D$2004,B168))</f>
        <v/>
      </c>
      <c r="H168" s="22">
        <f>IF(B168="","",SUMIFS(Sales!$I$5:$I$2004,Sales!$D$5:$D$2004,B168))</f>
        <v/>
      </c>
      <c r="I168" s="22">
        <f>IF(B168="","",E168-F168-G168-H168)</f>
        <v/>
      </c>
      <c r="J168" s="23">
        <f>IF(B168="","",IF(E168=0,"",I168/E168))</f>
        <v/>
      </c>
    </row>
    <row r="169">
      <c r="B169">
        <f>IF(Products!B169="","",Products!B169)</f>
        <v/>
      </c>
      <c r="C169">
        <f>IF(B169="","",Products!C169)</f>
        <v/>
      </c>
      <c r="D169">
        <f>IF(B169="","",SUMIFS(Sales!$E$5:$E$2004,Sales!$D$5:$D$2004,B169))</f>
        <v/>
      </c>
      <c r="E169" s="22">
        <f>IF(B169="","",SUMIFS(Sales!$J$5:$J$2004,Sales!$D$5:$D$2004,B169))</f>
        <v/>
      </c>
      <c r="F169" s="22">
        <f>IF(B169="","",SUMIFS(Sales!$K$5:$K$2004,Sales!$D$5:$D$2004,B169)+SUMIFS(Sales!$L$5:$L$2004,Sales!$D$5:$D$2004,B169))</f>
        <v/>
      </c>
      <c r="G169" s="22">
        <f>IF(B169="","",SUMIFS(Sales!$M$5:$M$2004,Sales!$D$5:$D$2004,B169))</f>
        <v/>
      </c>
      <c r="H169" s="22">
        <f>IF(B169="","",SUMIFS(Sales!$I$5:$I$2004,Sales!$D$5:$D$2004,B169))</f>
        <v/>
      </c>
      <c r="I169" s="22">
        <f>IF(B169="","",E169-F169-G169-H169)</f>
        <v/>
      </c>
      <c r="J169" s="23">
        <f>IF(B169="","",IF(E169=0,"",I169/E169))</f>
        <v/>
      </c>
    </row>
    <row r="170">
      <c r="B170">
        <f>IF(Products!B170="","",Products!B170)</f>
        <v/>
      </c>
      <c r="C170">
        <f>IF(B170="","",Products!C170)</f>
        <v/>
      </c>
      <c r="D170">
        <f>IF(B170="","",SUMIFS(Sales!$E$5:$E$2004,Sales!$D$5:$D$2004,B170))</f>
        <v/>
      </c>
      <c r="E170" s="22">
        <f>IF(B170="","",SUMIFS(Sales!$J$5:$J$2004,Sales!$D$5:$D$2004,B170))</f>
        <v/>
      </c>
      <c r="F170" s="22">
        <f>IF(B170="","",SUMIFS(Sales!$K$5:$K$2004,Sales!$D$5:$D$2004,B170)+SUMIFS(Sales!$L$5:$L$2004,Sales!$D$5:$D$2004,B170))</f>
        <v/>
      </c>
      <c r="G170" s="22">
        <f>IF(B170="","",SUMIFS(Sales!$M$5:$M$2004,Sales!$D$5:$D$2004,B170))</f>
        <v/>
      </c>
      <c r="H170" s="22">
        <f>IF(B170="","",SUMIFS(Sales!$I$5:$I$2004,Sales!$D$5:$D$2004,B170))</f>
        <v/>
      </c>
      <c r="I170" s="22">
        <f>IF(B170="","",E170-F170-G170-H170)</f>
        <v/>
      </c>
      <c r="J170" s="23">
        <f>IF(B170="","",IF(E170=0,"",I170/E170))</f>
        <v/>
      </c>
    </row>
    <row r="171">
      <c r="B171">
        <f>IF(Products!B171="","",Products!B171)</f>
        <v/>
      </c>
      <c r="C171">
        <f>IF(B171="","",Products!C171)</f>
        <v/>
      </c>
      <c r="D171">
        <f>IF(B171="","",SUMIFS(Sales!$E$5:$E$2004,Sales!$D$5:$D$2004,B171))</f>
        <v/>
      </c>
      <c r="E171" s="22">
        <f>IF(B171="","",SUMIFS(Sales!$J$5:$J$2004,Sales!$D$5:$D$2004,B171))</f>
        <v/>
      </c>
      <c r="F171" s="22">
        <f>IF(B171="","",SUMIFS(Sales!$K$5:$K$2004,Sales!$D$5:$D$2004,B171)+SUMIFS(Sales!$L$5:$L$2004,Sales!$D$5:$D$2004,B171))</f>
        <v/>
      </c>
      <c r="G171" s="22">
        <f>IF(B171="","",SUMIFS(Sales!$M$5:$M$2004,Sales!$D$5:$D$2004,B171))</f>
        <v/>
      </c>
      <c r="H171" s="22">
        <f>IF(B171="","",SUMIFS(Sales!$I$5:$I$2004,Sales!$D$5:$D$2004,B171))</f>
        <v/>
      </c>
      <c r="I171" s="22">
        <f>IF(B171="","",E171-F171-G171-H171)</f>
        <v/>
      </c>
      <c r="J171" s="23">
        <f>IF(B171="","",IF(E171=0,"",I171/E171))</f>
        <v/>
      </c>
    </row>
    <row r="172">
      <c r="B172">
        <f>IF(Products!B172="","",Products!B172)</f>
        <v/>
      </c>
      <c r="C172">
        <f>IF(B172="","",Products!C172)</f>
        <v/>
      </c>
      <c r="D172">
        <f>IF(B172="","",SUMIFS(Sales!$E$5:$E$2004,Sales!$D$5:$D$2004,B172))</f>
        <v/>
      </c>
      <c r="E172" s="22">
        <f>IF(B172="","",SUMIFS(Sales!$J$5:$J$2004,Sales!$D$5:$D$2004,B172))</f>
        <v/>
      </c>
      <c r="F172" s="22">
        <f>IF(B172="","",SUMIFS(Sales!$K$5:$K$2004,Sales!$D$5:$D$2004,B172)+SUMIFS(Sales!$L$5:$L$2004,Sales!$D$5:$D$2004,B172))</f>
        <v/>
      </c>
      <c r="G172" s="22">
        <f>IF(B172="","",SUMIFS(Sales!$M$5:$M$2004,Sales!$D$5:$D$2004,B172))</f>
        <v/>
      </c>
      <c r="H172" s="22">
        <f>IF(B172="","",SUMIFS(Sales!$I$5:$I$2004,Sales!$D$5:$D$2004,B172))</f>
        <v/>
      </c>
      <c r="I172" s="22">
        <f>IF(B172="","",E172-F172-G172-H172)</f>
        <v/>
      </c>
      <c r="J172" s="23">
        <f>IF(B172="","",IF(E172=0,"",I172/E172))</f>
        <v/>
      </c>
    </row>
    <row r="173">
      <c r="B173">
        <f>IF(Products!B173="","",Products!B173)</f>
        <v/>
      </c>
      <c r="C173">
        <f>IF(B173="","",Products!C173)</f>
        <v/>
      </c>
      <c r="D173">
        <f>IF(B173="","",SUMIFS(Sales!$E$5:$E$2004,Sales!$D$5:$D$2004,B173))</f>
        <v/>
      </c>
      <c r="E173" s="22">
        <f>IF(B173="","",SUMIFS(Sales!$J$5:$J$2004,Sales!$D$5:$D$2004,B173))</f>
        <v/>
      </c>
      <c r="F173" s="22">
        <f>IF(B173="","",SUMIFS(Sales!$K$5:$K$2004,Sales!$D$5:$D$2004,B173)+SUMIFS(Sales!$L$5:$L$2004,Sales!$D$5:$D$2004,B173))</f>
        <v/>
      </c>
      <c r="G173" s="22">
        <f>IF(B173="","",SUMIFS(Sales!$M$5:$M$2004,Sales!$D$5:$D$2004,B173))</f>
        <v/>
      </c>
      <c r="H173" s="22">
        <f>IF(B173="","",SUMIFS(Sales!$I$5:$I$2004,Sales!$D$5:$D$2004,B173))</f>
        <v/>
      </c>
      <c r="I173" s="22">
        <f>IF(B173="","",E173-F173-G173-H173)</f>
        <v/>
      </c>
      <c r="J173" s="23">
        <f>IF(B173="","",IF(E173=0,"",I173/E173))</f>
        <v/>
      </c>
    </row>
    <row r="174">
      <c r="B174">
        <f>IF(Products!B174="","",Products!B174)</f>
        <v/>
      </c>
      <c r="C174">
        <f>IF(B174="","",Products!C174)</f>
        <v/>
      </c>
      <c r="D174">
        <f>IF(B174="","",SUMIFS(Sales!$E$5:$E$2004,Sales!$D$5:$D$2004,B174))</f>
        <v/>
      </c>
      <c r="E174" s="22">
        <f>IF(B174="","",SUMIFS(Sales!$J$5:$J$2004,Sales!$D$5:$D$2004,B174))</f>
        <v/>
      </c>
      <c r="F174" s="22">
        <f>IF(B174="","",SUMIFS(Sales!$K$5:$K$2004,Sales!$D$5:$D$2004,B174)+SUMIFS(Sales!$L$5:$L$2004,Sales!$D$5:$D$2004,B174))</f>
        <v/>
      </c>
      <c r="G174" s="22">
        <f>IF(B174="","",SUMIFS(Sales!$M$5:$M$2004,Sales!$D$5:$D$2004,B174))</f>
        <v/>
      </c>
      <c r="H174" s="22">
        <f>IF(B174="","",SUMIFS(Sales!$I$5:$I$2004,Sales!$D$5:$D$2004,B174))</f>
        <v/>
      </c>
      <c r="I174" s="22">
        <f>IF(B174="","",E174-F174-G174-H174)</f>
        <v/>
      </c>
      <c r="J174" s="23">
        <f>IF(B174="","",IF(E174=0,"",I174/E174))</f>
        <v/>
      </c>
    </row>
    <row r="175">
      <c r="B175">
        <f>IF(Products!B175="","",Products!B175)</f>
        <v/>
      </c>
      <c r="C175">
        <f>IF(B175="","",Products!C175)</f>
        <v/>
      </c>
      <c r="D175">
        <f>IF(B175="","",SUMIFS(Sales!$E$5:$E$2004,Sales!$D$5:$D$2004,B175))</f>
        <v/>
      </c>
      <c r="E175" s="22">
        <f>IF(B175="","",SUMIFS(Sales!$J$5:$J$2004,Sales!$D$5:$D$2004,B175))</f>
        <v/>
      </c>
      <c r="F175" s="22">
        <f>IF(B175="","",SUMIFS(Sales!$K$5:$K$2004,Sales!$D$5:$D$2004,B175)+SUMIFS(Sales!$L$5:$L$2004,Sales!$D$5:$D$2004,B175))</f>
        <v/>
      </c>
      <c r="G175" s="22">
        <f>IF(B175="","",SUMIFS(Sales!$M$5:$M$2004,Sales!$D$5:$D$2004,B175))</f>
        <v/>
      </c>
      <c r="H175" s="22">
        <f>IF(B175="","",SUMIFS(Sales!$I$5:$I$2004,Sales!$D$5:$D$2004,B175))</f>
        <v/>
      </c>
      <c r="I175" s="22">
        <f>IF(B175="","",E175-F175-G175-H175)</f>
        <v/>
      </c>
      <c r="J175" s="23">
        <f>IF(B175="","",IF(E175=0,"",I175/E175))</f>
        <v/>
      </c>
    </row>
    <row r="176">
      <c r="B176">
        <f>IF(Products!B176="","",Products!B176)</f>
        <v/>
      </c>
      <c r="C176">
        <f>IF(B176="","",Products!C176)</f>
        <v/>
      </c>
      <c r="D176">
        <f>IF(B176="","",SUMIFS(Sales!$E$5:$E$2004,Sales!$D$5:$D$2004,B176))</f>
        <v/>
      </c>
      <c r="E176" s="22">
        <f>IF(B176="","",SUMIFS(Sales!$J$5:$J$2004,Sales!$D$5:$D$2004,B176))</f>
        <v/>
      </c>
      <c r="F176" s="22">
        <f>IF(B176="","",SUMIFS(Sales!$K$5:$K$2004,Sales!$D$5:$D$2004,B176)+SUMIFS(Sales!$L$5:$L$2004,Sales!$D$5:$D$2004,B176))</f>
        <v/>
      </c>
      <c r="G176" s="22">
        <f>IF(B176="","",SUMIFS(Sales!$M$5:$M$2004,Sales!$D$5:$D$2004,B176))</f>
        <v/>
      </c>
      <c r="H176" s="22">
        <f>IF(B176="","",SUMIFS(Sales!$I$5:$I$2004,Sales!$D$5:$D$2004,B176))</f>
        <v/>
      </c>
      <c r="I176" s="22">
        <f>IF(B176="","",E176-F176-G176-H176)</f>
        <v/>
      </c>
      <c r="J176" s="23">
        <f>IF(B176="","",IF(E176=0,"",I176/E176))</f>
        <v/>
      </c>
    </row>
    <row r="177">
      <c r="B177">
        <f>IF(Products!B177="","",Products!B177)</f>
        <v/>
      </c>
      <c r="C177">
        <f>IF(B177="","",Products!C177)</f>
        <v/>
      </c>
      <c r="D177">
        <f>IF(B177="","",SUMIFS(Sales!$E$5:$E$2004,Sales!$D$5:$D$2004,B177))</f>
        <v/>
      </c>
      <c r="E177" s="22">
        <f>IF(B177="","",SUMIFS(Sales!$J$5:$J$2004,Sales!$D$5:$D$2004,B177))</f>
        <v/>
      </c>
      <c r="F177" s="22">
        <f>IF(B177="","",SUMIFS(Sales!$K$5:$K$2004,Sales!$D$5:$D$2004,B177)+SUMIFS(Sales!$L$5:$L$2004,Sales!$D$5:$D$2004,B177))</f>
        <v/>
      </c>
      <c r="G177" s="22">
        <f>IF(B177="","",SUMIFS(Sales!$M$5:$M$2004,Sales!$D$5:$D$2004,B177))</f>
        <v/>
      </c>
      <c r="H177" s="22">
        <f>IF(B177="","",SUMIFS(Sales!$I$5:$I$2004,Sales!$D$5:$D$2004,B177))</f>
        <v/>
      </c>
      <c r="I177" s="22">
        <f>IF(B177="","",E177-F177-G177-H177)</f>
        <v/>
      </c>
      <c r="J177" s="23">
        <f>IF(B177="","",IF(E177=0,"",I177/E177))</f>
        <v/>
      </c>
    </row>
    <row r="178">
      <c r="B178">
        <f>IF(Products!B178="","",Products!B178)</f>
        <v/>
      </c>
      <c r="C178">
        <f>IF(B178="","",Products!C178)</f>
        <v/>
      </c>
      <c r="D178">
        <f>IF(B178="","",SUMIFS(Sales!$E$5:$E$2004,Sales!$D$5:$D$2004,B178))</f>
        <v/>
      </c>
      <c r="E178" s="22">
        <f>IF(B178="","",SUMIFS(Sales!$J$5:$J$2004,Sales!$D$5:$D$2004,B178))</f>
        <v/>
      </c>
      <c r="F178" s="22">
        <f>IF(B178="","",SUMIFS(Sales!$K$5:$K$2004,Sales!$D$5:$D$2004,B178)+SUMIFS(Sales!$L$5:$L$2004,Sales!$D$5:$D$2004,B178))</f>
        <v/>
      </c>
      <c r="G178" s="22">
        <f>IF(B178="","",SUMIFS(Sales!$M$5:$M$2004,Sales!$D$5:$D$2004,B178))</f>
        <v/>
      </c>
      <c r="H178" s="22">
        <f>IF(B178="","",SUMIFS(Sales!$I$5:$I$2004,Sales!$D$5:$D$2004,B178))</f>
        <v/>
      </c>
      <c r="I178" s="22">
        <f>IF(B178="","",E178-F178-G178-H178)</f>
        <v/>
      </c>
      <c r="J178" s="23">
        <f>IF(B178="","",IF(E178=0,"",I178/E178))</f>
        <v/>
      </c>
    </row>
    <row r="179">
      <c r="B179">
        <f>IF(Products!B179="","",Products!B179)</f>
        <v/>
      </c>
      <c r="C179">
        <f>IF(B179="","",Products!C179)</f>
        <v/>
      </c>
      <c r="D179">
        <f>IF(B179="","",SUMIFS(Sales!$E$5:$E$2004,Sales!$D$5:$D$2004,B179))</f>
        <v/>
      </c>
      <c r="E179" s="22">
        <f>IF(B179="","",SUMIFS(Sales!$J$5:$J$2004,Sales!$D$5:$D$2004,B179))</f>
        <v/>
      </c>
      <c r="F179" s="22">
        <f>IF(B179="","",SUMIFS(Sales!$K$5:$K$2004,Sales!$D$5:$D$2004,B179)+SUMIFS(Sales!$L$5:$L$2004,Sales!$D$5:$D$2004,B179))</f>
        <v/>
      </c>
      <c r="G179" s="22">
        <f>IF(B179="","",SUMIFS(Sales!$M$5:$M$2004,Sales!$D$5:$D$2004,B179))</f>
        <v/>
      </c>
      <c r="H179" s="22">
        <f>IF(B179="","",SUMIFS(Sales!$I$5:$I$2004,Sales!$D$5:$D$2004,B179))</f>
        <v/>
      </c>
      <c r="I179" s="22">
        <f>IF(B179="","",E179-F179-G179-H179)</f>
        <v/>
      </c>
      <c r="J179" s="23">
        <f>IF(B179="","",IF(E179=0,"",I179/E179))</f>
        <v/>
      </c>
    </row>
    <row r="180">
      <c r="B180">
        <f>IF(Products!B180="","",Products!B180)</f>
        <v/>
      </c>
      <c r="C180">
        <f>IF(B180="","",Products!C180)</f>
        <v/>
      </c>
      <c r="D180">
        <f>IF(B180="","",SUMIFS(Sales!$E$5:$E$2004,Sales!$D$5:$D$2004,B180))</f>
        <v/>
      </c>
      <c r="E180" s="22">
        <f>IF(B180="","",SUMIFS(Sales!$J$5:$J$2004,Sales!$D$5:$D$2004,B180))</f>
        <v/>
      </c>
      <c r="F180" s="22">
        <f>IF(B180="","",SUMIFS(Sales!$K$5:$K$2004,Sales!$D$5:$D$2004,B180)+SUMIFS(Sales!$L$5:$L$2004,Sales!$D$5:$D$2004,B180))</f>
        <v/>
      </c>
      <c r="G180" s="22">
        <f>IF(B180="","",SUMIFS(Sales!$M$5:$M$2004,Sales!$D$5:$D$2004,B180))</f>
        <v/>
      </c>
      <c r="H180" s="22">
        <f>IF(B180="","",SUMIFS(Sales!$I$5:$I$2004,Sales!$D$5:$D$2004,B180))</f>
        <v/>
      </c>
      <c r="I180" s="22">
        <f>IF(B180="","",E180-F180-G180-H180)</f>
        <v/>
      </c>
      <c r="J180" s="23">
        <f>IF(B180="","",IF(E180=0,"",I180/E180))</f>
        <v/>
      </c>
    </row>
    <row r="181">
      <c r="B181">
        <f>IF(Products!B181="","",Products!B181)</f>
        <v/>
      </c>
      <c r="C181">
        <f>IF(B181="","",Products!C181)</f>
        <v/>
      </c>
      <c r="D181">
        <f>IF(B181="","",SUMIFS(Sales!$E$5:$E$2004,Sales!$D$5:$D$2004,B181))</f>
        <v/>
      </c>
      <c r="E181" s="22">
        <f>IF(B181="","",SUMIFS(Sales!$J$5:$J$2004,Sales!$D$5:$D$2004,B181))</f>
        <v/>
      </c>
      <c r="F181" s="22">
        <f>IF(B181="","",SUMIFS(Sales!$K$5:$K$2004,Sales!$D$5:$D$2004,B181)+SUMIFS(Sales!$L$5:$L$2004,Sales!$D$5:$D$2004,B181))</f>
        <v/>
      </c>
      <c r="G181" s="22">
        <f>IF(B181="","",SUMIFS(Sales!$M$5:$M$2004,Sales!$D$5:$D$2004,B181))</f>
        <v/>
      </c>
      <c r="H181" s="22">
        <f>IF(B181="","",SUMIFS(Sales!$I$5:$I$2004,Sales!$D$5:$D$2004,B181))</f>
        <v/>
      </c>
      <c r="I181" s="22">
        <f>IF(B181="","",E181-F181-G181-H181)</f>
        <v/>
      </c>
      <c r="J181" s="23">
        <f>IF(B181="","",IF(E181=0,"",I181/E181))</f>
        <v/>
      </c>
    </row>
    <row r="182">
      <c r="B182">
        <f>IF(Products!B182="","",Products!B182)</f>
        <v/>
      </c>
      <c r="C182">
        <f>IF(B182="","",Products!C182)</f>
        <v/>
      </c>
      <c r="D182">
        <f>IF(B182="","",SUMIFS(Sales!$E$5:$E$2004,Sales!$D$5:$D$2004,B182))</f>
        <v/>
      </c>
      <c r="E182" s="22">
        <f>IF(B182="","",SUMIFS(Sales!$J$5:$J$2004,Sales!$D$5:$D$2004,B182))</f>
        <v/>
      </c>
      <c r="F182" s="22">
        <f>IF(B182="","",SUMIFS(Sales!$K$5:$K$2004,Sales!$D$5:$D$2004,B182)+SUMIFS(Sales!$L$5:$L$2004,Sales!$D$5:$D$2004,B182))</f>
        <v/>
      </c>
      <c r="G182" s="22">
        <f>IF(B182="","",SUMIFS(Sales!$M$5:$M$2004,Sales!$D$5:$D$2004,B182))</f>
        <v/>
      </c>
      <c r="H182" s="22">
        <f>IF(B182="","",SUMIFS(Sales!$I$5:$I$2004,Sales!$D$5:$D$2004,B182))</f>
        <v/>
      </c>
      <c r="I182" s="22">
        <f>IF(B182="","",E182-F182-G182-H182)</f>
        <v/>
      </c>
      <c r="J182" s="23">
        <f>IF(B182="","",IF(E182=0,"",I182/E182))</f>
        <v/>
      </c>
    </row>
    <row r="183">
      <c r="B183">
        <f>IF(Products!B183="","",Products!B183)</f>
        <v/>
      </c>
      <c r="C183">
        <f>IF(B183="","",Products!C183)</f>
        <v/>
      </c>
      <c r="D183">
        <f>IF(B183="","",SUMIFS(Sales!$E$5:$E$2004,Sales!$D$5:$D$2004,B183))</f>
        <v/>
      </c>
      <c r="E183" s="22">
        <f>IF(B183="","",SUMIFS(Sales!$J$5:$J$2004,Sales!$D$5:$D$2004,B183))</f>
        <v/>
      </c>
      <c r="F183" s="22">
        <f>IF(B183="","",SUMIFS(Sales!$K$5:$K$2004,Sales!$D$5:$D$2004,B183)+SUMIFS(Sales!$L$5:$L$2004,Sales!$D$5:$D$2004,B183))</f>
        <v/>
      </c>
      <c r="G183" s="22">
        <f>IF(B183="","",SUMIFS(Sales!$M$5:$M$2004,Sales!$D$5:$D$2004,B183))</f>
        <v/>
      </c>
      <c r="H183" s="22">
        <f>IF(B183="","",SUMIFS(Sales!$I$5:$I$2004,Sales!$D$5:$D$2004,B183))</f>
        <v/>
      </c>
      <c r="I183" s="22">
        <f>IF(B183="","",E183-F183-G183-H183)</f>
        <v/>
      </c>
      <c r="J183" s="23">
        <f>IF(B183="","",IF(E183=0,"",I183/E183))</f>
        <v/>
      </c>
    </row>
    <row r="184">
      <c r="B184">
        <f>IF(Products!B184="","",Products!B184)</f>
        <v/>
      </c>
      <c r="C184">
        <f>IF(B184="","",Products!C184)</f>
        <v/>
      </c>
      <c r="D184">
        <f>IF(B184="","",SUMIFS(Sales!$E$5:$E$2004,Sales!$D$5:$D$2004,B184))</f>
        <v/>
      </c>
      <c r="E184" s="22">
        <f>IF(B184="","",SUMIFS(Sales!$J$5:$J$2004,Sales!$D$5:$D$2004,B184))</f>
        <v/>
      </c>
      <c r="F184" s="22">
        <f>IF(B184="","",SUMIFS(Sales!$K$5:$K$2004,Sales!$D$5:$D$2004,B184)+SUMIFS(Sales!$L$5:$L$2004,Sales!$D$5:$D$2004,B184))</f>
        <v/>
      </c>
      <c r="G184" s="22">
        <f>IF(B184="","",SUMIFS(Sales!$M$5:$M$2004,Sales!$D$5:$D$2004,B184))</f>
        <v/>
      </c>
      <c r="H184" s="22">
        <f>IF(B184="","",SUMIFS(Sales!$I$5:$I$2004,Sales!$D$5:$D$2004,B184))</f>
        <v/>
      </c>
      <c r="I184" s="22">
        <f>IF(B184="","",E184-F184-G184-H184)</f>
        <v/>
      </c>
      <c r="J184" s="23">
        <f>IF(B184="","",IF(E184=0,"",I184/E184))</f>
        <v/>
      </c>
    </row>
    <row r="185">
      <c r="B185">
        <f>IF(Products!B185="","",Products!B185)</f>
        <v/>
      </c>
      <c r="C185">
        <f>IF(B185="","",Products!C185)</f>
        <v/>
      </c>
      <c r="D185">
        <f>IF(B185="","",SUMIFS(Sales!$E$5:$E$2004,Sales!$D$5:$D$2004,B185))</f>
        <v/>
      </c>
      <c r="E185" s="22">
        <f>IF(B185="","",SUMIFS(Sales!$J$5:$J$2004,Sales!$D$5:$D$2004,B185))</f>
        <v/>
      </c>
      <c r="F185" s="22">
        <f>IF(B185="","",SUMIFS(Sales!$K$5:$K$2004,Sales!$D$5:$D$2004,B185)+SUMIFS(Sales!$L$5:$L$2004,Sales!$D$5:$D$2004,B185))</f>
        <v/>
      </c>
      <c r="G185" s="22">
        <f>IF(B185="","",SUMIFS(Sales!$M$5:$M$2004,Sales!$D$5:$D$2004,B185))</f>
        <v/>
      </c>
      <c r="H185" s="22">
        <f>IF(B185="","",SUMIFS(Sales!$I$5:$I$2004,Sales!$D$5:$D$2004,B185))</f>
        <v/>
      </c>
      <c r="I185" s="22">
        <f>IF(B185="","",E185-F185-G185-H185)</f>
        <v/>
      </c>
      <c r="J185" s="23">
        <f>IF(B185="","",IF(E185=0,"",I185/E185))</f>
        <v/>
      </c>
    </row>
    <row r="186">
      <c r="B186">
        <f>IF(Products!B186="","",Products!B186)</f>
        <v/>
      </c>
      <c r="C186">
        <f>IF(B186="","",Products!C186)</f>
        <v/>
      </c>
      <c r="D186">
        <f>IF(B186="","",SUMIFS(Sales!$E$5:$E$2004,Sales!$D$5:$D$2004,B186))</f>
        <v/>
      </c>
      <c r="E186" s="22">
        <f>IF(B186="","",SUMIFS(Sales!$J$5:$J$2004,Sales!$D$5:$D$2004,B186))</f>
        <v/>
      </c>
      <c r="F186" s="22">
        <f>IF(B186="","",SUMIFS(Sales!$K$5:$K$2004,Sales!$D$5:$D$2004,B186)+SUMIFS(Sales!$L$5:$L$2004,Sales!$D$5:$D$2004,B186))</f>
        <v/>
      </c>
      <c r="G186" s="22">
        <f>IF(B186="","",SUMIFS(Sales!$M$5:$M$2004,Sales!$D$5:$D$2004,B186))</f>
        <v/>
      </c>
      <c r="H186" s="22">
        <f>IF(B186="","",SUMIFS(Sales!$I$5:$I$2004,Sales!$D$5:$D$2004,B186))</f>
        <v/>
      </c>
      <c r="I186" s="22">
        <f>IF(B186="","",E186-F186-G186-H186)</f>
        <v/>
      </c>
      <c r="J186" s="23">
        <f>IF(B186="","",IF(E186=0,"",I186/E186))</f>
        <v/>
      </c>
    </row>
    <row r="187">
      <c r="B187">
        <f>IF(Products!B187="","",Products!B187)</f>
        <v/>
      </c>
      <c r="C187">
        <f>IF(B187="","",Products!C187)</f>
        <v/>
      </c>
      <c r="D187">
        <f>IF(B187="","",SUMIFS(Sales!$E$5:$E$2004,Sales!$D$5:$D$2004,B187))</f>
        <v/>
      </c>
      <c r="E187" s="22">
        <f>IF(B187="","",SUMIFS(Sales!$J$5:$J$2004,Sales!$D$5:$D$2004,B187))</f>
        <v/>
      </c>
      <c r="F187" s="22">
        <f>IF(B187="","",SUMIFS(Sales!$K$5:$K$2004,Sales!$D$5:$D$2004,B187)+SUMIFS(Sales!$L$5:$L$2004,Sales!$D$5:$D$2004,B187))</f>
        <v/>
      </c>
      <c r="G187" s="22">
        <f>IF(B187="","",SUMIFS(Sales!$M$5:$M$2004,Sales!$D$5:$D$2004,B187))</f>
        <v/>
      </c>
      <c r="H187" s="22">
        <f>IF(B187="","",SUMIFS(Sales!$I$5:$I$2004,Sales!$D$5:$D$2004,B187))</f>
        <v/>
      </c>
      <c r="I187" s="22">
        <f>IF(B187="","",E187-F187-G187-H187)</f>
        <v/>
      </c>
      <c r="J187" s="23">
        <f>IF(B187="","",IF(E187=0,"",I187/E187))</f>
        <v/>
      </c>
    </row>
    <row r="188">
      <c r="B188">
        <f>IF(Products!B188="","",Products!B188)</f>
        <v/>
      </c>
      <c r="C188">
        <f>IF(B188="","",Products!C188)</f>
        <v/>
      </c>
      <c r="D188">
        <f>IF(B188="","",SUMIFS(Sales!$E$5:$E$2004,Sales!$D$5:$D$2004,B188))</f>
        <v/>
      </c>
      <c r="E188" s="22">
        <f>IF(B188="","",SUMIFS(Sales!$J$5:$J$2004,Sales!$D$5:$D$2004,B188))</f>
        <v/>
      </c>
      <c r="F188" s="22">
        <f>IF(B188="","",SUMIFS(Sales!$K$5:$K$2004,Sales!$D$5:$D$2004,B188)+SUMIFS(Sales!$L$5:$L$2004,Sales!$D$5:$D$2004,B188))</f>
        <v/>
      </c>
      <c r="G188" s="22">
        <f>IF(B188="","",SUMIFS(Sales!$M$5:$M$2004,Sales!$D$5:$D$2004,B188))</f>
        <v/>
      </c>
      <c r="H188" s="22">
        <f>IF(B188="","",SUMIFS(Sales!$I$5:$I$2004,Sales!$D$5:$D$2004,B188))</f>
        <v/>
      </c>
      <c r="I188" s="22">
        <f>IF(B188="","",E188-F188-G188-H188)</f>
        <v/>
      </c>
      <c r="J188" s="23">
        <f>IF(B188="","",IF(E188=0,"",I188/E188))</f>
        <v/>
      </c>
    </row>
    <row r="189">
      <c r="B189">
        <f>IF(Products!B189="","",Products!B189)</f>
        <v/>
      </c>
      <c r="C189">
        <f>IF(B189="","",Products!C189)</f>
        <v/>
      </c>
      <c r="D189">
        <f>IF(B189="","",SUMIFS(Sales!$E$5:$E$2004,Sales!$D$5:$D$2004,B189))</f>
        <v/>
      </c>
      <c r="E189" s="22">
        <f>IF(B189="","",SUMIFS(Sales!$J$5:$J$2004,Sales!$D$5:$D$2004,B189))</f>
        <v/>
      </c>
      <c r="F189" s="22">
        <f>IF(B189="","",SUMIFS(Sales!$K$5:$K$2004,Sales!$D$5:$D$2004,B189)+SUMIFS(Sales!$L$5:$L$2004,Sales!$D$5:$D$2004,B189))</f>
        <v/>
      </c>
      <c r="G189" s="22">
        <f>IF(B189="","",SUMIFS(Sales!$M$5:$M$2004,Sales!$D$5:$D$2004,B189))</f>
        <v/>
      </c>
      <c r="H189" s="22">
        <f>IF(B189="","",SUMIFS(Sales!$I$5:$I$2004,Sales!$D$5:$D$2004,B189))</f>
        <v/>
      </c>
      <c r="I189" s="22">
        <f>IF(B189="","",E189-F189-G189-H189)</f>
        <v/>
      </c>
      <c r="J189" s="23">
        <f>IF(B189="","",IF(E189=0,"",I189/E189))</f>
        <v/>
      </c>
    </row>
    <row r="190">
      <c r="B190">
        <f>IF(Products!B190="","",Products!B190)</f>
        <v/>
      </c>
      <c r="C190">
        <f>IF(B190="","",Products!C190)</f>
        <v/>
      </c>
      <c r="D190">
        <f>IF(B190="","",SUMIFS(Sales!$E$5:$E$2004,Sales!$D$5:$D$2004,B190))</f>
        <v/>
      </c>
      <c r="E190" s="22">
        <f>IF(B190="","",SUMIFS(Sales!$J$5:$J$2004,Sales!$D$5:$D$2004,B190))</f>
        <v/>
      </c>
      <c r="F190" s="22">
        <f>IF(B190="","",SUMIFS(Sales!$K$5:$K$2004,Sales!$D$5:$D$2004,B190)+SUMIFS(Sales!$L$5:$L$2004,Sales!$D$5:$D$2004,B190))</f>
        <v/>
      </c>
      <c r="G190" s="22">
        <f>IF(B190="","",SUMIFS(Sales!$M$5:$M$2004,Sales!$D$5:$D$2004,B190))</f>
        <v/>
      </c>
      <c r="H190" s="22">
        <f>IF(B190="","",SUMIFS(Sales!$I$5:$I$2004,Sales!$D$5:$D$2004,B190))</f>
        <v/>
      </c>
      <c r="I190" s="22">
        <f>IF(B190="","",E190-F190-G190-H190)</f>
        <v/>
      </c>
      <c r="J190" s="23">
        <f>IF(B190="","",IF(E190=0,"",I190/E190))</f>
        <v/>
      </c>
    </row>
    <row r="191">
      <c r="B191">
        <f>IF(Products!B191="","",Products!B191)</f>
        <v/>
      </c>
      <c r="C191">
        <f>IF(B191="","",Products!C191)</f>
        <v/>
      </c>
      <c r="D191">
        <f>IF(B191="","",SUMIFS(Sales!$E$5:$E$2004,Sales!$D$5:$D$2004,B191))</f>
        <v/>
      </c>
      <c r="E191" s="22">
        <f>IF(B191="","",SUMIFS(Sales!$J$5:$J$2004,Sales!$D$5:$D$2004,B191))</f>
        <v/>
      </c>
      <c r="F191" s="22">
        <f>IF(B191="","",SUMIFS(Sales!$K$5:$K$2004,Sales!$D$5:$D$2004,B191)+SUMIFS(Sales!$L$5:$L$2004,Sales!$D$5:$D$2004,B191))</f>
        <v/>
      </c>
      <c r="G191" s="22">
        <f>IF(B191="","",SUMIFS(Sales!$M$5:$M$2004,Sales!$D$5:$D$2004,B191))</f>
        <v/>
      </c>
      <c r="H191" s="22">
        <f>IF(B191="","",SUMIFS(Sales!$I$5:$I$2004,Sales!$D$5:$D$2004,B191))</f>
        <v/>
      </c>
      <c r="I191" s="22">
        <f>IF(B191="","",E191-F191-G191-H191)</f>
        <v/>
      </c>
      <c r="J191" s="23">
        <f>IF(B191="","",IF(E191=0,"",I191/E191))</f>
        <v/>
      </c>
    </row>
    <row r="192">
      <c r="B192">
        <f>IF(Products!B192="","",Products!B192)</f>
        <v/>
      </c>
      <c r="C192">
        <f>IF(B192="","",Products!C192)</f>
        <v/>
      </c>
      <c r="D192">
        <f>IF(B192="","",SUMIFS(Sales!$E$5:$E$2004,Sales!$D$5:$D$2004,B192))</f>
        <v/>
      </c>
      <c r="E192" s="22">
        <f>IF(B192="","",SUMIFS(Sales!$J$5:$J$2004,Sales!$D$5:$D$2004,B192))</f>
        <v/>
      </c>
      <c r="F192" s="22">
        <f>IF(B192="","",SUMIFS(Sales!$K$5:$K$2004,Sales!$D$5:$D$2004,B192)+SUMIFS(Sales!$L$5:$L$2004,Sales!$D$5:$D$2004,B192))</f>
        <v/>
      </c>
      <c r="G192" s="22">
        <f>IF(B192="","",SUMIFS(Sales!$M$5:$M$2004,Sales!$D$5:$D$2004,B192))</f>
        <v/>
      </c>
      <c r="H192" s="22">
        <f>IF(B192="","",SUMIFS(Sales!$I$5:$I$2004,Sales!$D$5:$D$2004,B192))</f>
        <v/>
      </c>
      <c r="I192" s="22">
        <f>IF(B192="","",E192-F192-G192-H192)</f>
        <v/>
      </c>
      <c r="J192" s="23">
        <f>IF(B192="","",IF(E192=0,"",I192/E192))</f>
        <v/>
      </c>
    </row>
    <row r="193">
      <c r="B193">
        <f>IF(Products!B193="","",Products!B193)</f>
        <v/>
      </c>
      <c r="C193">
        <f>IF(B193="","",Products!C193)</f>
        <v/>
      </c>
      <c r="D193">
        <f>IF(B193="","",SUMIFS(Sales!$E$5:$E$2004,Sales!$D$5:$D$2004,B193))</f>
        <v/>
      </c>
      <c r="E193" s="22">
        <f>IF(B193="","",SUMIFS(Sales!$J$5:$J$2004,Sales!$D$5:$D$2004,B193))</f>
        <v/>
      </c>
      <c r="F193" s="22">
        <f>IF(B193="","",SUMIFS(Sales!$K$5:$K$2004,Sales!$D$5:$D$2004,B193)+SUMIFS(Sales!$L$5:$L$2004,Sales!$D$5:$D$2004,B193))</f>
        <v/>
      </c>
      <c r="G193" s="22">
        <f>IF(B193="","",SUMIFS(Sales!$M$5:$M$2004,Sales!$D$5:$D$2004,B193))</f>
        <v/>
      </c>
      <c r="H193" s="22">
        <f>IF(B193="","",SUMIFS(Sales!$I$5:$I$2004,Sales!$D$5:$D$2004,B193))</f>
        <v/>
      </c>
      <c r="I193" s="22">
        <f>IF(B193="","",E193-F193-G193-H193)</f>
        <v/>
      </c>
      <c r="J193" s="23">
        <f>IF(B193="","",IF(E193=0,"",I193/E193))</f>
        <v/>
      </c>
    </row>
    <row r="194">
      <c r="B194">
        <f>IF(Products!B194="","",Products!B194)</f>
        <v/>
      </c>
      <c r="C194">
        <f>IF(B194="","",Products!C194)</f>
        <v/>
      </c>
      <c r="D194">
        <f>IF(B194="","",SUMIFS(Sales!$E$5:$E$2004,Sales!$D$5:$D$2004,B194))</f>
        <v/>
      </c>
      <c r="E194" s="22">
        <f>IF(B194="","",SUMIFS(Sales!$J$5:$J$2004,Sales!$D$5:$D$2004,B194))</f>
        <v/>
      </c>
      <c r="F194" s="22">
        <f>IF(B194="","",SUMIFS(Sales!$K$5:$K$2004,Sales!$D$5:$D$2004,B194)+SUMIFS(Sales!$L$5:$L$2004,Sales!$D$5:$D$2004,B194))</f>
        <v/>
      </c>
      <c r="G194" s="22">
        <f>IF(B194="","",SUMIFS(Sales!$M$5:$M$2004,Sales!$D$5:$D$2004,B194))</f>
        <v/>
      </c>
      <c r="H194" s="22">
        <f>IF(B194="","",SUMIFS(Sales!$I$5:$I$2004,Sales!$D$5:$D$2004,B194))</f>
        <v/>
      </c>
      <c r="I194" s="22">
        <f>IF(B194="","",E194-F194-G194-H194)</f>
        <v/>
      </c>
      <c r="J194" s="23">
        <f>IF(B194="","",IF(E194=0,"",I194/E194))</f>
        <v/>
      </c>
    </row>
    <row r="195">
      <c r="B195">
        <f>IF(Products!B195="","",Products!B195)</f>
        <v/>
      </c>
      <c r="C195">
        <f>IF(B195="","",Products!C195)</f>
        <v/>
      </c>
      <c r="D195">
        <f>IF(B195="","",SUMIFS(Sales!$E$5:$E$2004,Sales!$D$5:$D$2004,B195))</f>
        <v/>
      </c>
      <c r="E195" s="22">
        <f>IF(B195="","",SUMIFS(Sales!$J$5:$J$2004,Sales!$D$5:$D$2004,B195))</f>
        <v/>
      </c>
      <c r="F195" s="22">
        <f>IF(B195="","",SUMIFS(Sales!$K$5:$K$2004,Sales!$D$5:$D$2004,B195)+SUMIFS(Sales!$L$5:$L$2004,Sales!$D$5:$D$2004,B195))</f>
        <v/>
      </c>
      <c r="G195" s="22">
        <f>IF(B195="","",SUMIFS(Sales!$M$5:$M$2004,Sales!$D$5:$D$2004,B195))</f>
        <v/>
      </c>
      <c r="H195" s="22">
        <f>IF(B195="","",SUMIFS(Sales!$I$5:$I$2004,Sales!$D$5:$D$2004,B195))</f>
        <v/>
      </c>
      <c r="I195" s="22">
        <f>IF(B195="","",E195-F195-G195-H195)</f>
        <v/>
      </c>
      <c r="J195" s="23">
        <f>IF(B195="","",IF(E195=0,"",I195/E195))</f>
        <v/>
      </c>
    </row>
    <row r="196">
      <c r="B196">
        <f>IF(Products!B196="","",Products!B196)</f>
        <v/>
      </c>
      <c r="C196">
        <f>IF(B196="","",Products!C196)</f>
        <v/>
      </c>
      <c r="D196">
        <f>IF(B196="","",SUMIFS(Sales!$E$5:$E$2004,Sales!$D$5:$D$2004,B196))</f>
        <v/>
      </c>
      <c r="E196" s="22">
        <f>IF(B196="","",SUMIFS(Sales!$J$5:$J$2004,Sales!$D$5:$D$2004,B196))</f>
        <v/>
      </c>
      <c r="F196" s="22">
        <f>IF(B196="","",SUMIFS(Sales!$K$5:$K$2004,Sales!$D$5:$D$2004,B196)+SUMIFS(Sales!$L$5:$L$2004,Sales!$D$5:$D$2004,B196))</f>
        <v/>
      </c>
      <c r="G196" s="22">
        <f>IF(B196="","",SUMIFS(Sales!$M$5:$M$2004,Sales!$D$5:$D$2004,B196))</f>
        <v/>
      </c>
      <c r="H196" s="22">
        <f>IF(B196="","",SUMIFS(Sales!$I$5:$I$2004,Sales!$D$5:$D$2004,B196))</f>
        <v/>
      </c>
      <c r="I196" s="22">
        <f>IF(B196="","",E196-F196-G196-H196)</f>
        <v/>
      </c>
      <c r="J196" s="23">
        <f>IF(B196="","",IF(E196=0,"",I196/E196))</f>
        <v/>
      </c>
    </row>
    <row r="197">
      <c r="B197">
        <f>IF(Products!B197="","",Products!B197)</f>
        <v/>
      </c>
      <c r="C197">
        <f>IF(B197="","",Products!C197)</f>
        <v/>
      </c>
      <c r="D197">
        <f>IF(B197="","",SUMIFS(Sales!$E$5:$E$2004,Sales!$D$5:$D$2004,B197))</f>
        <v/>
      </c>
      <c r="E197" s="22">
        <f>IF(B197="","",SUMIFS(Sales!$J$5:$J$2004,Sales!$D$5:$D$2004,B197))</f>
        <v/>
      </c>
      <c r="F197" s="22">
        <f>IF(B197="","",SUMIFS(Sales!$K$5:$K$2004,Sales!$D$5:$D$2004,B197)+SUMIFS(Sales!$L$5:$L$2004,Sales!$D$5:$D$2004,B197))</f>
        <v/>
      </c>
      <c r="G197" s="22">
        <f>IF(B197="","",SUMIFS(Sales!$M$5:$M$2004,Sales!$D$5:$D$2004,B197))</f>
        <v/>
      </c>
      <c r="H197" s="22">
        <f>IF(B197="","",SUMIFS(Sales!$I$5:$I$2004,Sales!$D$5:$D$2004,B197))</f>
        <v/>
      </c>
      <c r="I197" s="22">
        <f>IF(B197="","",E197-F197-G197-H197)</f>
        <v/>
      </c>
      <c r="J197" s="23">
        <f>IF(B197="","",IF(E197=0,"",I197/E197))</f>
        <v/>
      </c>
    </row>
    <row r="198">
      <c r="B198">
        <f>IF(Products!B198="","",Products!B198)</f>
        <v/>
      </c>
      <c r="C198">
        <f>IF(B198="","",Products!C198)</f>
        <v/>
      </c>
      <c r="D198">
        <f>IF(B198="","",SUMIFS(Sales!$E$5:$E$2004,Sales!$D$5:$D$2004,B198))</f>
        <v/>
      </c>
      <c r="E198" s="22">
        <f>IF(B198="","",SUMIFS(Sales!$J$5:$J$2004,Sales!$D$5:$D$2004,B198))</f>
        <v/>
      </c>
      <c r="F198" s="22">
        <f>IF(B198="","",SUMIFS(Sales!$K$5:$K$2004,Sales!$D$5:$D$2004,B198)+SUMIFS(Sales!$L$5:$L$2004,Sales!$D$5:$D$2004,B198))</f>
        <v/>
      </c>
      <c r="G198" s="22">
        <f>IF(B198="","",SUMIFS(Sales!$M$5:$M$2004,Sales!$D$5:$D$2004,B198))</f>
        <v/>
      </c>
      <c r="H198" s="22">
        <f>IF(B198="","",SUMIFS(Sales!$I$5:$I$2004,Sales!$D$5:$D$2004,B198))</f>
        <v/>
      </c>
      <c r="I198" s="22">
        <f>IF(B198="","",E198-F198-G198-H198)</f>
        <v/>
      </c>
      <c r="J198" s="23">
        <f>IF(B198="","",IF(E198=0,"",I198/E198))</f>
        <v/>
      </c>
    </row>
    <row r="199">
      <c r="B199">
        <f>IF(Products!B199="","",Products!B199)</f>
        <v/>
      </c>
      <c r="C199">
        <f>IF(B199="","",Products!C199)</f>
        <v/>
      </c>
      <c r="D199">
        <f>IF(B199="","",SUMIFS(Sales!$E$5:$E$2004,Sales!$D$5:$D$2004,B199))</f>
        <v/>
      </c>
      <c r="E199" s="22">
        <f>IF(B199="","",SUMIFS(Sales!$J$5:$J$2004,Sales!$D$5:$D$2004,B199))</f>
        <v/>
      </c>
      <c r="F199" s="22">
        <f>IF(B199="","",SUMIFS(Sales!$K$5:$K$2004,Sales!$D$5:$D$2004,B199)+SUMIFS(Sales!$L$5:$L$2004,Sales!$D$5:$D$2004,B199))</f>
        <v/>
      </c>
      <c r="G199" s="22">
        <f>IF(B199="","",SUMIFS(Sales!$M$5:$M$2004,Sales!$D$5:$D$2004,B199))</f>
        <v/>
      </c>
      <c r="H199" s="22">
        <f>IF(B199="","",SUMIFS(Sales!$I$5:$I$2004,Sales!$D$5:$D$2004,B199))</f>
        <v/>
      </c>
      <c r="I199" s="22">
        <f>IF(B199="","",E199-F199-G199-H199)</f>
        <v/>
      </c>
      <c r="J199" s="23">
        <f>IF(B199="","",IF(E199=0,"",I199/E199))</f>
        <v/>
      </c>
    </row>
    <row r="200">
      <c r="B200">
        <f>IF(Products!B200="","",Products!B200)</f>
        <v/>
      </c>
      <c r="C200">
        <f>IF(B200="","",Products!C200)</f>
        <v/>
      </c>
      <c r="D200">
        <f>IF(B200="","",SUMIFS(Sales!$E$5:$E$2004,Sales!$D$5:$D$2004,B200))</f>
        <v/>
      </c>
      <c r="E200" s="22">
        <f>IF(B200="","",SUMIFS(Sales!$J$5:$J$2004,Sales!$D$5:$D$2004,B200))</f>
        <v/>
      </c>
      <c r="F200" s="22">
        <f>IF(B200="","",SUMIFS(Sales!$K$5:$K$2004,Sales!$D$5:$D$2004,B200)+SUMIFS(Sales!$L$5:$L$2004,Sales!$D$5:$D$2004,B200))</f>
        <v/>
      </c>
      <c r="G200" s="22">
        <f>IF(B200="","",SUMIFS(Sales!$M$5:$M$2004,Sales!$D$5:$D$2004,B200))</f>
        <v/>
      </c>
      <c r="H200" s="22">
        <f>IF(B200="","",SUMIFS(Sales!$I$5:$I$2004,Sales!$D$5:$D$2004,B200))</f>
        <v/>
      </c>
      <c r="I200" s="22">
        <f>IF(B200="","",E200-F200-G200-H200)</f>
        <v/>
      </c>
      <c r="J200" s="23">
        <f>IF(B200="","",IF(E200=0,"",I200/E200))</f>
        <v/>
      </c>
    </row>
    <row r="201">
      <c r="B201">
        <f>IF(Products!B201="","",Products!B201)</f>
        <v/>
      </c>
      <c r="C201">
        <f>IF(B201="","",Products!C201)</f>
        <v/>
      </c>
      <c r="D201">
        <f>IF(B201="","",SUMIFS(Sales!$E$5:$E$2004,Sales!$D$5:$D$2004,B201))</f>
        <v/>
      </c>
      <c r="E201" s="22">
        <f>IF(B201="","",SUMIFS(Sales!$J$5:$J$2004,Sales!$D$5:$D$2004,B201))</f>
        <v/>
      </c>
      <c r="F201" s="22">
        <f>IF(B201="","",SUMIFS(Sales!$K$5:$K$2004,Sales!$D$5:$D$2004,B201)+SUMIFS(Sales!$L$5:$L$2004,Sales!$D$5:$D$2004,B201))</f>
        <v/>
      </c>
      <c r="G201" s="22">
        <f>IF(B201="","",SUMIFS(Sales!$M$5:$M$2004,Sales!$D$5:$D$2004,B201))</f>
        <v/>
      </c>
      <c r="H201" s="22">
        <f>IF(B201="","",SUMIFS(Sales!$I$5:$I$2004,Sales!$D$5:$D$2004,B201))</f>
        <v/>
      </c>
      <c r="I201" s="22">
        <f>IF(B201="","",E201-F201-G201-H201)</f>
        <v/>
      </c>
      <c r="J201" s="23">
        <f>IF(B201="","",IF(E201=0,"",I201/E201))</f>
        <v/>
      </c>
    </row>
    <row r="202">
      <c r="B202">
        <f>IF(Products!B202="","",Products!B202)</f>
        <v/>
      </c>
      <c r="C202">
        <f>IF(B202="","",Products!C202)</f>
        <v/>
      </c>
      <c r="D202">
        <f>IF(B202="","",SUMIFS(Sales!$E$5:$E$2004,Sales!$D$5:$D$2004,B202))</f>
        <v/>
      </c>
      <c r="E202" s="22">
        <f>IF(B202="","",SUMIFS(Sales!$J$5:$J$2004,Sales!$D$5:$D$2004,B202))</f>
        <v/>
      </c>
      <c r="F202" s="22">
        <f>IF(B202="","",SUMIFS(Sales!$K$5:$K$2004,Sales!$D$5:$D$2004,B202)+SUMIFS(Sales!$L$5:$L$2004,Sales!$D$5:$D$2004,B202))</f>
        <v/>
      </c>
      <c r="G202" s="22">
        <f>IF(B202="","",SUMIFS(Sales!$M$5:$M$2004,Sales!$D$5:$D$2004,B202))</f>
        <v/>
      </c>
      <c r="H202" s="22">
        <f>IF(B202="","",SUMIFS(Sales!$I$5:$I$2004,Sales!$D$5:$D$2004,B202))</f>
        <v/>
      </c>
      <c r="I202" s="22">
        <f>IF(B202="","",E202-F202-G202-H202)</f>
        <v/>
      </c>
      <c r="J202" s="23">
        <f>IF(B202="","",IF(E202=0,"",I202/E202))</f>
        <v/>
      </c>
    </row>
    <row r="203">
      <c r="B203">
        <f>IF(Products!B203="","",Products!B203)</f>
        <v/>
      </c>
      <c r="C203">
        <f>IF(B203="","",Products!C203)</f>
        <v/>
      </c>
      <c r="D203">
        <f>IF(B203="","",SUMIFS(Sales!$E$5:$E$2004,Sales!$D$5:$D$2004,B203))</f>
        <v/>
      </c>
      <c r="E203" s="22">
        <f>IF(B203="","",SUMIFS(Sales!$J$5:$J$2004,Sales!$D$5:$D$2004,B203))</f>
        <v/>
      </c>
      <c r="F203" s="22">
        <f>IF(B203="","",SUMIFS(Sales!$K$5:$K$2004,Sales!$D$5:$D$2004,B203)+SUMIFS(Sales!$L$5:$L$2004,Sales!$D$5:$D$2004,B203))</f>
        <v/>
      </c>
      <c r="G203" s="22">
        <f>IF(B203="","",SUMIFS(Sales!$M$5:$M$2004,Sales!$D$5:$D$2004,B203))</f>
        <v/>
      </c>
      <c r="H203" s="22">
        <f>IF(B203="","",SUMIFS(Sales!$I$5:$I$2004,Sales!$D$5:$D$2004,B203))</f>
        <v/>
      </c>
      <c r="I203" s="22">
        <f>IF(B203="","",E203-F203-G203-H203)</f>
        <v/>
      </c>
      <c r="J203" s="23">
        <f>IF(B203="","",IF(E203=0,"",I203/E203))</f>
        <v/>
      </c>
    </row>
    <row r="204">
      <c r="B204">
        <f>IF(Products!B204="","",Products!B204)</f>
        <v/>
      </c>
      <c r="C204">
        <f>IF(B204="","",Products!C204)</f>
        <v/>
      </c>
      <c r="D204">
        <f>IF(B204="","",SUMIFS(Sales!$E$5:$E$2004,Sales!$D$5:$D$2004,B204))</f>
        <v/>
      </c>
      <c r="E204" s="22">
        <f>IF(B204="","",SUMIFS(Sales!$J$5:$J$2004,Sales!$D$5:$D$2004,B204))</f>
        <v/>
      </c>
      <c r="F204" s="22">
        <f>IF(B204="","",SUMIFS(Sales!$K$5:$K$2004,Sales!$D$5:$D$2004,B204)+SUMIFS(Sales!$L$5:$L$2004,Sales!$D$5:$D$2004,B204))</f>
        <v/>
      </c>
      <c r="G204" s="22">
        <f>IF(B204="","",SUMIFS(Sales!$M$5:$M$2004,Sales!$D$5:$D$2004,B204))</f>
        <v/>
      </c>
      <c r="H204" s="22">
        <f>IF(B204="","",SUMIFS(Sales!$I$5:$I$2004,Sales!$D$5:$D$2004,B204))</f>
        <v/>
      </c>
      <c r="I204" s="22">
        <f>IF(B204="","",E204-F204-G204-H204)</f>
        <v/>
      </c>
      <c r="J204" s="23">
        <f>IF(B204="","",IF(E204=0,"",I204/E204))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B4:J2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6" customWidth="1" min="9" max="9"/>
    <col width="14" customWidth="1" min="10" max="10"/>
  </cols>
  <sheetData>
    <row r="1">
      <c r="B1" s="1" t="inlineStr">
        <is>
          <t>Monthly Summary</t>
        </is>
      </c>
    </row>
    <row r="2">
      <c r="B2" s="2" t="inlineStr">
        <is>
          <t>Your shop month by month, and the VAT threshold check. Nothing to type here.</t>
        </is>
      </c>
    </row>
    <row r="3">
      <c r="B3" s="6">
        <f>Settings!C4</f>
        <v/>
      </c>
    </row>
    <row r="5" ht="30" customHeight="1">
      <c r="B5" s="13" t="inlineStr">
        <is>
          <t>Month</t>
        </is>
      </c>
      <c r="C5" s="13" t="inlineStr">
        <is>
          <t>Order lines</t>
        </is>
      </c>
      <c r="D5" s="13" t="inlineStr">
        <is>
          <t>Revenue £</t>
        </is>
      </c>
      <c r="E5" s="13" t="inlineStr">
        <is>
          <t>Etsy fees £</t>
        </is>
      </c>
      <c r="F5" s="13" t="inlineStr">
        <is>
          <t>VAT on fees £</t>
        </is>
      </c>
      <c r="G5" s="13" t="inlineStr">
        <is>
          <t>Cost of goods £</t>
        </is>
      </c>
      <c r="H5" s="13" t="inlineStr">
        <is>
          <t>Postage paid £</t>
        </is>
      </c>
      <c r="I5" s="13" t="inlineStr">
        <is>
          <t>Other expenses £</t>
        </is>
      </c>
      <c r="J5" s="13" t="inlineStr">
        <is>
          <t>Profit £</t>
        </is>
      </c>
    </row>
    <row r="6">
      <c r="B6" s="24">
        <f>EDATE(Settings!$C$6,0)</f>
        <v/>
      </c>
      <c r="C6" s="14">
        <f>COUNTIFS(Sales!$B$5:$B$2004,"&gt;="&amp;$B6,Sales!$B$5:$B$2004,"&lt;"&amp;EDATE($B6,1))</f>
        <v/>
      </c>
      <c r="D6" s="25">
        <f>SUMIFS(Sales!$J$5:$J$2004,Sales!$B$5:$B$2004,"&gt;="&amp;$B6,Sales!$B$5:$B$2004,"&lt;"&amp;EDATE($B6,1))</f>
        <v/>
      </c>
      <c r="E6" s="25">
        <f>SUMIFS(Sales!$K$5:$K$2004,Sales!$B$5:$B$2004,"&gt;="&amp;$B6,Sales!$B$5:$B$2004,"&lt;"&amp;EDATE($B6,1))</f>
        <v/>
      </c>
      <c r="F6" s="25">
        <f>SUMIFS(Sales!$L$5:$L$2004,Sales!$B$5:$B$2004,"&gt;="&amp;$B6,Sales!$B$5:$B$2004,"&lt;"&amp;EDATE($B6,1))</f>
        <v/>
      </c>
      <c r="G6" s="25">
        <f>SUMIFS(Sales!$M$5:$M$2004,Sales!$B$5:$B$2004,"&gt;="&amp;$B6,Sales!$B$5:$B$2004,"&lt;"&amp;EDATE($B6,1))</f>
        <v/>
      </c>
      <c r="H6" s="25">
        <f>SUMIFS(Sales!$I$5:$I$2004,Sales!$B$5:$B$2004,"&gt;="&amp;$B6,Sales!$B$5:$B$2004,"&lt;"&amp;EDATE($B6,1))</f>
        <v/>
      </c>
      <c r="I6" s="25">
        <f>SUMIFS(Expenses!$F$5:$F$2004,Expenses!$B$5:$B$2004,"&gt;="&amp;$B6,Expenses!$B$5:$B$2004,"&lt;"&amp;EDATE($B6,1))</f>
        <v/>
      </c>
      <c r="J6" s="25">
        <f>D6-E6-F6-G6-H6-I6</f>
        <v/>
      </c>
    </row>
    <row r="7">
      <c r="B7" s="24">
        <f>EDATE(Settings!$C$6,1)</f>
        <v/>
      </c>
      <c r="C7" s="14">
        <f>COUNTIFS(Sales!$B$5:$B$2004,"&gt;="&amp;$B7,Sales!$B$5:$B$2004,"&lt;"&amp;EDATE($B7,1))</f>
        <v/>
      </c>
      <c r="D7" s="25">
        <f>SUMIFS(Sales!$J$5:$J$2004,Sales!$B$5:$B$2004,"&gt;="&amp;$B7,Sales!$B$5:$B$2004,"&lt;"&amp;EDATE($B7,1))</f>
        <v/>
      </c>
      <c r="E7" s="25">
        <f>SUMIFS(Sales!$K$5:$K$2004,Sales!$B$5:$B$2004,"&gt;="&amp;$B7,Sales!$B$5:$B$2004,"&lt;"&amp;EDATE($B7,1))</f>
        <v/>
      </c>
      <c r="F7" s="25">
        <f>SUMIFS(Sales!$L$5:$L$2004,Sales!$B$5:$B$2004,"&gt;="&amp;$B7,Sales!$B$5:$B$2004,"&lt;"&amp;EDATE($B7,1))</f>
        <v/>
      </c>
      <c r="G7" s="25">
        <f>SUMIFS(Sales!$M$5:$M$2004,Sales!$B$5:$B$2004,"&gt;="&amp;$B7,Sales!$B$5:$B$2004,"&lt;"&amp;EDATE($B7,1))</f>
        <v/>
      </c>
      <c r="H7" s="25">
        <f>SUMIFS(Sales!$I$5:$I$2004,Sales!$B$5:$B$2004,"&gt;="&amp;$B7,Sales!$B$5:$B$2004,"&lt;"&amp;EDATE($B7,1))</f>
        <v/>
      </c>
      <c r="I7" s="25">
        <f>SUMIFS(Expenses!$F$5:$F$2004,Expenses!$B$5:$B$2004,"&gt;="&amp;$B7,Expenses!$B$5:$B$2004,"&lt;"&amp;EDATE($B7,1))</f>
        <v/>
      </c>
      <c r="J7" s="25">
        <f>D7-E7-F7-G7-H7-I7</f>
        <v/>
      </c>
    </row>
    <row r="8">
      <c r="B8" s="24">
        <f>EDATE(Settings!$C$6,2)</f>
        <v/>
      </c>
      <c r="C8" s="14">
        <f>COUNTIFS(Sales!$B$5:$B$2004,"&gt;="&amp;$B8,Sales!$B$5:$B$2004,"&lt;"&amp;EDATE($B8,1))</f>
        <v/>
      </c>
      <c r="D8" s="25">
        <f>SUMIFS(Sales!$J$5:$J$2004,Sales!$B$5:$B$2004,"&gt;="&amp;$B8,Sales!$B$5:$B$2004,"&lt;"&amp;EDATE($B8,1))</f>
        <v/>
      </c>
      <c r="E8" s="25">
        <f>SUMIFS(Sales!$K$5:$K$2004,Sales!$B$5:$B$2004,"&gt;="&amp;$B8,Sales!$B$5:$B$2004,"&lt;"&amp;EDATE($B8,1))</f>
        <v/>
      </c>
      <c r="F8" s="25">
        <f>SUMIFS(Sales!$L$5:$L$2004,Sales!$B$5:$B$2004,"&gt;="&amp;$B8,Sales!$B$5:$B$2004,"&lt;"&amp;EDATE($B8,1))</f>
        <v/>
      </c>
      <c r="G8" s="25">
        <f>SUMIFS(Sales!$M$5:$M$2004,Sales!$B$5:$B$2004,"&gt;="&amp;$B8,Sales!$B$5:$B$2004,"&lt;"&amp;EDATE($B8,1))</f>
        <v/>
      </c>
      <c r="H8" s="25">
        <f>SUMIFS(Sales!$I$5:$I$2004,Sales!$B$5:$B$2004,"&gt;="&amp;$B8,Sales!$B$5:$B$2004,"&lt;"&amp;EDATE($B8,1))</f>
        <v/>
      </c>
      <c r="I8" s="25">
        <f>SUMIFS(Expenses!$F$5:$F$2004,Expenses!$B$5:$B$2004,"&gt;="&amp;$B8,Expenses!$B$5:$B$2004,"&lt;"&amp;EDATE($B8,1))</f>
        <v/>
      </c>
      <c r="J8" s="25">
        <f>D8-E8-F8-G8-H8-I8</f>
        <v/>
      </c>
    </row>
    <row r="9">
      <c r="B9" s="24">
        <f>EDATE(Settings!$C$6,3)</f>
        <v/>
      </c>
      <c r="C9" s="14">
        <f>COUNTIFS(Sales!$B$5:$B$2004,"&gt;="&amp;$B9,Sales!$B$5:$B$2004,"&lt;"&amp;EDATE($B9,1))</f>
        <v/>
      </c>
      <c r="D9" s="25">
        <f>SUMIFS(Sales!$J$5:$J$2004,Sales!$B$5:$B$2004,"&gt;="&amp;$B9,Sales!$B$5:$B$2004,"&lt;"&amp;EDATE($B9,1))</f>
        <v/>
      </c>
      <c r="E9" s="25">
        <f>SUMIFS(Sales!$K$5:$K$2004,Sales!$B$5:$B$2004,"&gt;="&amp;$B9,Sales!$B$5:$B$2004,"&lt;"&amp;EDATE($B9,1))</f>
        <v/>
      </c>
      <c r="F9" s="25">
        <f>SUMIFS(Sales!$L$5:$L$2004,Sales!$B$5:$B$2004,"&gt;="&amp;$B9,Sales!$B$5:$B$2004,"&lt;"&amp;EDATE($B9,1))</f>
        <v/>
      </c>
      <c r="G9" s="25">
        <f>SUMIFS(Sales!$M$5:$M$2004,Sales!$B$5:$B$2004,"&gt;="&amp;$B9,Sales!$B$5:$B$2004,"&lt;"&amp;EDATE($B9,1))</f>
        <v/>
      </c>
      <c r="H9" s="25">
        <f>SUMIFS(Sales!$I$5:$I$2004,Sales!$B$5:$B$2004,"&gt;="&amp;$B9,Sales!$B$5:$B$2004,"&lt;"&amp;EDATE($B9,1))</f>
        <v/>
      </c>
      <c r="I9" s="25">
        <f>SUMIFS(Expenses!$F$5:$F$2004,Expenses!$B$5:$B$2004,"&gt;="&amp;$B9,Expenses!$B$5:$B$2004,"&lt;"&amp;EDATE($B9,1))</f>
        <v/>
      </c>
      <c r="J9" s="25">
        <f>D9-E9-F9-G9-H9-I9</f>
        <v/>
      </c>
    </row>
    <row r="10">
      <c r="B10" s="24">
        <f>EDATE(Settings!$C$6,4)</f>
        <v/>
      </c>
      <c r="C10" s="14">
        <f>COUNTIFS(Sales!$B$5:$B$2004,"&gt;="&amp;$B10,Sales!$B$5:$B$2004,"&lt;"&amp;EDATE($B10,1))</f>
        <v/>
      </c>
      <c r="D10" s="25">
        <f>SUMIFS(Sales!$J$5:$J$2004,Sales!$B$5:$B$2004,"&gt;="&amp;$B10,Sales!$B$5:$B$2004,"&lt;"&amp;EDATE($B10,1))</f>
        <v/>
      </c>
      <c r="E10" s="25">
        <f>SUMIFS(Sales!$K$5:$K$2004,Sales!$B$5:$B$2004,"&gt;="&amp;$B10,Sales!$B$5:$B$2004,"&lt;"&amp;EDATE($B10,1))</f>
        <v/>
      </c>
      <c r="F10" s="25">
        <f>SUMIFS(Sales!$L$5:$L$2004,Sales!$B$5:$B$2004,"&gt;="&amp;$B10,Sales!$B$5:$B$2004,"&lt;"&amp;EDATE($B10,1))</f>
        <v/>
      </c>
      <c r="G10" s="25">
        <f>SUMIFS(Sales!$M$5:$M$2004,Sales!$B$5:$B$2004,"&gt;="&amp;$B10,Sales!$B$5:$B$2004,"&lt;"&amp;EDATE($B10,1))</f>
        <v/>
      </c>
      <c r="H10" s="25">
        <f>SUMIFS(Sales!$I$5:$I$2004,Sales!$B$5:$B$2004,"&gt;="&amp;$B10,Sales!$B$5:$B$2004,"&lt;"&amp;EDATE($B10,1))</f>
        <v/>
      </c>
      <c r="I10" s="25">
        <f>SUMIFS(Expenses!$F$5:$F$2004,Expenses!$B$5:$B$2004,"&gt;="&amp;$B10,Expenses!$B$5:$B$2004,"&lt;"&amp;EDATE($B10,1))</f>
        <v/>
      </c>
      <c r="J10" s="25">
        <f>D10-E10-F10-G10-H10-I10</f>
        <v/>
      </c>
    </row>
    <row r="11">
      <c r="B11" s="24">
        <f>EDATE(Settings!$C$6,5)</f>
        <v/>
      </c>
      <c r="C11" s="14">
        <f>COUNTIFS(Sales!$B$5:$B$2004,"&gt;="&amp;$B11,Sales!$B$5:$B$2004,"&lt;"&amp;EDATE($B11,1))</f>
        <v/>
      </c>
      <c r="D11" s="25">
        <f>SUMIFS(Sales!$J$5:$J$2004,Sales!$B$5:$B$2004,"&gt;="&amp;$B11,Sales!$B$5:$B$2004,"&lt;"&amp;EDATE($B11,1))</f>
        <v/>
      </c>
      <c r="E11" s="25">
        <f>SUMIFS(Sales!$K$5:$K$2004,Sales!$B$5:$B$2004,"&gt;="&amp;$B11,Sales!$B$5:$B$2004,"&lt;"&amp;EDATE($B11,1))</f>
        <v/>
      </c>
      <c r="F11" s="25">
        <f>SUMIFS(Sales!$L$5:$L$2004,Sales!$B$5:$B$2004,"&gt;="&amp;$B11,Sales!$B$5:$B$2004,"&lt;"&amp;EDATE($B11,1))</f>
        <v/>
      </c>
      <c r="G11" s="25">
        <f>SUMIFS(Sales!$M$5:$M$2004,Sales!$B$5:$B$2004,"&gt;="&amp;$B11,Sales!$B$5:$B$2004,"&lt;"&amp;EDATE($B11,1))</f>
        <v/>
      </c>
      <c r="H11" s="25">
        <f>SUMIFS(Sales!$I$5:$I$2004,Sales!$B$5:$B$2004,"&gt;="&amp;$B11,Sales!$B$5:$B$2004,"&lt;"&amp;EDATE($B11,1))</f>
        <v/>
      </c>
      <c r="I11" s="25">
        <f>SUMIFS(Expenses!$F$5:$F$2004,Expenses!$B$5:$B$2004,"&gt;="&amp;$B11,Expenses!$B$5:$B$2004,"&lt;"&amp;EDATE($B11,1))</f>
        <v/>
      </c>
      <c r="J11" s="25">
        <f>D11-E11-F11-G11-H11-I11</f>
        <v/>
      </c>
    </row>
    <row r="12">
      <c r="B12" s="24">
        <f>EDATE(Settings!$C$6,6)</f>
        <v/>
      </c>
      <c r="C12" s="14">
        <f>COUNTIFS(Sales!$B$5:$B$2004,"&gt;="&amp;$B12,Sales!$B$5:$B$2004,"&lt;"&amp;EDATE($B12,1))</f>
        <v/>
      </c>
      <c r="D12" s="25">
        <f>SUMIFS(Sales!$J$5:$J$2004,Sales!$B$5:$B$2004,"&gt;="&amp;$B12,Sales!$B$5:$B$2004,"&lt;"&amp;EDATE($B12,1))</f>
        <v/>
      </c>
      <c r="E12" s="25">
        <f>SUMIFS(Sales!$K$5:$K$2004,Sales!$B$5:$B$2004,"&gt;="&amp;$B12,Sales!$B$5:$B$2004,"&lt;"&amp;EDATE($B12,1))</f>
        <v/>
      </c>
      <c r="F12" s="25">
        <f>SUMIFS(Sales!$L$5:$L$2004,Sales!$B$5:$B$2004,"&gt;="&amp;$B12,Sales!$B$5:$B$2004,"&lt;"&amp;EDATE($B12,1))</f>
        <v/>
      </c>
      <c r="G12" s="25">
        <f>SUMIFS(Sales!$M$5:$M$2004,Sales!$B$5:$B$2004,"&gt;="&amp;$B12,Sales!$B$5:$B$2004,"&lt;"&amp;EDATE($B12,1))</f>
        <v/>
      </c>
      <c r="H12" s="25">
        <f>SUMIFS(Sales!$I$5:$I$2004,Sales!$B$5:$B$2004,"&gt;="&amp;$B12,Sales!$B$5:$B$2004,"&lt;"&amp;EDATE($B12,1))</f>
        <v/>
      </c>
      <c r="I12" s="25">
        <f>SUMIFS(Expenses!$F$5:$F$2004,Expenses!$B$5:$B$2004,"&gt;="&amp;$B12,Expenses!$B$5:$B$2004,"&lt;"&amp;EDATE($B12,1))</f>
        <v/>
      </c>
      <c r="J12" s="25">
        <f>D12-E12-F12-G12-H12-I12</f>
        <v/>
      </c>
    </row>
    <row r="13">
      <c r="B13" s="24">
        <f>EDATE(Settings!$C$6,7)</f>
        <v/>
      </c>
      <c r="C13" s="14">
        <f>COUNTIFS(Sales!$B$5:$B$2004,"&gt;="&amp;$B13,Sales!$B$5:$B$2004,"&lt;"&amp;EDATE($B13,1))</f>
        <v/>
      </c>
      <c r="D13" s="25">
        <f>SUMIFS(Sales!$J$5:$J$2004,Sales!$B$5:$B$2004,"&gt;="&amp;$B13,Sales!$B$5:$B$2004,"&lt;"&amp;EDATE($B13,1))</f>
        <v/>
      </c>
      <c r="E13" s="25">
        <f>SUMIFS(Sales!$K$5:$K$2004,Sales!$B$5:$B$2004,"&gt;="&amp;$B13,Sales!$B$5:$B$2004,"&lt;"&amp;EDATE($B13,1))</f>
        <v/>
      </c>
      <c r="F13" s="25">
        <f>SUMIFS(Sales!$L$5:$L$2004,Sales!$B$5:$B$2004,"&gt;="&amp;$B13,Sales!$B$5:$B$2004,"&lt;"&amp;EDATE($B13,1))</f>
        <v/>
      </c>
      <c r="G13" s="25">
        <f>SUMIFS(Sales!$M$5:$M$2004,Sales!$B$5:$B$2004,"&gt;="&amp;$B13,Sales!$B$5:$B$2004,"&lt;"&amp;EDATE($B13,1))</f>
        <v/>
      </c>
      <c r="H13" s="25">
        <f>SUMIFS(Sales!$I$5:$I$2004,Sales!$B$5:$B$2004,"&gt;="&amp;$B13,Sales!$B$5:$B$2004,"&lt;"&amp;EDATE($B13,1))</f>
        <v/>
      </c>
      <c r="I13" s="25">
        <f>SUMIFS(Expenses!$F$5:$F$2004,Expenses!$B$5:$B$2004,"&gt;="&amp;$B13,Expenses!$B$5:$B$2004,"&lt;"&amp;EDATE($B13,1))</f>
        <v/>
      </c>
      <c r="J13" s="25">
        <f>D13-E13-F13-G13-H13-I13</f>
        <v/>
      </c>
    </row>
    <row r="14">
      <c r="B14" s="24">
        <f>EDATE(Settings!$C$6,8)</f>
        <v/>
      </c>
      <c r="C14" s="14">
        <f>COUNTIFS(Sales!$B$5:$B$2004,"&gt;="&amp;$B14,Sales!$B$5:$B$2004,"&lt;"&amp;EDATE($B14,1))</f>
        <v/>
      </c>
      <c r="D14" s="25">
        <f>SUMIFS(Sales!$J$5:$J$2004,Sales!$B$5:$B$2004,"&gt;="&amp;$B14,Sales!$B$5:$B$2004,"&lt;"&amp;EDATE($B14,1))</f>
        <v/>
      </c>
      <c r="E14" s="25">
        <f>SUMIFS(Sales!$K$5:$K$2004,Sales!$B$5:$B$2004,"&gt;="&amp;$B14,Sales!$B$5:$B$2004,"&lt;"&amp;EDATE($B14,1))</f>
        <v/>
      </c>
      <c r="F14" s="25">
        <f>SUMIFS(Sales!$L$5:$L$2004,Sales!$B$5:$B$2004,"&gt;="&amp;$B14,Sales!$B$5:$B$2004,"&lt;"&amp;EDATE($B14,1))</f>
        <v/>
      </c>
      <c r="G14" s="25">
        <f>SUMIFS(Sales!$M$5:$M$2004,Sales!$B$5:$B$2004,"&gt;="&amp;$B14,Sales!$B$5:$B$2004,"&lt;"&amp;EDATE($B14,1))</f>
        <v/>
      </c>
      <c r="H14" s="25">
        <f>SUMIFS(Sales!$I$5:$I$2004,Sales!$B$5:$B$2004,"&gt;="&amp;$B14,Sales!$B$5:$B$2004,"&lt;"&amp;EDATE($B14,1))</f>
        <v/>
      </c>
      <c r="I14" s="25">
        <f>SUMIFS(Expenses!$F$5:$F$2004,Expenses!$B$5:$B$2004,"&gt;="&amp;$B14,Expenses!$B$5:$B$2004,"&lt;"&amp;EDATE($B14,1))</f>
        <v/>
      </c>
      <c r="J14" s="25">
        <f>D14-E14-F14-G14-H14-I14</f>
        <v/>
      </c>
    </row>
    <row r="15">
      <c r="B15" s="24">
        <f>EDATE(Settings!$C$6,9)</f>
        <v/>
      </c>
      <c r="C15" s="14">
        <f>COUNTIFS(Sales!$B$5:$B$2004,"&gt;="&amp;$B15,Sales!$B$5:$B$2004,"&lt;"&amp;EDATE($B15,1))</f>
        <v/>
      </c>
      <c r="D15" s="25">
        <f>SUMIFS(Sales!$J$5:$J$2004,Sales!$B$5:$B$2004,"&gt;="&amp;$B15,Sales!$B$5:$B$2004,"&lt;"&amp;EDATE($B15,1))</f>
        <v/>
      </c>
      <c r="E15" s="25">
        <f>SUMIFS(Sales!$K$5:$K$2004,Sales!$B$5:$B$2004,"&gt;="&amp;$B15,Sales!$B$5:$B$2004,"&lt;"&amp;EDATE($B15,1))</f>
        <v/>
      </c>
      <c r="F15" s="25">
        <f>SUMIFS(Sales!$L$5:$L$2004,Sales!$B$5:$B$2004,"&gt;="&amp;$B15,Sales!$B$5:$B$2004,"&lt;"&amp;EDATE($B15,1))</f>
        <v/>
      </c>
      <c r="G15" s="25">
        <f>SUMIFS(Sales!$M$5:$M$2004,Sales!$B$5:$B$2004,"&gt;="&amp;$B15,Sales!$B$5:$B$2004,"&lt;"&amp;EDATE($B15,1))</f>
        <v/>
      </c>
      <c r="H15" s="25">
        <f>SUMIFS(Sales!$I$5:$I$2004,Sales!$B$5:$B$2004,"&gt;="&amp;$B15,Sales!$B$5:$B$2004,"&lt;"&amp;EDATE($B15,1))</f>
        <v/>
      </c>
      <c r="I15" s="25">
        <f>SUMIFS(Expenses!$F$5:$F$2004,Expenses!$B$5:$B$2004,"&gt;="&amp;$B15,Expenses!$B$5:$B$2004,"&lt;"&amp;EDATE($B15,1))</f>
        <v/>
      </c>
      <c r="J15" s="25">
        <f>D15-E15-F15-G15-H15-I15</f>
        <v/>
      </c>
    </row>
    <row r="16">
      <c r="B16" s="24">
        <f>EDATE(Settings!$C$6,10)</f>
        <v/>
      </c>
      <c r="C16" s="14">
        <f>COUNTIFS(Sales!$B$5:$B$2004,"&gt;="&amp;$B16,Sales!$B$5:$B$2004,"&lt;"&amp;EDATE($B16,1))</f>
        <v/>
      </c>
      <c r="D16" s="25">
        <f>SUMIFS(Sales!$J$5:$J$2004,Sales!$B$5:$B$2004,"&gt;="&amp;$B16,Sales!$B$5:$B$2004,"&lt;"&amp;EDATE($B16,1))</f>
        <v/>
      </c>
      <c r="E16" s="25">
        <f>SUMIFS(Sales!$K$5:$K$2004,Sales!$B$5:$B$2004,"&gt;="&amp;$B16,Sales!$B$5:$B$2004,"&lt;"&amp;EDATE($B16,1))</f>
        <v/>
      </c>
      <c r="F16" s="25">
        <f>SUMIFS(Sales!$L$5:$L$2004,Sales!$B$5:$B$2004,"&gt;="&amp;$B16,Sales!$B$5:$B$2004,"&lt;"&amp;EDATE($B16,1))</f>
        <v/>
      </c>
      <c r="G16" s="25">
        <f>SUMIFS(Sales!$M$5:$M$2004,Sales!$B$5:$B$2004,"&gt;="&amp;$B16,Sales!$B$5:$B$2004,"&lt;"&amp;EDATE($B16,1))</f>
        <v/>
      </c>
      <c r="H16" s="25">
        <f>SUMIFS(Sales!$I$5:$I$2004,Sales!$B$5:$B$2004,"&gt;="&amp;$B16,Sales!$B$5:$B$2004,"&lt;"&amp;EDATE($B16,1))</f>
        <v/>
      </c>
      <c r="I16" s="25">
        <f>SUMIFS(Expenses!$F$5:$F$2004,Expenses!$B$5:$B$2004,"&gt;="&amp;$B16,Expenses!$B$5:$B$2004,"&lt;"&amp;EDATE($B16,1))</f>
        <v/>
      </c>
      <c r="J16" s="25">
        <f>D16-E16-F16-G16-H16-I16</f>
        <v/>
      </c>
    </row>
    <row r="17">
      <c r="B17" s="24">
        <f>EDATE(Settings!$C$6,11)</f>
        <v/>
      </c>
      <c r="C17" s="14">
        <f>COUNTIFS(Sales!$B$5:$B$2004,"&gt;="&amp;$B17,Sales!$B$5:$B$2004,"&lt;"&amp;EDATE($B17,1))</f>
        <v/>
      </c>
      <c r="D17" s="25">
        <f>SUMIFS(Sales!$J$5:$J$2004,Sales!$B$5:$B$2004,"&gt;="&amp;$B17,Sales!$B$5:$B$2004,"&lt;"&amp;EDATE($B17,1))</f>
        <v/>
      </c>
      <c r="E17" s="25">
        <f>SUMIFS(Sales!$K$5:$K$2004,Sales!$B$5:$B$2004,"&gt;="&amp;$B17,Sales!$B$5:$B$2004,"&lt;"&amp;EDATE($B17,1))</f>
        <v/>
      </c>
      <c r="F17" s="25">
        <f>SUMIFS(Sales!$L$5:$L$2004,Sales!$B$5:$B$2004,"&gt;="&amp;$B17,Sales!$B$5:$B$2004,"&lt;"&amp;EDATE($B17,1))</f>
        <v/>
      </c>
      <c r="G17" s="25">
        <f>SUMIFS(Sales!$M$5:$M$2004,Sales!$B$5:$B$2004,"&gt;="&amp;$B17,Sales!$B$5:$B$2004,"&lt;"&amp;EDATE($B17,1))</f>
        <v/>
      </c>
      <c r="H17" s="25">
        <f>SUMIFS(Sales!$I$5:$I$2004,Sales!$B$5:$B$2004,"&gt;="&amp;$B17,Sales!$B$5:$B$2004,"&lt;"&amp;EDATE($B17,1))</f>
        <v/>
      </c>
      <c r="I17" s="25">
        <f>SUMIFS(Expenses!$F$5:$F$2004,Expenses!$B$5:$B$2004,"&gt;="&amp;$B17,Expenses!$B$5:$B$2004,"&lt;"&amp;EDATE($B17,1))</f>
        <v/>
      </c>
      <c r="J17" s="25">
        <f>D17-E17-F17-G17-H17-I17</f>
        <v/>
      </c>
    </row>
    <row r="18">
      <c r="B18" s="26" t="inlineStr">
        <is>
          <t>Year</t>
        </is>
      </c>
      <c r="C18" s="26">
        <f>SUM(C6:C17)</f>
        <v/>
      </c>
      <c r="D18" s="27">
        <f>SUM(D6:D17)</f>
        <v/>
      </c>
      <c r="E18" s="27">
        <f>SUM(E6:E17)</f>
        <v/>
      </c>
      <c r="F18" s="27">
        <f>SUM(F6:F17)</f>
        <v/>
      </c>
      <c r="G18" s="27">
        <f>SUM(G6:G17)</f>
        <v/>
      </c>
      <c r="H18" s="27">
        <f>SUM(H6:H17)</f>
        <v/>
      </c>
      <c r="I18" s="27">
        <f>SUM(I6:I17)</f>
        <v/>
      </c>
      <c r="J18" s="27">
        <f>SUM(J6:J17)</f>
        <v/>
      </c>
    </row>
    <row r="21" ht="30" customHeight="1">
      <c r="B21" s="13" t="inlineStr">
        <is>
          <t>VAT threshold check</t>
        </is>
      </c>
      <c r="C21" s="13" t="inlineStr"/>
    </row>
    <row r="22">
      <c r="B22" s="14" t="inlineStr">
        <is>
          <t>Sales in the 12 months to</t>
        </is>
      </c>
      <c r="C22" s="28">
        <f>Settings!C8</f>
        <v/>
      </c>
    </row>
    <row r="23">
      <c r="B23" s="14" t="inlineStr">
        <is>
          <t>Etsy revenue in those 12 months</t>
        </is>
      </c>
      <c r="C23" s="25">
        <f>SUMIFS(Sales!$J$5:$J$2004,Sales!$B$5:$B$2004,"&gt;"&amp;EDATE(Settings!C8,-12),Sales!$B$5:$B$2004,"&lt;="&amp;Settings!C8)</f>
        <v/>
      </c>
    </row>
    <row r="24">
      <c r="B24" s="14" t="inlineStr">
        <is>
          <t>Left before the threshold</t>
        </is>
      </c>
      <c r="C24" s="25">
        <f>Settings!C19-C23</f>
        <v/>
      </c>
    </row>
    <row r="25">
      <c r="B25" s="29">
        <f>IF(C23&gt;Settings!C19,"Over the VAT threshold: you must register for VAT.",IF(C24&lt;15000,"Within £15,000 of the VAT threshold: keep a close eye on it.","Below the VAT threshold."))</f>
        <v/>
      </c>
    </row>
    <row r="26">
      <c r="B26" s="9" t="inlineStr">
        <is>
          <t>The threshold counts all your taxable sales, not only Etsy. Add sales from other places to be sure.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2026-10-31T19:49:08Z</dcterms:created>
  <dcterms:modified xmlns:dcterms="http://purl.org/dc/terms/" xmlns:xsi="http://www.w3.org/2001/XMLSchema-instance" xsi:type="dcterms:W3CDTF">2026-10-31T19:49:09Z</dcterms:modified>
</cp:coreProperties>
</file>